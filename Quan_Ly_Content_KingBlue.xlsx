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HOP CONTENT" sheetId="1" state="visible" r:id="rId1"/>
    <sheet xmlns:r="http://schemas.openxmlformats.org/officeDocument/2006/relationships" name="FACEBOOK FANPAGE" sheetId="2" state="visible" r:id="rId2"/>
    <sheet xmlns:r="http://schemas.openxmlformats.org/officeDocument/2006/relationships" name="TIKTOK &amp; SHORTS" sheetId="3" state="visible" r:id="rId3"/>
    <sheet xmlns:r="http://schemas.openxmlformats.org/officeDocument/2006/relationships" name="KOC &amp; REVIEWER" sheetId="4" state="visible" r:id="rId4"/>
    <sheet xmlns:r="http://schemas.openxmlformats.org/officeDocument/2006/relationships" name="WEBSITE &amp; SEO" sheetId="5" state="visible" r:id="rId5"/>
    <sheet xmlns:r="http://schemas.openxmlformats.org/officeDocument/2006/relationships" name="CAU HIN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64748B"/>
      <sz val="8"/>
    </font>
    <font>
      <name val="Arial"/>
      <b val="1"/>
      <color rgb="001E3A8A"/>
      <sz val="12"/>
    </font>
    <font>
      <name val="Arial"/>
      <b val="1"/>
      <color rgb="00FFFFFF"/>
      <sz val="9"/>
    </font>
    <font>
      <name val="Arial"/>
      <color rgb="000F172A"/>
      <sz val="9"/>
    </font>
  </fonts>
  <fills count="8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1F5F9"/>
      </patternFill>
    </fill>
    <fill>
      <patternFill patternType="solid">
        <fgColor rgb="00FEF3C7"/>
      </patternFill>
    </fill>
    <fill>
      <patternFill patternType="solid">
        <fgColor rgb="001E3A8A"/>
      </patternFill>
    </fill>
    <fill>
      <patternFill patternType="solid">
        <fgColor rgb="00F8FAFC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3" fontId="3" fillId="4" borderId="0" applyAlignment="1" pivotButton="0" quotePrefix="0" xfId="0">
      <alignment horizontal="center" vertical="center"/>
    </xf>
    <xf numFmtId="164" fontId="3" fillId="3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right" vertical="center"/>
    </xf>
    <xf numFmtId="0" fontId="0" fillId="0" borderId="1" pivotButton="0" quotePrefix="0" xfId="0"/>
    <xf numFmtId="0" fontId="0" fillId="6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42" customWidth="1" min="3" max="3"/>
    <col width="18" customWidth="1" min="4" max="4"/>
    <col width="22" customWidth="1" min="5" max="5"/>
    <col width="22" customWidth="1" min="6" max="6"/>
    <col width="20" customWidth="1" min="7" max="7"/>
    <col width="20" customWidth="1" min="8" max="8"/>
    <col width="16" customWidth="1" min="9" max="9"/>
    <col width="14" customWidth="1" min="10" max="10"/>
    <col width="12" customWidth="1" min="11" max="11"/>
    <col width="16" customWidth="1" min="12" max="12"/>
    <col width="24" customWidth="1" min="13" max="13"/>
    <col width="24" customWidth="1" min="14" max="14"/>
    <col width="18" customWidth="1" min="15" max="15"/>
    <col width="18" customWidth="1" min="16" max="16"/>
    <col width="32" customWidth="1" min="17" max="17"/>
  </cols>
  <sheetData>
    <row r="1" ht="36" customHeight="1">
      <c r="A1" s="1" t="inlineStr">
        <is>
          <t>🏢 KẾ HOẠCH &amp; LỊCH BIÊN TẬP NỘI DUNG ĐA KÊNH - KING BLUE MARKETING</t>
        </is>
      </c>
    </row>
    <row r="2" ht="18" customHeight="1">
      <c r="A2" s="2" t="inlineStr">
        <is>
          <t>TỔNG NỘI DUNG THÁNG</t>
        </is>
      </c>
      <c r="D2" s="2" t="inlineStr">
        <is>
          <t>ĐÃ HOÀN THÀNH / ĐÃ ĐĂNG</t>
        </is>
      </c>
      <c r="G2" s="2" t="inlineStr">
        <is>
          <t>ĐANG SẢN XUẤT / CHỜ DUYỆT</t>
        </is>
      </c>
      <c r="J2" s="3" t="inlineStr">
        <is>
          <t>TỔNG LƯỢT XEM (VIEWS)</t>
        </is>
      </c>
      <c r="M2" s="3" t="inlineStr">
        <is>
          <t>TỔNG TƯƠNG TÁC (ENGAGEMENT)</t>
        </is>
      </c>
      <c r="P2" s="2" t="inlineStr">
        <is>
          <t>TIẾN ĐỘ HOÀN THÀNH</t>
        </is>
      </c>
    </row>
    <row r="3" ht="24" customHeight="1">
      <c r="A3" s="4">
        <f>COUNTA(B6:B100)</f>
        <v/>
      </c>
      <c r="D3" s="4">
        <f>COUNTIF(L6:L100, "Đã đăng")</f>
        <v/>
      </c>
      <c r="G3" s="4">
        <f>COUNTIF(L6:L100, "Đang làm") + COUNTIF(L6:L100, "Đang duyệt")</f>
        <v/>
      </c>
      <c r="J3" s="5">
        <f>SUM(O6:O100)</f>
        <v/>
      </c>
      <c r="M3" s="5">
        <f>SUM(P6:P100)</f>
        <v/>
      </c>
      <c r="P3" s="6">
        <f>IF(COUNTA(B6:B100)&gt;0, COUNTIF(L6:L100, "Đã đăng")/COUNTA(B6:B100), 0)</f>
        <v/>
      </c>
    </row>
    <row r="5" ht="28" customHeight="1">
      <c r="A5" s="7" t="inlineStr">
        <is>
          <t>STT</t>
        </is>
      </c>
      <c r="B5" s="7" t="inlineStr">
        <is>
          <t>Mã Content</t>
        </is>
      </c>
      <c r="C5" s="7" t="inlineStr">
        <is>
          <t>Tiêu đề / Chủ đề nội dung</t>
        </is>
      </c>
      <c r="D5" s="7" t="inlineStr">
        <is>
          <t>Kênh đăng</t>
        </is>
      </c>
      <c r="E5" s="7" t="inlineStr">
        <is>
          <t>Định dạng</t>
        </is>
      </c>
      <c r="F5" s="7" t="inlineStr">
        <is>
          <t>Trụ cột nội dung</t>
        </is>
      </c>
      <c r="G5" s="7" t="inlineStr">
        <is>
          <t>Dòng sản phẩm</t>
        </is>
      </c>
      <c r="H5" s="7" t="inlineStr">
        <is>
          <t>Người phụ trách</t>
        </is>
      </c>
      <c r="I5" s="7" t="inlineStr">
        <is>
          <t>Người phối hợp</t>
        </is>
      </c>
      <c r="J5" s="7" t="inlineStr">
        <is>
          <t>Ngày đăng</t>
        </is>
      </c>
      <c r="K5" s="7" t="inlineStr">
        <is>
          <t>Khung giờ</t>
        </is>
      </c>
      <c r="L5" s="7" t="inlineStr">
        <is>
          <t>Trạng thái</t>
        </is>
      </c>
      <c r="M5" s="7" t="inlineStr">
        <is>
          <t>Link tài liệu / Drive</t>
        </is>
      </c>
      <c r="N5" s="7" t="inlineStr">
        <is>
          <t>Link bài live</t>
        </is>
      </c>
      <c r="O5" s="7" t="inlineStr">
        <is>
          <t>Lượt Views / Reach</t>
        </is>
      </c>
      <c r="P5" s="7" t="inlineStr">
        <is>
          <t>Lượt Tương tác</t>
        </is>
      </c>
      <c r="Q5" s="7" t="inlineStr">
        <is>
          <t>Ghi chú &amp; Đánh giá</t>
        </is>
      </c>
    </row>
    <row r="6" ht="22" customHeight="1">
      <c r="A6" s="8" t="n">
        <v>1</v>
      </c>
      <c r="B6" s="9" t="inlineStr">
        <is>
          <t>KB-CNT-01</t>
        </is>
      </c>
      <c r="C6" s="9" t="inlineStr">
        <is>
          <t>Video Test tải máy khoan pin Brushless KM18QE khoan bê tông 5 lỗ</t>
        </is>
      </c>
      <c r="D6" s="8" t="inlineStr">
        <is>
          <t>TikTok</t>
        </is>
      </c>
      <c r="E6" s="8" t="inlineStr">
        <is>
          <t>Video ngắn (Reels/TikTok)</t>
        </is>
      </c>
      <c r="F6" s="8" t="inlineStr">
        <is>
          <t>Mẹo thợ &amp; Trải nghiệm</t>
        </is>
      </c>
      <c r="G6" s="8" t="inlineStr">
        <is>
          <t>Máy pin Brushless</t>
        </is>
      </c>
      <c r="H6" s="8" t="inlineStr">
        <is>
          <t>Kiều Thương</t>
        </is>
      </c>
      <c r="I6" s="8" t="inlineStr">
        <is>
          <t>Tứ</t>
        </is>
      </c>
      <c r="J6" s="8" t="inlineStr">
        <is>
          <t>05/10/2026</t>
        </is>
      </c>
      <c r="K6" s="8" t="inlineStr">
        <is>
          <t>11:30</t>
        </is>
      </c>
      <c r="L6" s="8" t="inlineStr">
        <is>
          <t>Đã đăng</t>
        </is>
      </c>
      <c r="M6" s="9" t="inlineStr">
        <is>
          <t>https://drive.google.com/...</t>
        </is>
      </c>
      <c r="N6" s="9" t="inlineStr">
        <is>
          <t>https://tiktok.com/@kingblue/...</t>
        </is>
      </c>
      <c r="O6" s="10" t="n">
        <v>4200</v>
      </c>
      <c r="P6" s="10" t="n">
        <v>156</v>
      </c>
      <c r="Q6" s="9" t="inlineStr">
        <is>
          <t>Tương tác tốt, nhiều thợ hỏi giá pin 18V</t>
        </is>
      </c>
    </row>
    <row r="7" ht="22" customHeight="1">
      <c r="A7" s="11" t="n">
        <v>2</v>
      </c>
      <c r="B7" s="12" t="inlineStr">
        <is>
          <t>KB-CNT-02</t>
        </is>
      </c>
      <c r="C7" s="12" t="inlineStr">
        <is>
          <t>Album 5 góc chụp sắc nét thùng đồ nghề chống va đập KHD4233</t>
        </is>
      </c>
      <c r="D7" s="11" t="inlineStr">
        <is>
          <t>Facebook Fanpage</t>
        </is>
      </c>
      <c r="E7" s="11" t="inlineStr">
        <is>
          <t>Album ảnh</t>
        </is>
      </c>
      <c r="F7" s="11" t="inlineStr">
        <is>
          <t>Giới thiệu sản phẩm</t>
        </is>
      </c>
      <c r="G7" s="11" t="inlineStr">
        <is>
          <t>Dụng cụ cầm tay</t>
        </is>
      </c>
      <c r="H7" s="11" t="inlineStr">
        <is>
          <t>Võ Thị Hoài Thương</t>
        </is>
      </c>
      <c r="I7" s="11" t="inlineStr">
        <is>
          <t>Thiện</t>
        </is>
      </c>
      <c r="J7" s="11" t="inlineStr">
        <is>
          <t>06/10/2026</t>
        </is>
      </c>
      <c r="K7" s="11" t="inlineStr">
        <is>
          <t>19:30</t>
        </is>
      </c>
      <c r="L7" s="11" t="inlineStr">
        <is>
          <t>Đã đăng</t>
        </is>
      </c>
      <c r="M7" s="12" t="inlineStr">
        <is>
          <t>https://drive.google.com/...</t>
        </is>
      </c>
      <c r="N7" s="12" t="inlineStr">
        <is>
          <t>https://facebook.com/kingblue/...</t>
        </is>
      </c>
      <c r="O7" s="13" t="n">
        <v>2850</v>
      </c>
      <c r="P7" s="13" t="n">
        <v>94</v>
      </c>
      <c r="Q7" s="12" t="inlineStr">
        <is>
          <t>Thiện thiết kế banner layout bắt mắt</t>
        </is>
      </c>
    </row>
    <row r="8" ht="22" customHeight="1">
      <c r="A8" s="8" t="n">
        <v>3</v>
      </c>
      <c r="B8" s="9" t="inlineStr">
        <is>
          <t>KB-CNT-03</t>
        </is>
      </c>
      <c r="C8" s="9" t="inlineStr">
        <is>
          <t>Kịch bản test súng siết bu lông KBA-I1500 mở ốc xe tải 5 tấn</t>
        </is>
      </c>
      <c r="D8" s="8" t="inlineStr">
        <is>
          <t>YouTube Video</t>
        </is>
      </c>
      <c r="E8" s="8" t="inlineStr">
        <is>
          <t>Video dài (Youtube)</t>
        </is>
      </c>
      <c r="F8" s="8" t="inlineStr">
        <is>
          <t>Mẹo thợ &amp; Trải nghiệm</t>
        </is>
      </c>
      <c r="G8" s="8" t="inlineStr">
        <is>
          <t>Máy pin Brushless</t>
        </is>
      </c>
      <c r="H8" s="8" t="inlineStr">
        <is>
          <t>Kiều Thương</t>
        </is>
      </c>
      <c r="I8" s="8" t="inlineStr">
        <is>
          <t>Tứ</t>
        </is>
      </c>
      <c r="J8" s="8" t="inlineStr">
        <is>
          <t>08/10/2026</t>
        </is>
      </c>
      <c r="K8" s="8" t="inlineStr">
        <is>
          <t>20:00</t>
        </is>
      </c>
      <c r="L8" s="8" t="inlineStr">
        <is>
          <t>Đang làm</t>
        </is>
      </c>
      <c r="M8" s="9" t="inlineStr">
        <is>
          <t>https://docs.google.com/...</t>
        </is>
      </c>
      <c r="N8" s="9" t="inlineStr"/>
      <c r="O8" s="10" t="n">
        <v>0</v>
      </c>
      <c r="P8" s="10" t="n">
        <v>0</v>
      </c>
      <c r="Q8" s="9" t="inlineStr">
        <is>
          <t>Tứ đang hẹn gara xe tải để quay thực tế</t>
        </is>
      </c>
    </row>
    <row r="9" ht="22" customHeight="1">
      <c r="A9" s="11" t="n">
        <v>4</v>
      </c>
      <c r="B9" s="12" t="inlineStr">
        <is>
          <t>KB-CNT-04</t>
        </is>
      </c>
      <c r="C9" s="12" t="inlineStr">
        <is>
          <t>Bài chuẩn SEO: Hướng dẫn chọn đá cắt sắt an toàn và tiết kiệm 30% hao mòn</t>
        </is>
      </c>
      <c r="D9" s="11" t="inlineStr">
        <is>
          <t>Website SEO</t>
        </is>
      </c>
      <c r="E9" s="11" t="inlineStr">
        <is>
          <t>Bài viết chuẩn SEO</t>
        </is>
      </c>
      <c r="F9" s="11" t="inlineStr">
        <is>
          <t>Giáo dục kỹ thuật</t>
        </is>
      </c>
      <c r="G9" s="11" t="inlineStr">
        <is>
          <t>Đá cắt &amp; Đá mài</t>
        </is>
      </c>
      <c r="H9" s="11" t="inlineStr">
        <is>
          <t>Võ Thị Hoài Thương</t>
        </is>
      </c>
      <c r="I9" s="11" t="inlineStr">
        <is>
          <t>Thiện</t>
        </is>
      </c>
      <c r="J9" s="11" t="inlineStr">
        <is>
          <t>09/10/2026</t>
        </is>
      </c>
      <c r="K9" s="11" t="inlineStr">
        <is>
          <t>09:00</t>
        </is>
      </c>
      <c r="L9" s="11" t="inlineStr">
        <is>
          <t>Đang duyệt</t>
        </is>
      </c>
      <c r="M9" s="12" t="inlineStr">
        <is>
          <t>https://docs.google.com/...</t>
        </is>
      </c>
      <c r="N9" s="12" t="inlineStr"/>
      <c r="O9" s="13" t="n">
        <v>0</v>
      </c>
      <c r="P9" s="13" t="n">
        <v>0</v>
      </c>
      <c r="Q9" s="12" t="inlineStr">
        <is>
          <t>Từ khóa chính: đá cắt sắt King Blue</t>
        </is>
      </c>
    </row>
    <row r="10" ht="22" customHeight="1">
      <c r="A10" s="8" t="n">
        <v>5</v>
      </c>
      <c r="B10" s="9" t="inlineStr">
        <is>
          <t>KB-CNT-05</t>
        </is>
      </c>
      <c r="C10" s="9" t="inlineStr">
        <is>
          <t>Mini Game dự đoán thông số lực siết máy KM18 - Tặng 3 áo thun &amp; mũ King Blue</t>
        </is>
      </c>
      <c r="D10" s="8" t="inlineStr">
        <is>
          <t>Facebook Fanpage</t>
        </is>
      </c>
      <c r="E10" s="8" t="inlineStr">
        <is>
          <t>Single Post / Ảnh đơn</t>
        </is>
      </c>
      <c r="F10" s="8" t="inlineStr">
        <is>
          <t>Minigame &amp; Tương tác</t>
        </is>
      </c>
      <c r="G10" s="8" t="inlineStr">
        <is>
          <t>Máy pin Brushless</t>
        </is>
      </c>
      <c r="H10" s="8" t="inlineStr">
        <is>
          <t>Thương Thương</t>
        </is>
      </c>
      <c r="I10" s="8" t="inlineStr">
        <is>
          <t>Thiện</t>
        </is>
      </c>
      <c r="J10" s="8" t="inlineStr">
        <is>
          <t>10/10/2026</t>
        </is>
      </c>
      <c r="K10" s="8" t="inlineStr">
        <is>
          <t>11:30</t>
        </is>
      </c>
      <c r="L10" s="8" t="inlineStr">
        <is>
          <t>Sẵn sàng đăng</t>
        </is>
      </c>
      <c r="M10" s="9" t="inlineStr">
        <is>
          <t>https://drive.google.com/...</t>
        </is>
      </c>
      <c r="N10" s="9" t="inlineStr"/>
      <c r="O10" s="10" t="n">
        <v>0</v>
      </c>
      <c r="P10" s="10" t="n">
        <v>0</v>
      </c>
      <c r="Q10" s="9" t="inlineStr">
        <is>
          <t>Thiện đã xong visual quà tặng</t>
        </is>
      </c>
    </row>
    <row r="11" ht="22" customHeight="1">
      <c r="A11" s="11" t="n">
        <v>6</v>
      </c>
      <c r="B11" s="12" t="inlineStr">
        <is>
          <t>KB-CNT-06</t>
        </is>
      </c>
      <c r="C11" s="12" t="inlineStr">
        <is>
          <t>TikTok Shorts: Mẹo căn cốt tường phẳng tuyệt đối với máy cân bằng Laser 12 tia xanh</t>
        </is>
      </c>
      <c r="D11" s="11" t="inlineStr">
        <is>
          <t>TikTok</t>
        </is>
      </c>
      <c r="E11" s="11" t="inlineStr">
        <is>
          <t>Video ngắn (Reels/TikTok)</t>
        </is>
      </c>
      <c r="F11" s="11" t="inlineStr">
        <is>
          <t>Mẹo thợ &amp; Trải nghiệm</t>
        </is>
      </c>
      <c r="G11" s="11" t="inlineStr">
        <is>
          <t>Thiết bị đo Laser</t>
        </is>
      </c>
      <c r="H11" s="11" t="inlineStr">
        <is>
          <t>Kiều Thương</t>
        </is>
      </c>
      <c r="I11" s="11" t="inlineStr">
        <is>
          <t>Tứ</t>
        </is>
      </c>
      <c r="J11" s="11" t="inlineStr">
        <is>
          <t>11/10/2026</t>
        </is>
      </c>
      <c r="K11" s="11" t="inlineStr">
        <is>
          <t>18:30</t>
        </is>
      </c>
      <c r="L11" s="11" t="inlineStr">
        <is>
          <t>Lên ý tưởng</t>
        </is>
      </c>
      <c r="M11" s="12" t="inlineStr">
        <is>
          <t>https://docs.google.com/...</t>
        </is>
      </c>
      <c r="N11" s="12" t="inlineStr"/>
      <c r="O11" s="13" t="n">
        <v>0</v>
      </c>
      <c r="P11" s="13" t="n">
        <v>0</v>
      </c>
      <c r="Q11" s="12" t="inlineStr">
        <is>
          <t>Quay cận cảnh tia laser ngoài trời nắng</t>
        </is>
      </c>
    </row>
    <row r="12" ht="22" customHeight="1">
      <c r="A12" s="8" t="n">
        <v>7</v>
      </c>
      <c r="B12" s="9" t="inlineStr">
        <is>
          <t>KB-CNT-07</t>
        </is>
      </c>
      <c r="C12" s="9" t="inlineStr">
        <is>
          <t>Thông báo chính sách ưu đãi chiết khấu &amp; quầy kệ POSM dành cho Đại lý mới</t>
        </is>
      </c>
      <c r="D12" s="8" t="inlineStr">
        <is>
          <t>Facebook Fanpage</t>
        </is>
      </c>
      <c r="E12" s="8" t="inlineStr">
        <is>
          <t>Infographic / POSM</t>
        </is>
      </c>
      <c r="F12" s="8" t="inlineStr">
        <is>
          <t>Đại lý &amp; Phân phối</t>
        </is>
      </c>
      <c r="G12" s="8" t="inlineStr">
        <is>
          <t>Chính sách B2B</t>
        </is>
      </c>
      <c r="H12" s="8" t="inlineStr">
        <is>
          <t>Thương Thương</t>
        </is>
      </c>
      <c r="I12" s="8" t="inlineStr">
        <is>
          <t>Thiện</t>
        </is>
      </c>
      <c r="J12" s="8" t="inlineStr">
        <is>
          <t>12/10/2026</t>
        </is>
      </c>
      <c r="K12" s="8" t="inlineStr">
        <is>
          <t>09:30</t>
        </is>
      </c>
      <c r="L12" s="8" t="inlineStr">
        <is>
          <t>Đang làm</t>
        </is>
      </c>
      <c r="M12" s="9" t="inlineStr">
        <is>
          <t>https://drive.google.com/...</t>
        </is>
      </c>
      <c r="N12" s="9" t="inlineStr"/>
      <c r="O12" s="10" t="n">
        <v>0</v>
      </c>
      <c r="P12" s="10" t="n">
        <v>0</v>
      </c>
      <c r="Q12" s="9" t="inlineStr">
        <is>
          <t>Hỗ trợ đội ngũ Sales đại lý toàn quốc</t>
        </is>
      </c>
    </row>
    <row r="13" ht="22" customHeight="1">
      <c r="A13" s="11" t="n">
        <v>8</v>
      </c>
      <c r="B13" s="12" t="inlineStr">
        <is>
          <t>KB-CNT-08</t>
        </is>
      </c>
      <c r="C13" s="12" t="inlineStr">
        <is>
          <t>Reviewer Cơ Khí Booking: Đồ Nghề Tự Chọn unboxing combo máy mài &amp; máy khoan King Blue</t>
        </is>
      </c>
      <c r="D13" s="11" t="inlineStr">
        <is>
          <t>KOC &amp; Reviewer</t>
        </is>
      </c>
      <c r="E13" s="11" t="inlineStr">
        <is>
          <t>Video dài (Youtube)</t>
        </is>
      </c>
      <c r="F13" s="11" t="inlineStr">
        <is>
          <t>KOC &amp; Reviewer</t>
        </is>
      </c>
      <c r="G13" s="11" t="inlineStr">
        <is>
          <t>Máy pin Brushless</t>
        </is>
      </c>
      <c r="H13" s="11" t="inlineStr">
        <is>
          <t>Kiều Thương</t>
        </is>
      </c>
      <c r="I13" s="11" t="inlineStr">
        <is>
          <t>Tứ</t>
        </is>
      </c>
      <c r="J13" s="11" t="inlineStr">
        <is>
          <t>15/10/2026</t>
        </is>
      </c>
      <c r="K13" s="11" t="inlineStr">
        <is>
          <t>19:00</t>
        </is>
      </c>
      <c r="L13" s="11" t="inlineStr">
        <is>
          <t>Đang làm</t>
        </is>
      </c>
      <c r="M13" s="12" t="inlineStr">
        <is>
          <t>https://docs.google.com/...</t>
        </is>
      </c>
      <c r="N13" s="12" t="inlineStr"/>
      <c r="O13" s="13" t="n">
        <v>0</v>
      </c>
      <c r="P13" s="13" t="n">
        <v>0</v>
      </c>
      <c r="Q13" s="12" t="inlineStr">
        <is>
          <t>Đã gửi máy mẫu, chờ KOC duyệt lịch quay</t>
        </is>
      </c>
    </row>
    <row r="14" ht="20" customHeight="1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</row>
    <row r="15" ht="20" customHeight="1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</row>
    <row r="16" ht="20" customHeight="1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</row>
    <row r="17" ht="20" customHeight="1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</row>
    <row r="18" ht="20" customHeight="1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</row>
    <row r="19" ht="20" customHeight="1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</row>
    <row r="20" ht="20" customHeight="1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</row>
    <row r="21" ht="20" customHeight="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</row>
    <row r="22" ht="20" customHeight="1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</row>
    <row r="23" ht="20" customHeight="1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</row>
    <row r="24" ht="20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</row>
    <row r="25" ht="20" customHeight="1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</row>
    <row r="26" ht="20" customHeight="1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</row>
    <row r="27" ht="20" customHeight="1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</row>
    <row r="28" ht="20" customHeight="1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</row>
    <row r="29" ht="20" customHeight="1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</row>
    <row r="30" ht="20" customHeight="1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</row>
    <row r="31" ht="20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</row>
    <row r="32" ht="20" customHeight="1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</row>
    <row r="33" ht="20" customHeight="1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</row>
    <row r="34" ht="20" customHeight="1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</row>
    <row r="35" ht="20" customHeight="1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</row>
    <row r="36" ht="20" customHeight="1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</row>
    <row r="37" ht="20" customHeight="1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</row>
    <row r="38" ht="20" customHeight="1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</row>
    <row r="39" ht="20" customHeight="1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</row>
  </sheetData>
  <mergeCells count="13">
    <mergeCell ref="D2:F2"/>
    <mergeCell ref="G2:I2"/>
    <mergeCell ref="P3:Q3"/>
    <mergeCell ref="J2:L2"/>
    <mergeCell ref="M3:O3"/>
    <mergeCell ref="M2:O2"/>
    <mergeCell ref="P2:Q2"/>
    <mergeCell ref="D3:F3"/>
    <mergeCell ref="A3:C3"/>
    <mergeCell ref="G3:I3"/>
    <mergeCell ref="J3:L3"/>
    <mergeCell ref="A1:Q1"/>
    <mergeCell ref="A2:C2"/>
  </mergeCells>
  <dataValidations count="7">
    <dataValidation sqref="D6:D100" showDropDown="0" showInputMessage="0" showErrorMessage="0" allowBlank="1" error="Vui lòng chọn giá trị hợp lệ từ danh sách!" promptTitle="Kênh đăng" type="list">
      <formula1>='CAU HINH'!$A$4:$A$15</formula1>
    </dataValidation>
    <dataValidation sqref="E6:E100" showDropDown="0" showInputMessage="0" showErrorMessage="0" allowBlank="1" error="Vui lòng chọn giá trị hợp lệ từ danh sách!" promptTitle="Định dạng" type="list">
      <formula1>='CAU HINH'!$B$4:$B$15</formula1>
    </dataValidation>
    <dataValidation sqref="F6:F100" showDropDown="0" showInputMessage="0" showErrorMessage="0" allowBlank="1" error="Vui lòng chọn giá trị hợp lệ từ danh sách!" promptTitle="Trụ cột nội dung" type="list">
      <formula1>='CAU HINH'!$C$4:$C$15</formula1>
    </dataValidation>
    <dataValidation sqref="G6:G100" showDropDown="0" showInputMessage="0" showErrorMessage="0" allowBlank="1" error="Vui lòng chọn giá trị hợp lệ từ danh sách!" promptTitle="Dòng sản phẩm" type="list">
      <formula1>='CAU HINH'!$D$4:$D$15</formula1>
    </dataValidation>
    <dataValidation sqref="H6:H100" showDropDown="0" showInputMessage="0" showErrorMessage="0" allowBlank="1" error="Vui lòng chọn giá trị hợp lệ từ danh sách!" promptTitle="Người phụ trách" type="list">
      <formula1>='CAU HINH'!$E$4:$E$15</formula1>
    </dataValidation>
    <dataValidation sqref="I6:I100" showDropDown="0" showInputMessage="0" showErrorMessage="0" allowBlank="1" error="Vui lòng chọn giá trị hợp lệ từ danh sách!" promptTitle="Người phối hợp" type="list">
      <formula1>='CAU HINH'!$E$4:$E$15</formula1>
    </dataValidation>
    <dataValidation sqref="L6:L100" showDropDown="0" showInputMessage="0" showErrorMessage="0" allowBlank="1" error="Vui lòng chọn giá trị hợp lệ từ danh sách!" promptTitle="Trạng thái" type="list">
      <formula1>='CAU HINH'!$F$4:$F$15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2" customWidth="1" min="4" max="4"/>
    <col width="30" customWidth="1" min="5" max="5"/>
    <col width="20" customWidth="1" min="6" max="6"/>
    <col width="40" customWidth="1" min="7" max="7"/>
    <col width="34" customWidth="1" min="8" max="8"/>
    <col width="24" customWidth="1" min="9" max="9"/>
    <col width="26" customWidth="1" min="10" max="10"/>
    <col width="20" customWidth="1" min="11" max="11"/>
    <col width="16" customWidth="1" min="12" max="12"/>
    <col width="24" customWidth="1" min="13" max="13"/>
    <col width="26" customWidth="1" min="14" max="14"/>
  </cols>
  <sheetData>
    <row r="1" ht="36" customHeight="1">
      <c r="A1" s="1" t="inlineStr">
        <is>
          <t>📘 KẾ HOẠCH NỘI DUNG CHI TIẾT - FACEBOOK FANPAGE KING BLUE TOOLS</t>
        </is>
      </c>
    </row>
    <row r="3" ht="26" customHeight="1">
      <c r="A3" s="7" t="inlineStr">
        <is>
          <t>STT</t>
        </is>
      </c>
      <c r="B3" s="7" t="inlineStr">
        <is>
          <t>Mã Post</t>
        </is>
      </c>
      <c r="C3" s="7" t="inlineStr">
        <is>
          <t>Ngày đăng</t>
        </is>
      </c>
      <c r="D3" s="7" t="inlineStr">
        <is>
          <t>Khung giờ</t>
        </is>
      </c>
      <c r="E3" s="7" t="inlineStr">
        <is>
          <t>Chủ đề / Hook chính</t>
        </is>
      </c>
      <c r="F3" s="7" t="inlineStr">
        <is>
          <t>Trụ cột nội dung</t>
        </is>
      </c>
      <c r="G3" s="7" t="inlineStr">
        <is>
          <t>Dàn ý Caption / Thông điệp chính</t>
        </is>
      </c>
      <c r="H3" s="7" t="inlineStr">
        <is>
          <t>Brief Visual (Ảnh/Video)</t>
        </is>
      </c>
      <c r="I3" s="7" t="inlineStr">
        <is>
          <t>Hashtags</t>
        </is>
      </c>
      <c r="J3" s="7" t="inlineStr">
        <is>
          <t>CTA (Kêu gọi)</t>
        </is>
      </c>
      <c r="K3" s="7" t="inlineStr">
        <is>
          <t>Phụ trách viết</t>
        </is>
      </c>
      <c r="L3" s="7" t="inlineStr">
        <is>
          <t>Trạng thái</t>
        </is>
      </c>
      <c r="M3" s="7" t="inlineStr">
        <is>
          <t>Link bài live</t>
        </is>
      </c>
      <c r="N3" s="7" t="inlineStr">
        <is>
          <t>Ghi chú</t>
        </is>
      </c>
    </row>
    <row r="4" ht="28" customHeight="1">
      <c r="A4" s="8" t="n">
        <v>1</v>
      </c>
      <c r="B4" s="9" t="inlineStr">
        <is>
          <t>FB-01</t>
        </is>
      </c>
      <c r="C4" s="8" t="inlineStr">
        <is>
          <t>06/10/2026</t>
        </is>
      </c>
      <c r="D4" s="8" t="inlineStr">
        <is>
          <t>19:30</t>
        </is>
      </c>
      <c r="E4" s="16" t="inlineStr">
        <is>
          <t>Thùng Đồ Nghề KHD4233: Đập không bể, rơi không móp!</t>
        </is>
      </c>
      <c r="F4" s="9" t="inlineStr">
        <is>
          <t>Giới thiệu sản phẩm</t>
        </is>
      </c>
      <c r="G4" s="16" t="inlineStr">
        <is>
          <t>1. Nỗi đau đồ nghề bừa bãi thất lạc
2. Đặc điểm chịu lực nhựa dẻo cao cấp
3. Khay chia thông minh</t>
        </is>
      </c>
      <c r="H4" s="16" t="inlineStr">
        <is>
          <t>Album 5 ảnh thực tế chụp tại xưởng, kèm kích thước</t>
        </is>
      </c>
      <c r="I4" s="9" t="inlineStr">
        <is>
          <t>#KingBlue #ThungDoNghe #KHD4233</t>
        </is>
      </c>
      <c r="J4" s="9" t="inlineStr">
        <is>
          <t>Inbox để nhận giá ưu đãi đại lý</t>
        </is>
      </c>
      <c r="K4" s="8" t="inlineStr">
        <is>
          <t>Võ Thị Hoài Thương</t>
        </is>
      </c>
      <c r="L4" s="8" t="inlineStr">
        <is>
          <t>Đã đăng</t>
        </is>
      </c>
      <c r="M4" s="9" t="inlineStr">
        <is>
          <t>https://facebook.com/...</t>
        </is>
      </c>
      <c r="N4" s="9" t="inlineStr">
        <is>
          <t>Do Thiện thiết kế visual</t>
        </is>
      </c>
    </row>
    <row r="5" ht="28" customHeight="1">
      <c r="A5" s="11" t="n">
        <v>2</v>
      </c>
      <c r="B5" s="12" t="inlineStr">
        <is>
          <t>FB-02</t>
        </is>
      </c>
      <c r="C5" s="11" t="inlineStr">
        <is>
          <t>08/10/2026</t>
        </is>
      </c>
      <c r="D5" s="11" t="inlineStr">
        <is>
          <t>11:30</t>
        </is>
      </c>
      <c r="E5" s="17" t="inlineStr">
        <is>
          <t>Cảnh báo 3 sai lầm khiến máy khoan pin nhanh chai pin, hỏng motor</t>
        </is>
      </c>
      <c r="F5" s="12" t="inlineStr">
        <is>
          <t>Giáo dục kỹ thuật</t>
        </is>
      </c>
      <c r="G5" s="17" t="inlineStr">
        <is>
          <t>1. Dùng sạc kém chất lượng
2. Để máy trong môi trường ẩm ướt
3. Ép tải quá mức quy định</t>
        </is>
      </c>
      <c r="H5" s="17" t="inlineStr">
        <is>
          <t>Infographic 3 bước đồ họa trực quan tông xanh</t>
        </is>
      </c>
      <c r="I5" s="12" t="inlineStr">
        <is>
          <t>#KingBlue #MeoTho #MayKhoanPin</t>
        </is>
      </c>
      <c r="J5" s="12" t="inlineStr">
        <is>
          <t>Chia sẻ ngay cho anh em thợ cùng xem!</t>
        </is>
      </c>
      <c r="K5" s="11" t="inlineStr">
        <is>
          <t>Thương Thương</t>
        </is>
      </c>
      <c r="L5" s="11" t="inlineStr">
        <is>
          <t>Sẵn sàng đăng</t>
        </is>
      </c>
      <c r="M5" s="12" t="inlineStr"/>
      <c r="N5" s="12" t="inlineStr">
        <is>
          <t>Chờ giờ vàng đăng bài</t>
        </is>
      </c>
    </row>
    <row r="6" ht="28" customHeight="1">
      <c r="A6" s="8" t="n">
        <v>3</v>
      </c>
      <c r="B6" s="9" t="inlineStr">
        <is>
          <t>FB-03</t>
        </is>
      </c>
      <c r="C6" s="8" t="inlineStr">
        <is>
          <t>10/10/2026</t>
        </is>
      </c>
      <c r="D6" s="8" t="inlineStr">
        <is>
          <t>19:00</t>
        </is>
      </c>
      <c r="E6" s="16" t="inlineStr">
        <is>
          <t>Đoán lực siết rinh quà khủng - Mini Game King Blue</t>
        </is>
      </c>
      <c r="F6" s="9" t="inlineStr">
        <is>
          <t>Minigame &amp; Tương tác</t>
        </is>
      </c>
      <c r="G6" s="16" t="inlineStr">
        <is>
          <t>Luật chơi dự đoán lực Nm của máy bu lông KBA-I1500, comment số may mắn 2 số</t>
        </is>
      </c>
      <c r="H6" s="16" t="inlineStr">
        <is>
          <t>Banner poster quà tặng áo thun + nón bảo hộ</t>
        </is>
      </c>
      <c r="I6" s="9" t="inlineStr">
        <is>
          <t>#MiniGame #KingBlueTools</t>
        </is>
      </c>
      <c r="J6" s="9" t="inlineStr">
        <is>
          <t>Comment ngay để nhận quà!</t>
        </is>
      </c>
      <c r="K6" s="8" t="inlineStr">
        <is>
          <t>Kiều Thương</t>
        </is>
      </c>
      <c r="L6" s="8" t="inlineStr">
        <is>
          <t>Đang viết bài</t>
        </is>
      </c>
      <c r="M6" s="9" t="inlineStr"/>
      <c r="N6" s="9" t="inlineStr">
        <is>
          <t>Thiện đang làm poster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36" customWidth="1" min="4" max="4"/>
    <col width="22" customWidth="1" min="5" max="5"/>
    <col width="44" customWidth="1" min="6" max="6"/>
    <col width="22" customWidth="1" min="7" max="7"/>
    <col width="18" customWidth="1" min="8" max="8"/>
    <col width="20" customWidth="1" min="9" max="9"/>
    <col width="18" customWidth="1" min="10" max="10"/>
    <col width="24" customWidth="1" min="11" max="11"/>
    <col width="24" customWidth="1" min="12" max="12"/>
    <col width="14" customWidth="1" min="13" max="13"/>
    <col width="14" customWidth="1" min="14" max="14"/>
    <col width="28" customWidth="1" min="15" max="15"/>
  </cols>
  <sheetData>
    <row r="1" ht="36" customHeight="1">
      <c r="A1" s="1" t="inlineStr">
        <is>
          <t>🎵 KẾ HOẠCH SẢN XUẤT VIDEO NGẮN - TIKTOK &amp; YOUTUBE SHORTS KING BLUE</t>
        </is>
      </c>
    </row>
    <row r="3" ht="26" customHeight="1">
      <c r="A3" s="7" t="inlineStr">
        <is>
          <t>STT</t>
        </is>
      </c>
      <c r="B3" s="7" t="inlineStr">
        <is>
          <t>Mã Video</t>
        </is>
      </c>
      <c r="C3" s="7" t="inlineStr">
        <is>
          <t>Ngày đăng</t>
        </is>
      </c>
      <c r="D3" s="7" t="inlineStr">
        <is>
          <t>Tiêu đề video / Hook 3s đầu</t>
        </is>
      </c>
      <c r="E3" s="7" t="inlineStr">
        <is>
          <t>Sản phẩm test</t>
        </is>
      </c>
      <c r="F3" s="7" t="inlineStr">
        <is>
          <t>Nội dung phân cảnh (Script)</t>
        </is>
      </c>
      <c r="G3" s="7" t="inlineStr">
        <is>
          <t>Âm thanh / Nhạc nền</t>
        </is>
      </c>
      <c r="H3" s="7" t="inlineStr">
        <is>
          <t>Người quay (Media)</t>
        </is>
      </c>
      <c r="I3" s="7" t="inlineStr">
        <is>
          <t>Người lên hình / Voice</t>
        </is>
      </c>
      <c r="J3" s="7" t="inlineStr">
        <is>
          <t>Trạng thái quay dựng</t>
        </is>
      </c>
      <c r="K3" s="7" t="inlineStr">
        <is>
          <t>TikTok Shop / Giỏ hàng</t>
        </is>
      </c>
      <c r="L3" s="7" t="inlineStr">
        <is>
          <t>Hashtags</t>
        </is>
      </c>
      <c r="M3" s="7" t="inlineStr">
        <is>
          <t>Lượt Views</t>
        </is>
      </c>
      <c r="N3" s="7" t="inlineStr">
        <is>
          <t>Tương tác</t>
        </is>
      </c>
      <c r="O3" s="7" t="inlineStr">
        <is>
          <t>Ghi chú viral</t>
        </is>
      </c>
    </row>
    <row r="4" ht="28" customHeight="1">
      <c r="A4" s="8" t="n">
        <v>1</v>
      </c>
      <c r="B4" s="9" t="inlineStr">
        <is>
          <t>TT-01</t>
        </is>
      </c>
      <c r="C4" s="8" t="inlineStr">
        <is>
          <t>05/10/2026</t>
        </is>
      </c>
      <c r="D4" s="16" t="inlineStr">
        <is>
          <t>Khoan thủng bê tông 10cm trong 5 giây? Thử ngay KM18QE!</t>
        </is>
      </c>
      <c r="E4" s="9" t="inlineStr">
        <is>
          <t>Máy khoan KM18QE</t>
        </is>
      </c>
      <c r="F4" s="16" t="inlineStr">
        <is>
          <t>Hook: Cầm máy khoan thẳng vào khối bê tông mác 300. Body: Quay cận cảnh tốc độ khoan và không bị giật tay. CTA: Gắn giỏ hàng</t>
        </is>
      </c>
      <c r="G4" s="9" t="inlineStr">
        <is>
          <t>Nhạc dồn dập, sound effect đục phá</t>
        </is>
      </c>
      <c r="H4" s="8" t="inlineStr">
        <is>
          <t>Tứ (Media)</t>
        </is>
      </c>
      <c r="I4" s="8" t="inlineStr">
        <is>
          <t>Kiều Thương</t>
        </is>
      </c>
      <c r="J4" s="8" t="inlineStr">
        <is>
          <t>Đã đăng</t>
        </is>
      </c>
      <c r="K4" s="9" t="inlineStr">
        <is>
          <t>Gắn mã sản phẩm KM18QE</t>
        </is>
      </c>
      <c r="L4" s="9" t="inlineStr">
        <is>
          <t>#kingblue #maykhoanpin #meotho</t>
        </is>
      </c>
      <c r="M4" s="10" t="n">
        <v>4200</v>
      </c>
      <c r="N4" s="10" t="n">
        <v>156</v>
      </c>
      <c r="O4" s="9" t="inlineStr">
        <is>
          <t>Khán giả quan tâm giá thân máy</t>
        </is>
      </c>
    </row>
    <row r="5" ht="28" customHeight="1">
      <c r="A5" s="11" t="n">
        <v>2</v>
      </c>
      <c r="B5" s="12" t="inlineStr">
        <is>
          <t>TT-02</t>
        </is>
      </c>
      <c r="C5" s="11" t="inlineStr">
        <is>
          <t>07/10/2026</t>
        </is>
      </c>
      <c r="D5" s="17" t="inlineStr">
        <is>
          <t>Thợ cơ khí bất ngờ khi test độ phẳng của thước cuộn tự hãm 7.5m</t>
        </is>
      </c>
      <c r="E5" s="12" t="inlineStr">
        <is>
          <t>Thước cuộn tự hãm</t>
        </is>
      </c>
      <c r="F5" s="17" t="inlineStr">
        <is>
          <t>Hook: Kéo dài thước 3m không gãy gập. Body: Thả rơi tự do từ độ cao 2m xem độ chịu va đập. Kết: Rất chắc chắn.</t>
        </is>
      </c>
      <c r="G5" s="12" t="inlineStr">
        <is>
          <t>Voiceover dí dỏm, chân thực</t>
        </is>
      </c>
      <c r="H5" s="11" t="inlineStr">
        <is>
          <t>Tứ (Media)</t>
        </is>
      </c>
      <c r="I5" s="11" t="inlineStr">
        <is>
          <t>Kiều Thương</t>
        </is>
      </c>
      <c r="J5" s="11" t="inlineStr">
        <is>
          <t>Đang dựng</t>
        </is>
      </c>
      <c r="K5" s="12" t="inlineStr">
        <is>
          <t>Gắn mã Thước cuộn 7.5m</t>
        </is>
      </c>
      <c r="L5" s="12" t="inlineStr">
        <is>
          <t>#kingblue #thuoccuon #reviewdochoi</t>
        </is>
      </c>
      <c r="M5" s="13" t="n">
        <v>0</v>
      </c>
      <c r="N5" s="13" t="n">
        <v>0</v>
      </c>
      <c r="O5" s="12" t="inlineStr">
        <is>
          <t>Dựng video nhịp nhanh dưới 35s</t>
        </is>
      </c>
    </row>
    <row r="6" ht="28" customHeight="1">
      <c r="A6" s="8" t="n">
        <v>3</v>
      </c>
      <c r="B6" s="9" t="inlineStr">
        <is>
          <t>TT-03</t>
        </is>
      </c>
      <c r="C6" s="8" t="inlineStr">
        <is>
          <t>09/10/2026</t>
        </is>
      </c>
      <c r="D6" s="16" t="inlineStr">
        <is>
          <t>Máy siết bu lông 1500Nm mở ốc bánh xe container có nổi không?</t>
        </is>
      </c>
      <c r="E6" s="9" t="inlineStr">
        <is>
          <t>Súng siết bu lông 1500Nm</t>
        </is>
      </c>
      <c r="F6" s="16" t="inlineStr">
        <is>
          <t>Hook: 'Liệu con máy nhỏ này có mở được ốc rỉ sét 5 năm?'. Test thực tế tại bãi xe container.</t>
        </is>
      </c>
      <c r="G6" s="9" t="inlineStr">
        <is>
          <t>Âm thanh máy gầm uy lực</t>
        </is>
      </c>
      <c r="H6" s="8" t="inlineStr">
        <is>
          <t>Tứ (Media)</t>
        </is>
      </c>
      <c r="I6" s="8" t="inlineStr">
        <is>
          <t>Thợ gara khách mời</t>
        </is>
      </c>
      <c r="J6" s="8" t="inlineStr">
        <is>
          <t>Đang quay</t>
        </is>
      </c>
      <c r="K6" s="9" t="inlineStr">
        <is>
          <t>Gắn link giỏ hàng máy bu lông</t>
        </is>
      </c>
      <c r="L6" s="9" t="inlineStr">
        <is>
          <t>#kingblue #mayxietbulong #garaoto</t>
        </is>
      </c>
      <c r="M6" s="10" t="n">
        <v>0</v>
      </c>
      <c r="N6" s="10" t="n">
        <v>0</v>
      </c>
      <c r="O6" s="9" t="inlineStr">
        <is>
          <t>Cần an toàn lao động khi quay bãi xe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16" customWidth="1" min="4" max="4"/>
    <col width="18" customWidth="1" min="5" max="5"/>
    <col width="18" customWidth="1" min="6" max="6"/>
    <col width="32" customWidth="1" min="7" max="7"/>
    <col width="26" customWidth="1" min="8" max="8"/>
    <col width="22" customWidth="1" min="9" max="9"/>
    <col width="20" customWidth="1" min="10" max="10"/>
    <col width="14" customWidth="1" min="11" max="11"/>
    <col width="18" customWidth="1" min="12" max="12"/>
    <col width="26" customWidth="1" min="13" max="13"/>
    <col width="30" customWidth="1" min="14" max="14"/>
  </cols>
  <sheetData>
    <row r="1" ht="36" customHeight="1">
      <c r="A1" s="1" t="inlineStr">
        <is>
          <t>🤝 DANH SÁCH &amp; TIẾN ĐỘ HỢP TÁC KOC / REVIEWER NGÀNH CƠ KHÍ</t>
        </is>
      </c>
    </row>
    <row r="3" ht="26" customHeight="1">
      <c r="A3" s="7" t="inlineStr">
        <is>
          <t>STT</t>
        </is>
      </c>
      <c r="B3" s="7" t="inlineStr">
        <is>
          <t>Kênh / Tên KOC</t>
        </is>
      </c>
      <c r="C3" s="7" t="inlineStr">
        <is>
          <t>Nền tảng</t>
        </is>
      </c>
      <c r="D3" s="7" t="inlineStr">
        <is>
          <t>Followers / Subs</t>
        </is>
      </c>
      <c r="E3" s="7" t="inlineStr">
        <is>
          <t>Người liên hệ (KOC)</t>
        </is>
      </c>
      <c r="F3" s="7" t="inlineStr">
        <is>
          <t>Số điện thoại / Zalo</t>
        </is>
      </c>
      <c r="G3" s="7" t="inlineStr">
        <is>
          <t>Dòng máy gửi trải nghiệm</t>
        </is>
      </c>
      <c r="H3" s="7" t="inlineStr">
        <is>
          <t>Hình thức hợp tác</t>
        </is>
      </c>
      <c r="I3" s="7" t="inlineStr">
        <is>
          <t>Chi phí / Thù lao</t>
        </is>
      </c>
      <c r="J3" s="7" t="inlineStr">
        <is>
          <t>Trạng thái hợp tác</t>
        </is>
      </c>
      <c r="K3" s="7" t="inlineStr">
        <is>
          <t>Ngày gửi mẫu</t>
        </is>
      </c>
      <c r="L3" s="7" t="inlineStr">
        <is>
          <t>Ngày dự kiến lên clip</t>
        </is>
      </c>
      <c r="M3" s="7" t="inlineStr">
        <is>
          <t>Link clip review</t>
        </is>
      </c>
      <c r="N3" s="7" t="inlineStr">
        <is>
          <t>Đánh giá hiệu quả</t>
        </is>
      </c>
    </row>
    <row r="4" ht="26" customHeight="1">
      <c r="A4" s="8" t="n">
        <v>1</v>
      </c>
      <c r="B4" s="9" t="inlineStr">
        <is>
          <t>Đồ Nghề Tự Chọn</t>
        </is>
      </c>
      <c r="C4" s="8" t="inlineStr">
        <is>
          <t>YouTube &amp; TikTok</t>
        </is>
      </c>
      <c r="D4" s="9" t="inlineStr">
        <is>
          <t>280,000</t>
        </is>
      </c>
      <c r="E4" s="9" t="inlineStr">
        <is>
          <t>Anh Vũ</t>
        </is>
      </c>
      <c r="F4" s="9" t="inlineStr">
        <is>
          <t>090xxxxxxx</t>
        </is>
      </c>
      <c r="G4" s="9" t="inlineStr">
        <is>
          <t>Máy khoan KM18 + Bộ mũi đa năng</t>
        </is>
      </c>
      <c r="H4" s="9" t="inlineStr">
        <is>
          <t>Tặng máy trải nghiệm + Affiliate</t>
        </is>
      </c>
      <c r="I4" s="9" t="inlineStr">
        <is>
          <t>0 VNĐ (Affiliate hoa hồng)</t>
        </is>
      </c>
      <c r="J4" s="8" t="inlineStr">
        <is>
          <t>Đã chốt &amp; Gửi máy</t>
        </is>
      </c>
      <c r="K4" s="8" t="inlineStr">
        <is>
          <t>02/10/2026</t>
        </is>
      </c>
      <c r="L4" s="8" t="inlineStr">
        <is>
          <t>12/10/2026</t>
        </is>
      </c>
      <c r="M4" s="9" t="inlineStr">
        <is>
          <t>https://youtube.com/...</t>
        </is>
      </c>
      <c r="N4" s="9" t="inlineStr">
        <is>
          <t>Kênh uy tín cao, tệp thợ chuẩn</t>
        </is>
      </c>
    </row>
    <row r="5" ht="26" customHeight="1">
      <c r="A5" s="11" t="n">
        <v>2</v>
      </c>
      <c r="B5" s="12" t="inlineStr">
        <is>
          <t>Thích Tự Làm</t>
        </is>
      </c>
      <c r="C5" s="11" t="inlineStr">
        <is>
          <t>TikTok &amp; Facebook</t>
        </is>
      </c>
      <c r="D5" s="12" t="inlineStr">
        <is>
          <t>350,000</t>
        </is>
      </c>
      <c r="E5" s="12" t="inlineStr">
        <is>
          <t>Team Admin</t>
        </is>
      </c>
      <c r="F5" s="12" t="inlineStr">
        <is>
          <t>098xxxxxxx</t>
        </is>
      </c>
      <c r="G5" s="12" t="inlineStr">
        <is>
          <t>Máy cân bằng Laser 12 tia</t>
        </is>
      </c>
      <c r="H5" s="12" t="inlineStr">
        <is>
          <t>Tặng sản phẩm + Booking video</t>
        </is>
      </c>
      <c r="I5" s="12" t="inlineStr">
        <is>
          <t>2,500,000 VNĐ</t>
        </is>
      </c>
      <c r="J5" s="11" t="inlineStr">
        <is>
          <t>Đang liên hệ</t>
        </is>
      </c>
      <c r="K5" s="11" t="inlineStr"/>
      <c r="L5" s="11" t="inlineStr">
        <is>
          <t>18/10/2026</t>
        </is>
      </c>
      <c r="M5" s="12" t="inlineStr"/>
      <c r="N5" s="12" t="inlineStr">
        <is>
          <t>Chờ KOC gửi báo giá chính thức</t>
        </is>
      </c>
    </row>
    <row r="6" ht="26" customHeight="1">
      <c r="A6" s="8" t="n">
        <v>3</v>
      </c>
      <c r="B6" s="9" t="inlineStr">
        <is>
          <t>Máy Móc Việt Nam</t>
        </is>
      </c>
      <c r="C6" s="8" t="inlineStr">
        <is>
          <t>YouTube</t>
        </is>
      </c>
      <c r="D6" s="9" t="inlineStr">
        <is>
          <t>190,000</t>
        </is>
      </c>
      <c r="E6" s="9" t="inlineStr">
        <is>
          <t>Anh Hưng</t>
        </is>
      </c>
      <c r="F6" s="9" t="inlineStr">
        <is>
          <t>091xxxxxxx</t>
        </is>
      </c>
      <c r="G6" s="9" t="inlineStr">
        <is>
          <t>Súng siết bu lông 1500Nm KBA-I1500</t>
        </is>
      </c>
      <c r="H6" s="9" t="inlineStr">
        <is>
          <t>Video so sánh đập hộp</t>
        </is>
      </c>
      <c r="I6" s="9" t="inlineStr">
        <is>
          <t>3,000,000 VNĐ</t>
        </is>
      </c>
      <c r="J6" s="8" t="inlineStr">
        <is>
          <t>Đang làm clip</t>
        </is>
      </c>
      <c r="K6" s="8" t="inlineStr">
        <is>
          <t>04/10/2026</t>
        </is>
      </c>
      <c r="L6" s="8" t="inlineStr">
        <is>
          <t>15/10/2026</t>
        </is>
      </c>
      <c r="M6" s="9" t="inlineStr"/>
      <c r="N6" s="9" t="inlineStr">
        <is>
          <t>Chờ bản nháp duyệt trước khi public</t>
        </is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26" customWidth="1" min="4" max="4"/>
    <col width="28" customWidth="1" min="5" max="5"/>
    <col width="18" customWidth="1" min="6" max="6"/>
    <col width="14" customWidth="1" min="7" max="7"/>
    <col width="40" customWidth="1" min="8" max="8"/>
    <col width="30" customWidth="1" min="9" max="9"/>
    <col width="20" customWidth="1" min="10" max="10"/>
    <col width="16" customWidth="1" min="11" max="11"/>
    <col width="20" customWidth="1" min="12" max="12"/>
    <col width="28" customWidth="1" min="13" max="13"/>
  </cols>
  <sheetData>
    <row r="1" ht="36" customHeight="1">
      <c r="A1" s="1" t="inlineStr">
        <is>
          <t>🌐 KẾ HOẠCH BÀI VIẾT CHUẨN SEO WEBSITE KINGBLUE.VN</t>
        </is>
      </c>
    </row>
    <row r="3" ht="26" customHeight="1">
      <c r="A3" s="7" t="inlineStr">
        <is>
          <t>STT</t>
        </is>
      </c>
      <c r="B3" s="7" t="inlineStr">
        <is>
          <t>Mã bài</t>
        </is>
      </c>
      <c r="C3" s="7" t="inlineStr">
        <is>
          <t>Tiêu đề bài viết (H1)</t>
        </is>
      </c>
      <c r="D3" s="7" t="inlineStr">
        <is>
          <t>Từ khóa chính</t>
        </is>
      </c>
      <c r="E3" s="7" t="inlineStr">
        <is>
          <t>Từ khóa phụ</t>
        </is>
      </c>
      <c r="F3" s="7" t="inlineStr">
        <is>
          <t>Search Intent</t>
        </is>
      </c>
      <c r="G3" s="7" t="inlineStr">
        <is>
          <t>Số từ dự kiến</t>
        </is>
      </c>
      <c r="H3" s="7" t="inlineStr">
        <is>
          <t>Meta Description</t>
        </is>
      </c>
      <c r="I3" s="7" t="inlineStr">
        <is>
          <t>URL Slug dự kiến</t>
        </is>
      </c>
      <c r="J3" s="7" t="inlineStr">
        <is>
          <t>Người viết</t>
        </is>
      </c>
      <c r="K3" s="7" t="inlineStr">
        <is>
          <t>Trạng thái bài</t>
        </is>
      </c>
      <c r="L3" s="7" t="inlineStr">
        <is>
          <t>Tình trạng Index Google</t>
        </is>
      </c>
      <c r="M3" s="7" t="inlineStr">
        <is>
          <t>Ghi chú kỹ thuật</t>
        </is>
      </c>
    </row>
    <row r="4" ht="26" customHeight="1">
      <c r="A4" s="8" t="n">
        <v>1</v>
      </c>
      <c r="B4" s="8" t="inlineStr">
        <is>
          <t>SEO-01</t>
        </is>
      </c>
      <c r="C4" s="9" t="inlineStr">
        <is>
          <t>Top 5 Máy Khoan Pin Không Chổi Than Đáng Mua Nhất 2026</t>
        </is>
      </c>
      <c r="D4" s="9" t="inlineStr">
        <is>
          <t>máy khoan pin không chổi than</t>
        </is>
      </c>
      <c r="E4" s="9" t="inlineStr">
        <is>
          <t>máy khoan pin king blue, máy khoan brushless</t>
        </is>
      </c>
      <c r="F4" s="9" t="inlineStr">
        <is>
          <t>Mua hàng / Tìm hiểu</t>
        </is>
      </c>
      <c r="G4" s="8" t="n">
        <v>1800</v>
      </c>
      <c r="H4" s="9" t="inlineStr">
        <is>
          <t>Đánh giá chi tiết top 5 dòng máy khoan pin không chổi than lực khỏe, bền bỉ và tiết kiệm pin tốt nhất hiện nay từ King Blue.</t>
        </is>
      </c>
      <c r="I4" s="9" t="inlineStr">
        <is>
          <t>/top-5-may-khoan-pin-khong-choi-than</t>
        </is>
      </c>
      <c r="J4" s="8" t="inlineStr">
        <is>
          <t>Võ Thị Hoài Thương</t>
        </is>
      </c>
      <c r="K4" s="8" t="inlineStr">
        <is>
          <t>Đã xuất bản</t>
        </is>
      </c>
      <c r="L4" s="8" t="inlineStr">
        <is>
          <t>Đã index</t>
        </is>
      </c>
      <c r="M4" s="9" t="inlineStr">
        <is>
          <t>Gắn link trỏ về danh mục máy khoan</t>
        </is>
      </c>
    </row>
    <row r="5" ht="26" customHeight="1">
      <c r="A5" s="11" t="n">
        <v>2</v>
      </c>
      <c r="B5" s="11" t="inlineStr">
        <is>
          <t>SEO-02</t>
        </is>
      </c>
      <c r="C5" s="12" t="inlineStr">
        <is>
          <t>Công Nghệ Brushless Motor Là Gì? Vì Sao Nên Chọn Máy Pin Động Cơ Không Chổi Than?</t>
        </is>
      </c>
      <c r="D5" s="12" t="inlineStr">
        <is>
          <t>động cơ brushless</t>
        </is>
      </c>
      <c r="E5" s="12" t="inlineStr">
        <is>
          <t>brushless motor là gì, ưu điểm động cơ không chổi than</t>
        </is>
      </c>
      <c r="F5" s="12" t="inlineStr">
        <is>
          <t>Thông tin / Giáo dục</t>
        </is>
      </c>
      <c r="G5" s="11" t="n">
        <v>2200</v>
      </c>
      <c r="H5" s="12" t="inlineStr">
        <is>
          <t>Tìm hiểu toàn diện nguyên lý hoạt động và lý do vì sao động cơ Brushless Motor trở thành tiêu chuẩn vàng trên máy pin King Blue.</t>
        </is>
      </c>
      <c r="I5" s="12" t="inlineStr">
        <is>
          <t>/dong-co-brushless-motor-la-gi</t>
        </is>
      </c>
      <c r="J5" s="11" t="inlineStr">
        <is>
          <t>Võ Thị Hoài Thương</t>
        </is>
      </c>
      <c r="K5" s="11" t="inlineStr">
        <is>
          <t>Đã xuất bản</t>
        </is>
      </c>
      <c r="L5" s="11" t="inlineStr">
        <is>
          <t>Đã index</t>
        </is>
      </c>
      <c r="M5" s="12" t="inlineStr">
        <is>
          <t>Bài viết trụ cột (Pillar content)</t>
        </is>
      </c>
    </row>
    <row r="6" ht="26" customHeight="1">
      <c r="A6" s="8" t="n">
        <v>3</v>
      </c>
      <c r="B6" s="8" t="inlineStr">
        <is>
          <t>SEO-03</t>
        </is>
      </c>
      <c r="C6" s="9" t="inlineStr">
        <is>
          <t>Đá Cắt Sắt 107mm King Blue: Bền Gấp 3 Lần, Cắt Ngọt Không Cháy Phôi</t>
        </is>
      </c>
      <c r="D6" s="9" t="inlineStr">
        <is>
          <t>đá cắt sắt 107mm</t>
        </is>
      </c>
      <c r="E6" s="9" t="inlineStr">
        <is>
          <t>đá cắt king blue, đá cắt sắt bén</t>
        </is>
      </c>
      <c r="F6" s="9" t="inlineStr">
        <is>
          <t>Mua hàng</t>
        </is>
      </c>
      <c r="G6" s="8" t="n">
        <v>1400</v>
      </c>
      <c r="H6" s="9" t="inlineStr">
        <is>
          <t>Khám phá dòng đá cắt sắt 107mm King Blue với công nghệ hạt mài cao cấp, chống vỡ an toàn và tuổi thọ vượt trội.</t>
        </is>
      </c>
      <c r="I6" s="9" t="inlineStr">
        <is>
          <t>/da-cat-sat-107mm-kingblue</t>
        </is>
      </c>
      <c r="J6" s="8" t="inlineStr">
        <is>
          <t>Võ Thị Hoài Thương</t>
        </is>
      </c>
      <c r="K6" s="8" t="inlineStr">
        <is>
          <t>Đang viết</t>
        </is>
      </c>
      <c r="L6" s="8" t="inlineStr">
        <is>
          <t>Chưa index</t>
        </is>
      </c>
      <c r="M6" s="9" t="inlineStr">
        <is>
          <t>Chờ Thiện gửi ảnh chụp bao bì mới</t>
        </is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36" customHeight="1">
      <c r="A1" s="18" t="inlineStr">
        <is>
          <t>⚙️ DANH MỤC THIẾT LẬP DROPDOWN &amp; HỆ THỐNG - KING BLUE MARKETING</t>
        </is>
      </c>
    </row>
    <row r="3" ht="24" customHeight="1">
      <c r="A3" s="7" t="inlineStr">
        <is>
          <t>KÊNH ĐĂNG</t>
        </is>
      </c>
      <c r="B3" s="7" t="inlineStr">
        <is>
          <t>ĐỊNH DẠNG</t>
        </is>
      </c>
      <c r="C3" s="7" t="inlineStr">
        <is>
          <t>TRỤ CỘT NỘI DUNG</t>
        </is>
      </c>
      <c r="D3" s="7" t="inlineStr">
        <is>
          <t>DÒNG SẢN PHẨM</t>
        </is>
      </c>
      <c r="E3" s="7" t="inlineStr">
        <is>
          <t>NHÂN SỰ PHỤ TRÁCH</t>
        </is>
      </c>
      <c r="F3" s="7" t="inlineStr">
        <is>
          <t>TRẠNG THÁI CONTENT</t>
        </is>
      </c>
    </row>
    <row r="4">
      <c r="A4" s="8" t="inlineStr">
        <is>
          <t>Facebook Fanpage</t>
        </is>
      </c>
      <c r="B4" s="8" t="inlineStr">
        <is>
          <t>Video ngắn (Reels/TikTok)</t>
        </is>
      </c>
      <c r="C4" s="9" t="inlineStr">
        <is>
          <t>Giới thiệu sản phẩm</t>
        </is>
      </c>
      <c r="D4" s="9" t="inlineStr">
        <is>
          <t>Máy pin Brushless</t>
        </is>
      </c>
      <c r="E4" s="8" t="inlineStr">
        <is>
          <t>Võ Thị Hoài Thương</t>
        </is>
      </c>
      <c r="F4" s="8" t="inlineStr">
        <is>
          <t>Lên ý tưởng</t>
        </is>
      </c>
    </row>
    <row r="5">
      <c r="A5" s="8" t="inlineStr">
        <is>
          <t>TikTok</t>
        </is>
      </c>
      <c r="B5" s="8" t="inlineStr">
        <is>
          <t>Video dài (Youtube)</t>
        </is>
      </c>
      <c r="C5" s="9" t="inlineStr">
        <is>
          <t>Mẹo thợ &amp; Trải nghiệm</t>
        </is>
      </c>
      <c r="D5" s="9" t="inlineStr">
        <is>
          <t>Dụng cụ cầm tay</t>
        </is>
      </c>
      <c r="E5" s="8" t="inlineStr">
        <is>
          <t>Kiều Thương</t>
        </is>
      </c>
      <c r="F5" s="8" t="inlineStr">
        <is>
          <t>Đang viết kịch bản</t>
        </is>
      </c>
    </row>
    <row r="6">
      <c r="A6" s="8" t="inlineStr">
        <is>
          <t>YouTube Shorts</t>
        </is>
      </c>
      <c r="B6" s="8" t="inlineStr">
        <is>
          <t>Album ảnh</t>
        </is>
      </c>
      <c r="C6" s="9" t="inlineStr">
        <is>
          <t>Giáo dục kỹ thuật</t>
        </is>
      </c>
      <c r="D6" s="9" t="inlineStr">
        <is>
          <t>Đá cắt &amp; Đá mài</t>
        </is>
      </c>
      <c r="E6" s="8" t="inlineStr">
        <is>
          <t>Thương Thương</t>
        </is>
      </c>
      <c r="F6" s="8" t="inlineStr">
        <is>
          <t>Đang viết bài</t>
        </is>
      </c>
    </row>
    <row r="7">
      <c r="A7" s="8" t="inlineStr">
        <is>
          <t>YouTube Video</t>
        </is>
      </c>
      <c r="B7" s="8" t="inlineStr">
        <is>
          <t>Single Post / Ảnh đơn</t>
        </is>
      </c>
      <c r="C7" s="9" t="inlineStr">
        <is>
          <t>Đại lý &amp; Phân phối</t>
        </is>
      </c>
      <c r="D7" s="9" t="inlineStr">
        <is>
          <t>Thiết bị đo Laser</t>
        </is>
      </c>
      <c r="E7" s="8" t="inlineStr">
        <is>
          <t>Thiện</t>
        </is>
      </c>
      <c r="F7" s="8" t="inlineStr">
        <is>
          <t>Đang quay</t>
        </is>
      </c>
    </row>
    <row r="8">
      <c r="A8" s="8" t="inlineStr">
        <is>
          <t>Website SEO</t>
        </is>
      </c>
      <c r="B8" s="8" t="inlineStr">
        <is>
          <t>Infographic / POSM</t>
        </is>
      </c>
      <c r="C8" s="9" t="inlineStr">
        <is>
          <t>Minigame &amp; Tương tác</t>
        </is>
      </c>
      <c r="D8" s="9" t="inlineStr">
        <is>
          <t>Vật tư tiêu hao kim khí</t>
        </is>
      </c>
      <c r="E8" s="8" t="inlineStr">
        <is>
          <t>Tứ</t>
        </is>
      </c>
      <c r="F8" s="8" t="inlineStr">
        <is>
          <t>Đang dựng</t>
        </is>
      </c>
    </row>
    <row r="9">
      <c r="A9" s="8" t="inlineStr">
        <is>
          <t>Zalo OA</t>
        </is>
      </c>
      <c r="B9" s="8" t="inlineStr">
        <is>
          <t>Bài viết chuẩn SEO</t>
        </is>
      </c>
      <c r="C9" s="9" t="inlineStr">
        <is>
          <t>KOC &amp; Reviewer</t>
        </is>
      </c>
      <c r="D9" s="9" t="inlineStr">
        <is>
          <t>Chính sách B2B</t>
        </is>
      </c>
      <c r="E9" s="8" t="inlineStr">
        <is>
          <t>Thức</t>
        </is>
      </c>
      <c r="F9" s="8" t="inlineStr">
        <is>
          <t>Chờ thiết kế</t>
        </is>
      </c>
    </row>
    <row r="10">
      <c r="A10" s="8" t="inlineStr">
        <is>
          <t>KOC &amp; Reviewer</t>
        </is>
      </c>
      <c r="B10" s="8" t="inlineStr">
        <is>
          <t>Mini Game / Give away</t>
        </is>
      </c>
      <c r="C10" s="9" t="inlineStr">
        <is>
          <t>Hậu trường &amp; Đội ngũ</t>
        </is>
      </c>
      <c r="D10" s="9" t="inlineStr">
        <is>
          <t>Khác</t>
        </is>
      </c>
      <c r="E10" s="8" t="inlineStr">
        <is>
          <t>Ngân</t>
        </is>
      </c>
      <c r="F10" s="8" t="inlineStr">
        <is>
          <t>Đang duyệt</t>
        </is>
      </c>
    </row>
    <row r="11">
      <c r="A11" s="8" t="inlineStr">
        <is>
          <t>Sàn TMĐT Shopee/Lazada</t>
        </is>
      </c>
      <c r="E11" s="8" t="inlineStr">
        <is>
          <t>Hùng</t>
        </is>
      </c>
      <c r="F11" s="8" t="inlineStr">
        <is>
          <t>Sẵn sàng đăng</t>
        </is>
      </c>
    </row>
    <row r="12">
      <c r="E12" s="8" t="inlineStr">
        <is>
          <t>Marketing Manager</t>
        </is>
      </c>
      <c r="F12" s="8" t="inlineStr">
        <is>
          <t>Đã đăng</t>
        </is>
      </c>
    </row>
    <row r="13">
      <c r="F13" s="8" t="inlineStr">
        <is>
          <t>Tạm hoãn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2026-10-08T03:53:24Z</dcterms:created>
  <dcterms:modified xmlns:dcterms="http://purl.org/dc/terms/" xmlns:xsi="http://www.w3.org/2001/XMLSchema-instance" xsi:type="dcterms:W3CDTF">2026-10-08T03:53:24Z</dcterms:modified>
</cp:coreProperties>
</file>
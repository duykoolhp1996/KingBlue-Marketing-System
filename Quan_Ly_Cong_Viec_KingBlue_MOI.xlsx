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 Manager" sheetId="1" state="visible" r:id="rId1"/>
    <sheet xmlns:r="http://schemas.openxmlformats.org/officeDocument/2006/relationships" name="Hoai Thuong" sheetId="2" state="visible" r:id="rId2"/>
    <sheet xmlns:r="http://schemas.openxmlformats.org/officeDocument/2006/relationships" name="Kieu Thuong" sheetId="3" state="visible" r:id="rId3"/>
    <sheet xmlns:r="http://schemas.openxmlformats.org/officeDocument/2006/relationships" name="Thuy Thuong" sheetId="4" state="visible" r:id="rId4"/>
    <sheet xmlns:r="http://schemas.openxmlformats.org/officeDocument/2006/relationships" name="Thien" sheetId="5" state="visible" r:id="rId5"/>
    <sheet xmlns:r="http://schemas.openxmlformats.org/officeDocument/2006/relationships" name="Tu" sheetId="6" state="visible" r:id="rId6"/>
    <sheet xmlns:r="http://schemas.openxmlformats.org/officeDocument/2006/relationships" name="Thuc" sheetId="7" state="visible" r:id="rId7"/>
    <sheet xmlns:r="http://schemas.openxmlformats.org/officeDocument/2006/relationships" name="Ngan" sheetId="8" state="visible" r:id="rId8"/>
    <sheet xmlns:r="http://schemas.openxmlformats.org/officeDocument/2006/relationships" name="Hung MN" sheetId="9" state="visible" r:id="rId9"/>
    <sheet xmlns:r="http://schemas.openxmlformats.org/officeDocument/2006/relationships" name="Hung MB" sheetId="10" state="visible" r:id="rId10"/>
    <sheet xmlns:r="http://schemas.openxmlformats.org/officeDocument/2006/relationships" name="CAU HINH" sheetId="11" state="visible" r:id="rId11"/>
    <sheet xmlns:r="http://schemas.openxmlformats.org/officeDocument/2006/relationships" name="TONG HOP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4748B"/>
      <sz val="9"/>
    </font>
    <font>
      <b val="1"/>
      <color rgb="00FFFFFF"/>
      <sz val="10"/>
    </font>
    <font>
      <b val="1"/>
      <color rgb="00FFFFFF"/>
      <sz val="12"/>
    </font>
    <font>
      <b val="1"/>
      <color rgb="00FFFFFF"/>
      <sz val="9"/>
    </font>
    <font>
      <b val="1"/>
      <color rgb="001D4ED8"/>
      <sz val="14"/>
    </font>
  </fonts>
  <fills count="6">
    <fill>
      <patternFill/>
    </fill>
    <fill>
      <patternFill patternType="gray125"/>
    </fill>
    <fill>
      <patternFill patternType="solid">
        <fgColor rgb="000A1329"/>
      </patternFill>
    </fill>
    <fill>
      <patternFill patternType="solid">
        <fgColor rgb="001E3A8A"/>
      </patternFill>
    </fill>
    <fill>
      <patternFill patternType="solid">
        <fgColor rgb="00F6F8FC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CE1E9"/>
      </left>
      <right style="thin">
        <color rgb="00DCE1E9"/>
      </right>
      <top style="thin">
        <color rgb="00DCE1E9"/>
      </top>
      <bottom style="thin">
        <color rgb="00DCE1E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vertical="center"/>
    </xf>
    <xf numFmtId="0" fontId="0" fillId="4" borderId="1" pivotButton="0" quotePrefix="0" xfId="0"/>
    <xf numFmtId="0" fontId="4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22" customWidth="1" min="4" max="4"/>
    <col width="17" customWidth="1" min="5" max="5"/>
    <col width="16" customWidth="1" min="6" max="6"/>
    <col width="14" customWidth="1" min="7" max="7"/>
    <col width="14" customWidth="1" min="8" max="8"/>
    <col width="15" customWidth="1" min="9" max="9"/>
    <col width="11" customWidth="1" min="10" max="10"/>
    <col width="15" customWidth="1" min="11" max="11"/>
    <col width="13" customWidth="1" min="12" max="12"/>
    <col width="22" customWidth="1" min="13" max="13"/>
    <col width="30" customWidth="1" min="14" max="14"/>
  </cols>
  <sheetData>
    <row r="1" ht="34" customHeight="1">
      <c r="A1" s="1" t="inlineStr">
        <is>
          <t>CÔNG VIỆC - MARKETING MANAGER  (Trưởng Phòng Marketing)</t>
        </is>
      </c>
    </row>
    <row r="2">
      <c r="A2" s="2" t="inlineStr">
        <is>
          <t>Bộ phận: Ban Quản Lý  ·  Mọi thay đổi ở đây tự động tổng hợp vào tab TONG HOP.</t>
        </is>
      </c>
    </row>
    <row r="4" ht="30" customHeight="1">
      <c r="A4" s="3" t="inlineStr">
        <is>
          <t>STT</t>
        </is>
      </c>
      <c r="B4" s="3" t="inlineStr">
        <is>
          <t>Mã CV</t>
        </is>
      </c>
      <c r="C4" s="3" t="inlineStr">
        <is>
          <t>Tên công việc</t>
        </is>
      </c>
      <c r="D4" s="3" t="inlineStr">
        <is>
          <t>Nhóm công việc</t>
        </is>
      </c>
      <c r="E4" s="3" t="inlineStr">
        <is>
          <t>Người thực hiện</t>
        </is>
      </c>
      <c r="F4" s="3" t="inlineStr">
        <is>
          <t>Người phối hợp</t>
        </is>
      </c>
      <c r="G4" s="3" t="inlineStr">
        <is>
          <t>Ngày bắt đầu</t>
        </is>
      </c>
      <c r="H4" s="3" t="inlineStr">
        <is>
          <t>Hạn chót</t>
        </is>
      </c>
      <c r="I4" s="3" t="inlineStr">
        <is>
          <t>Trạng thái</t>
        </is>
      </c>
      <c r="J4" s="3" t="inlineStr">
        <is>
          <t>% Tiến độ</t>
        </is>
      </c>
      <c r="K4" s="3" t="inlineStr">
        <is>
          <t>Trạng thái hạn</t>
        </is>
      </c>
      <c r="L4" s="3" t="inlineStr">
        <is>
          <t>Độ ưu tiên</t>
        </is>
      </c>
      <c r="M4" s="3" t="inlineStr">
        <is>
          <t>Link tài liệu</t>
        </is>
      </c>
      <c r="N4" s="3" t="inlineStr">
        <is>
          <t>Ghi chú</t>
        </is>
      </c>
    </row>
    <row r="5">
      <c r="A5" s="4">
        <f>IF(B5:B500&lt;&gt;"",ROW(B5:B500)-4,"")</f>
        <v/>
      </c>
      <c r="B5" s="5" t="inlineStr">
        <is>
          <t>KB-MKT-01</t>
        </is>
      </c>
      <c r="C5" s="6" t="inlineStr">
        <is>
          <t>Duyệt kế hoạch Marketing tháng 10 &amp; phân bổ KPI</t>
        </is>
      </c>
      <c r="D5" s="5" t="inlineStr">
        <is>
          <t>Khác</t>
        </is>
      </c>
      <c r="E5" s="4">
        <f>IF(B5:B500&lt;&gt;"","Marketing Manager","")</f>
        <v/>
      </c>
      <c r="F5" s="5" t="inlineStr">
        <is>
          <t>Hoài Thương</t>
        </is>
      </c>
      <c r="G5" s="7" t="n">
        <v>46296</v>
      </c>
      <c r="H5" s="7" t="n">
        <v>46302</v>
      </c>
      <c r="I5" s="5" t="inlineStr">
        <is>
          <t>Đang làm</t>
        </is>
      </c>
      <c r="J5" s="5" t="inlineStr">
        <is>
          <t>50%</t>
        </is>
      </c>
      <c r="K5" s="4">
        <f>IF(B5:B500="","",IF(I5:I500="Hoàn thành","Đã xong",IFERROR(IF(H5:H500="","Đúng hạn",IF(H5:H500&lt;TODAY(),"Quá hạn",IF(H5:H500-TODAY()&lt;=2,"Sắp đến hạn","Đúng hạn"))),"Đúng hạn")))</f>
        <v/>
      </c>
      <c r="L5" s="5" t="inlineStr">
        <is>
          <t>Khẩn cấp</t>
        </is>
      </c>
      <c r="M5" s="5" t="inlineStr"/>
      <c r="N5" s="6" t="inlineStr">
        <is>
          <t>Họp Ban Giám Đốc cuối tuần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</row>
  </sheetData>
  <mergeCells count="1">
    <mergeCell ref="A1:N1"/>
  </mergeCells>
  <dataValidations count="4">
    <dataValidation sqref="D5:D500" showDropDown="0" showInputMessage="0" showErrorMessage="0" allowBlank="1" error="Giá trị không hợp lệ, vui lòng chọn từ danh sách." promptTitle="Nhóm công việc" type="list">
      <formula1>='CAU HINH'!$C$4:$C$40</formula1>
    </dataValidation>
    <dataValidation sqref="F5:F500" showDropDown="0" showInputMessage="0" showErrorMessage="0" allowBlank="1" error="Giá trị không hợp lệ, vui lòng chọn từ danh sách." promptTitle="Người phối hợp" type="list">
      <formula1>='CAU HINH'!$D$4:$D$40</formula1>
    </dataValidation>
    <dataValidation sqref="I5:I500" showDropDown="0" showInputMessage="0" showErrorMessage="0" allowBlank="1" error="Giá trị không hợp lệ, vui lòng chọn từ danh sách." promptTitle="Trạng thái" type="list">
      <formula1>='CAU HINH'!$A$4:$A$40</formula1>
    </dataValidation>
    <dataValidation sqref="L5:L500" showDropDown="0" showInputMessage="0" showErrorMessage="0" allowBlank="1" error="Giá trị không hợp lệ, vui lòng chọn từ danh sách." promptTitle="Độ ưu tiên" type="list">
      <formula1>='CAU HINH'!$B$4:$B$40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22" customWidth="1" min="4" max="4"/>
    <col width="17" customWidth="1" min="5" max="5"/>
    <col width="16" customWidth="1" min="6" max="6"/>
    <col width="14" customWidth="1" min="7" max="7"/>
    <col width="14" customWidth="1" min="8" max="8"/>
    <col width="15" customWidth="1" min="9" max="9"/>
    <col width="11" customWidth="1" min="10" max="10"/>
    <col width="15" customWidth="1" min="11" max="11"/>
    <col width="13" customWidth="1" min="12" max="12"/>
    <col width="22" customWidth="1" min="13" max="13"/>
    <col width="30" customWidth="1" min="14" max="14"/>
  </cols>
  <sheetData>
    <row r="1" ht="34" customHeight="1">
      <c r="A1" s="1" t="inlineStr">
        <is>
          <t>CÔNG VIỆC - HOÀI THƯƠNG  (Content Marketing &amp; SEO)</t>
        </is>
      </c>
    </row>
    <row r="2">
      <c r="A2" s="2" t="inlineStr">
        <is>
          <t>Bộ phận: Content  ·  Mọi thay đổi ở đây tự động tổng hợp vào tab TONG HOP.</t>
        </is>
      </c>
    </row>
    <row r="4" ht="30" customHeight="1">
      <c r="A4" s="3" t="inlineStr">
        <is>
          <t>STT</t>
        </is>
      </c>
      <c r="B4" s="3" t="inlineStr">
        <is>
          <t>Mã CV</t>
        </is>
      </c>
      <c r="C4" s="3" t="inlineStr">
        <is>
          <t>Tên công việc</t>
        </is>
      </c>
      <c r="D4" s="3" t="inlineStr">
        <is>
          <t>Nhóm công việc</t>
        </is>
      </c>
      <c r="E4" s="3" t="inlineStr">
        <is>
          <t>Người thực hiện</t>
        </is>
      </c>
      <c r="F4" s="3" t="inlineStr">
        <is>
          <t>Người phối hợp</t>
        </is>
      </c>
      <c r="G4" s="3" t="inlineStr">
        <is>
          <t>Ngày bắt đầu</t>
        </is>
      </c>
      <c r="H4" s="3" t="inlineStr">
        <is>
          <t>Hạn chót</t>
        </is>
      </c>
      <c r="I4" s="3" t="inlineStr">
        <is>
          <t>Trạng thái</t>
        </is>
      </c>
      <c r="J4" s="3" t="inlineStr">
        <is>
          <t>% Tiến độ</t>
        </is>
      </c>
      <c r="K4" s="3" t="inlineStr">
        <is>
          <t>Trạng thái hạn</t>
        </is>
      </c>
      <c r="L4" s="3" t="inlineStr">
        <is>
          <t>Độ ưu tiên</t>
        </is>
      </c>
      <c r="M4" s="3" t="inlineStr">
        <is>
          <t>Link tài liệu</t>
        </is>
      </c>
      <c r="N4" s="3" t="inlineStr">
        <is>
          <t>Ghi chú</t>
        </is>
      </c>
    </row>
    <row r="5">
      <c r="A5" s="4">
        <f>IF(B5:B500&lt;&gt;"",ROW(B5:B500)-4,"")</f>
        <v/>
      </c>
      <c r="B5" s="5" t="inlineStr">
        <is>
          <t>KB-MKT-02</t>
        </is>
      </c>
      <c r="C5" s="6" t="inlineStr">
        <is>
          <t>Rà soát &amp; tối ưu SEO toàn bộ trang sản phẩm</t>
        </is>
      </c>
      <c r="D5" s="5" t="inlineStr">
        <is>
          <t>Website &amp; SEO</t>
        </is>
      </c>
      <c r="E5" s="4">
        <f>IF(B5:B500&lt;&gt;"","Hoài Thương","")</f>
        <v/>
      </c>
      <c r="F5" s="5" t="inlineStr">
        <is>
          <t>Thiện</t>
        </is>
      </c>
      <c r="G5" s="7" t="n">
        <v>46296</v>
      </c>
      <c r="H5" s="7" t="n">
        <v>46305</v>
      </c>
      <c r="I5" s="5" t="inlineStr">
        <is>
          <t>Đang làm</t>
        </is>
      </c>
      <c r="J5" s="5" t="inlineStr">
        <is>
          <t>60%</t>
        </is>
      </c>
      <c r="K5" s="4">
        <f>IF(B5:B500="","",IF(I5:I500="Hoàn thành","Đã xong",IFERROR(IF(H5:H500="","Đúng hạn",IF(H5:H500&lt;TODAY(),"Quá hạn",IF(H5:H500-TODAY()&lt;=2,"Sắp đến hạn","Đúng hạn"))),"Đúng hạn")))</f>
        <v/>
      </c>
      <c r="L5" s="5" t="inlineStr">
        <is>
          <t>Cao</t>
        </is>
      </c>
      <c r="M5" s="5" t="inlineStr"/>
      <c r="N5" s="6" t="inlineStr">
        <is>
          <t>Ưu tiên nhóm sản phẩm chủ lực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</row>
  </sheetData>
  <mergeCells count="1">
    <mergeCell ref="A1:N1"/>
  </mergeCells>
  <dataValidations count="4">
    <dataValidation sqref="D5:D500" showDropDown="0" showInputMessage="0" showErrorMessage="0" allowBlank="1" error="Giá trị không hợp lệ, vui lòng chọn từ danh sách." promptTitle="Nhóm công việc" type="list">
      <formula1>='CAU HINH'!$C$4:$C$40</formula1>
    </dataValidation>
    <dataValidation sqref="F5:F500" showDropDown="0" showInputMessage="0" showErrorMessage="0" allowBlank="1" error="Giá trị không hợp lệ, vui lòng chọn từ danh sách." promptTitle="Người phối hợp" type="list">
      <formula1>='CAU HINH'!$D$4:$D$40</formula1>
    </dataValidation>
    <dataValidation sqref="I5:I500" showDropDown="0" showInputMessage="0" showErrorMessage="0" allowBlank="1" error="Giá trị không hợp lệ, vui lòng chọn từ danh sách." promptTitle="Trạng thái" type="list">
      <formula1>='CAU HINH'!$A$4:$A$40</formula1>
    </dataValidation>
    <dataValidation sqref="L5:L500" showDropDown="0" showInputMessage="0" showErrorMessage="0" allowBlank="1" error="Giá trị không hợp lệ, vui lòng chọn từ danh sách." promptTitle="Độ ưu tiên" type="list">
      <formula1>='CAU HINH'!$B$4:$B$40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22" customWidth="1" min="4" max="4"/>
    <col width="17" customWidth="1" min="5" max="5"/>
    <col width="16" customWidth="1" min="6" max="6"/>
    <col width="14" customWidth="1" min="7" max="7"/>
    <col width="14" customWidth="1" min="8" max="8"/>
    <col width="15" customWidth="1" min="9" max="9"/>
    <col width="11" customWidth="1" min="10" max="10"/>
    <col width="15" customWidth="1" min="11" max="11"/>
    <col width="13" customWidth="1" min="12" max="12"/>
    <col width="22" customWidth="1" min="13" max="13"/>
    <col width="30" customWidth="1" min="14" max="14"/>
  </cols>
  <sheetData>
    <row r="1" ht="34" customHeight="1">
      <c r="A1" s="1" t="inlineStr">
        <is>
          <t>CÔNG VIỆC - KIỀU THƯƠNG  (Content Video &amp; KOC)</t>
        </is>
      </c>
    </row>
    <row r="2">
      <c r="A2" s="2" t="inlineStr">
        <is>
          <t>Bộ phận: Content  ·  Mọi thay đổi ở đây tự động tổng hợp vào tab TONG HOP.</t>
        </is>
      </c>
    </row>
    <row r="4" ht="30" customHeight="1">
      <c r="A4" s="3" t="inlineStr">
        <is>
          <t>STT</t>
        </is>
      </c>
      <c r="B4" s="3" t="inlineStr">
        <is>
          <t>Mã CV</t>
        </is>
      </c>
      <c r="C4" s="3" t="inlineStr">
        <is>
          <t>Tên công việc</t>
        </is>
      </c>
      <c r="D4" s="3" t="inlineStr">
        <is>
          <t>Nhóm công việc</t>
        </is>
      </c>
      <c r="E4" s="3" t="inlineStr">
        <is>
          <t>Người thực hiện</t>
        </is>
      </c>
      <c r="F4" s="3" t="inlineStr">
        <is>
          <t>Người phối hợp</t>
        </is>
      </c>
      <c r="G4" s="3" t="inlineStr">
        <is>
          <t>Ngày bắt đầu</t>
        </is>
      </c>
      <c r="H4" s="3" t="inlineStr">
        <is>
          <t>Hạn chót</t>
        </is>
      </c>
      <c r="I4" s="3" t="inlineStr">
        <is>
          <t>Trạng thái</t>
        </is>
      </c>
      <c r="J4" s="3" t="inlineStr">
        <is>
          <t>% Tiến độ</t>
        </is>
      </c>
      <c r="K4" s="3" t="inlineStr">
        <is>
          <t>Trạng thái hạn</t>
        </is>
      </c>
      <c r="L4" s="3" t="inlineStr">
        <is>
          <t>Độ ưu tiên</t>
        </is>
      </c>
      <c r="M4" s="3" t="inlineStr">
        <is>
          <t>Link tài liệu</t>
        </is>
      </c>
      <c r="N4" s="3" t="inlineStr">
        <is>
          <t>Ghi chú</t>
        </is>
      </c>
    </row>
    <row r="5">
      <c r="A5" s="4">
        <f>IF(B5:B500&lt;&gt;"",ROW(B5:B500)-4,"")</f>
        <v/>
      </c>
      <c r="B5" s="5" t="inlineStr">
        <is>
          <t>KB-MKT-03</t>
        </is>
      </c>
      <c r="C5" s="6" t="inlineStr">
        <is>
          <t>Sản xuất 10 video review sản phẩm đăng TikTok</t>
        </is>
      </c>
      <c r="D5" s="5" t="inlineStr">
        <is>
          <t>TikTok &amp; KOC</t>
        </is>
      </c>
      <c r="E5" s="4">
        <f>IF(B5:B500&lt;&gt;"","Kiều Thương","")</f>
        <v/>
      </c>
      <c r="F5" s="5" t="inlineStr">
        <is>
          <t>Tứ</t>
        </is>
      </c>
      <c r="G5" s="7" t="n">
        <v>46293</v>
      </c>
      <c r="H5" s="7" t="n">
        <v>46303</v>
      </c>
      <c r="I5" s="5" t="inlineStr">
        <is>
          <t>Đang duyệt</t>
        </is>
      </c>
      <c r="J5" s="5" t="inlineStr">
        <is>
          <t>90%</t>
        </is>
      </c>
      <c r="K5" s="4">
        <f>IF(B5:B500="","",IF(I5:I500="Hoàn thành","Đã xong",IFERROR(IF(H5:H500="","Đúng hạn",IF(H5:H500&lt;TODAY(),"Quá hạn",IF(H5:H500-TODAY()&lt;=2,"Sắp đến hạn","Đúng hạn"))),"Đúng hạn")))</f>
        <v/>
      </c>
      <c r="L5" s="5" t="inlineStr">
        <is>
          <t>Khẩn cấp</t>
        </is>
      </c>
      <c r="M5" s="5" t="inlineStr"/>
      <c r="N5" s="6" t="inlineStr">
        <is>
          <t>Chờ duyệt kịch bản số 7-10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</row>
  </sheetData>
  <mergeCells count="1">
    <mergeCell ref="A1:N1"/>
  </mergeCells>
  <dataValidations count="4">
    <dataValidation sqref="D5:D500" showDropDown="0" showInputMessage="0" showErrorMessage="0" allowBlank="1" error="Giá trị không hợp lệ, vui lòng chọn từ danh sách." promptTitle="Nhóm công việc" type="list">
      <formula1>='CAU HINH'!$C$4:$C$40</formula1>
    </dataValidation>
    <dataValidation sqref="F5:F500" showDropDown="0" showInputMessage="0" showErrorMessage="0" allowBlank="1" error="Giá trị không hợp lệ, vui lòng chọn từ danh sách." promptTitle="Người phối hợp" type="list">
      <formula1>='CAU HINH'!$D$4:$D$40</formula1>
    </dataValidation>
    <dataValidation sqref="I5:I500" showDropDown="0" showInputMessage="0" showErrorMessage="0" allowBlank="1" error="Giá trị không hợp lệ, vui lòng chọn từ danh sách." promptTitle="Trạng thái" type="list">
      <formula1>='CAU HINH'!$A$4:$A$40</formula1>
    </dataValidation>
    <dataValidation sqref="L5:L500" showDropDown="0" showInputMessage="0" showErrorMessage="0" allowBlank="1" error="Giá trị không hợp lệ, vui lòng chọn từ danh sách." promptTitle="Độ ưu tiên" type="list">
      <formula1>='CAU HINH'!$B$4:$B$40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22" customWidth="1" min="4" max="4"/>
    <col width="17" customWidth="1" min="5" max="5"/>
    <col width="16" customWidth="1" min="6" max="6"/>
    <col width="14" customWidth="1" min="7" max="7"/>
    <col width="14" customWidth="1" min="8" max="8"/>
    <col width="15" customWidth="1" min="9" max="9"/>
    <col width="11" customWidth="1" min="10" max="10"/>
    <col width="15" customWidth="1" min="11" max="11"/>
    <col width="13" customWidth="1" min="12" max="12"/>
    <col width="22" customWidth="1" min="13" max="13"/>
    <col width="30" customWidth="1" min="14" max="14"/>
  </cols>
  <sheetData>
    <row r="1" ht="34" customHeight="1">
      <c r="A1" s="1" t="inlineStr">
        <is>
          <t>CÔNG VIỆC - THỤY THƯƠNG  (Trade Marketing)</t>
        </is>
      </c>
    </row>
    <row r="2">
      <c r="A2" s="2" t="inlineStr">
        <is>
          <t>Bộ phận: Content  ·  Mọi thay đổi ở đây tự động tổng hợp vào tab TONG HOP.</t>
        </is>
      </c>
    </row>
    <row r="4" ht="30" customHeight="1">
      <c r="A4" s="3" t="inlineStr">
        <is>
          <t>STT</t>
        </is>
      </c>
      <c r="B4" s="3" t="inlineStr">
        <is>
          <t>Mã CV</t>
        </is>
      </c>
      <c r="C4" s="3" t="inlineStr">
        <is>
          <t>Tên công việc</t>
        </is>
      </c>
      <c r="D4" s="3" t="inlineStr">
        <is>
          <t>Nhóm công việc</t>
        </is>
      </c>
      <c r="E4" s="3" t="inlineStr">
        <is>
          <t>Người thực hiện</t>
        </is>
      </c>
      <c r="F4" s="3" t="inlineStr">
        <is>
          <t>Người phối hợp</t>
        </is>
      </c>
      <c r="G4" s="3" t="inlineStr">
        <is>
          <t>Ngày bắt đầu</t>
        </is>
      </c>
      <c r="H4" s="3" t="inlineStr">
        <is>
          <t>Hạn chót</t>
        </is>
      </c>
      <c r="I4" s="3" t="inlineStr">
        <is>
          <t>Trạng thái</t>
        </is>
      </c>
      <c r="J4" s="3" t="inlineStr">
        <is>
          <t>% Tiến độ</t>
        </is>
      </c>
      <c r="K4" s="3" t="inlineStr">
        <is>
          <t>Trạng thái hạn</t>
        </is>
      </c>
      <c r="L4" s="3" t="inlineStr">
        <is>
          <t>Độ ưu tiên</t>
        </is>
      </c>
      <c r="M4" s="3" t="inlineStr">
        <is>
          <t>Link tài liệu</t>
        </is>
      </c>
      <c r="N4" s="3" t="inlineStr">
        <is>
          <t>Ghi chú</t>
        </is>
      </c>
    </row>
    <row r="5">
      <c r="A5" s="4">
        <f>IF(B5:B500&lt;&gt;"",ROW(B5:B500)-4,"")</f>
        <v/>
      </c>
      <c r="B5" s="5" t="inlineStr">
        <is>
          <t>KB-MKT-04</t>
        </is>
      </c>
      <c r="C5" s="6" t="inlineStr">
        <is>
          <t>Hoàn thiện chính sách điểm bán cho đại lý khu vực</t>
        </is>
      </c>
      <c r="D5" s="5" t="inlineStr">
        <is>
          <t>Trade &amp; POSM Đại lý</t>
        </is>
      </c>
      <c r="E5" s="4">
        <f>IF(B5:B500&lt;&gt;"","Thụy Thương","")</f>
        <v/>
      </c>
      <c r="F5" s="5" t="inlineStr">
        <is>
          <t>Thiện</t>
        </is>
      </c>
      <c r="G5" s="7" t="n">
        <v>46290</v>
      </c>
      <c r="H5" s="7" t="n">
        <v>46300</v>
      </c>
      <c r="I5" s="5" t="inlineStr">
        <is>
          <t>Hoàn thành</t>
        </is>
      </c>
      <c r="J5" s="5" t="inlineStr">
        <is>
          <t>100%</t>
        </is>
      </c>
      <c r="K5" s="4">
        <f>IF(B5:B500="","",IF(I5:I500="Hoàn thành","Đã xong",IFERROR(IF(H5:H500="","Đúng hạn",IF(H5:H500&lt;TODAY(),"Quá hạn",IF(H5:H500-TODAY()&lt;=2,"Sắp đến hạn","Đúng hạn"))),"Đúng hạn")))</f>
        <v/>
      </c>
      <c r="L5" s="5" t="inlineStr">
        <is>
          <t>Trung bình</t>
        </is>
      </c>
      <c r="M5" s="5" t="inlineStr"/>
      <c r="N5" s="6" t="inlineStr">
        <is>
          <t>Đã gửi Ban Giám Đốc phê duyệt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</row>
  </sheetData>
  <mergeCells count="1">
    <mergeCell ref="A1:N1"/>
  </mergeCells>
  <dataValidations count="4">
    <dataValidation sqref="D5:D500" showDropDown="0" showInputMessage="0" showErrorMessage="0" allowBlank="1" error="Giá trị không hợp lệ, vui lòng chọn từ danh sách." promptTitle="Nhóm công việc" type="list">
      <formula1>='CAU HINH'!$C$4:$C$40</formula1>
    </dataValidation>
    <dataValidation sqref="F5:F500" showDropDown="0" showInputMessage="0" showErrorMessage="0" allowBlank="1" error="Giá trị không hợp lệ, vui lòng chọn từ danh sách." promptTitle="Người phối hợp" type="list">
      <formula1>='CAU HINH'!$D$4:$D$40</formula1>
    </dataValidation>
    <dataValidation sqref="I5:I500" showDropDown="0" showInputMessage="0" showErrorMessage="0" allowBlank="1" error="Giá trị không hợp lệ, vui lòng chọn từ danh sách." promptTitle="Trạng thái" type="list">
      <formula1>='CAU HINH'!$A$4:$A$40</formula1>
    </dataValidation>
    <dataValidation sqref="L5:L500" showDropDown="0" showInputMessage="0" showErrorMessage="0" allowBlank="1" error="Giá trị không hợp lệ, vui lòng chọn từ danh sách." promptTitle="Độ ưu tiên" type="list">
      <formula1>='CAU HINH'!$B$4:$B$40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22" customWidth="1" min="4" max="4"/>
    <col width="17" customWidth="1" min="5" max="5"/>
    <col width="16" customWidth="1" min="6" max="6"/>
    <col width="14" customWidth="1" min="7" max="7"/>
    <col width="14" customWidth="1" min="8" max="8"/>
    <col width="15" customWidth="1" min="9" max="9"/>
    <col width="11" customWidth="1" min="10" max="10"/>
    <col width="15" customWidth="1" min="11" max="11"/>
    <col width="13" customWidth="1" min="12" max="12"/>
    <col width="22" customWidth="1" min="13" max="13"/>
    <col width="30" customWidth="1" min="14" max="14"/>
  </cols>
  <sheetData>
    <row r="1" ht="34" customHeight="1">
      <c r="A1" s="1" t="inlineStr">
        <is>
          <t>CÔNG VIỆC - THIỆN  (Graphic Designer)</t>
        </is>
      </c>
    </row>
    <row r="2">
      <c r="A2" s="2" t="inlineStr">
        <is>
          <t>Bộ phận: Design  ·  Mọi thay đổi ở đây tự động tổng hợp vào tab TONG HOP.</t>
        </is>
      </c>
    </row>
    <row r="4" ht="30" customHeight="1">
      <c r="A4" s="3" t="inlineStr">
        <is>
          <t>STT</t>
        </is>
      </c>
      <c r="B4" s="3" t="inlineStr">
        <is>
          <t>Mã CV</t>
        </is>
      </c>
      <c r="C4" s="3" t="inlineStr">
        <is>
          <t>Tên công việc</t>
        </is>
      </c>
      <c r="D4" s="3" t="inlineStr">
        <is>
          <t>Nhóm công việc</t>
        </is>
      </c>
      <c r="E4" s="3" t="inlineStr">
        <is>
          <t>Người thực hiện</t>
        </is>
      </c>
      <c r="F4" s="3" t="inlineStr">
        <is>
          <t>Người phối hợp</t>
        </is>
      </c>
      <c r="G4" s="3" t="inlineStr">
        <is>
          <t>Ngày bắt đầu</t>
        </is>
      </c>
      <c r="H4" s="3" t="inlineStr">
        <is>
          <t>Hạn chót</t>
        </is>
      </c>
      <c r="I4" s="3" t="inlineStr">
        <is>
          <t>Trạng thái</t>
        </is>
      </c>
      <c r="J4" s="3" t="inlineStr">
        <is>
          <t>% Tiến độ</t>
        </is>
      </c>
      <c r="K4" s="3" t="inlineStr">
        <is>
          <t>Trạng thái hạn</t>
        </is>
      </c>
      <c r="L4" s="3" t="inlineStr">
        <is>
          <t>Độ ưu tiên</t>
        </is>
      </c>
      <c r="M4" s="3" t="inlineStr">
        <is>
          <t>Link tài liệu</t>
        </is>
      </c>
      <c r="N4" s="3" t="inlineStr">
        <is>
          <t>Ghi chú</t>
        </is>
      </c>
    </row>
    <row r="5">
      <c r="A5" s="4">
        <f>IF(B5:B500&lt;&gt;"",ROW(B5:B500)-4,"")</f>
        <v/>
      </c>
      <c r="B5" s="5" t="inlineStr">
        <is>
          <t>KB-MKT-05</t>
        </is>
      </c>
      <c r="C5" s="6" t="inlineStr">
        <is>
          <t>Thiết kế bộ POSM cho chiến dịch Tết</t>
        </is>
      </c>
      <c r="D5" s="5" t="inlineStr">
        <is>
          <t>Thiết kế &amp; Media</t>
        </is>
      </c>
      <c r="E5" s="4">
        <f>IF(B5:B500&lt;&gt;"","Thiện","")</f>
        <v/>
      </c>
      <c r="F5" s="5" t="inlineStr">
        <is>
          <t>Thụy Thương</t>
        </is>
      </c>
      <c r="G5" s="7" t="n">
        <v>46295</v>
      </c>
      <c r="H5" s="7" t="n">
        <v>46310</v>
      </c>
      <c r="I5" s="5" t="inlineStr">
        <is>
          <t>Đang làm</t>
        </is>
      </c>
      <c r="J5" s="5" t="inlineStr">
        <is>
          <t>40%</t>
        </is>
      </c>
      <c r="K5" s="4">
        <f>IF(B5:B500="","",IF(I5:I500="Hoàn thành","Đã xong",IFERROR(IF(H5:H500="","Đúng hạn",IF(H5:H500&lt;TODAY(),"Quá hạn",IF(H5:H500-TODAY()&lt;=2,"Sắp đến hạn","Đúng hạn"))),"Đúng hạn")))</f>
        <v/>
      </c>
      <c r="L5" s="5" t="inlineStr">
        <is>
          <t>Trung bình</t>
        </is>
      </c>
      <c r="M5" s="5" t="inlineStr"/>
      <c r="N5" s="6" t="inlineStr">
        <is>
          <t>Banner, standee, catalogue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</row>
  </sheetData>
  <mergeCells count="1">
    <mergeCell ref="A1:N1"/>
  </mergeCells>
  <dataValidations count="4">
    <dataValidation sqref="D5:D500" showDropDown="0" showInputMessage="0" showErrorMessage="0" allowBlank="1" error="Giá trị không hợp lệ, vui lòng chọn từ danh sách." promptTitle="Nhóm công việc" type="list">
      <formula1>='CAU HINH'!$C$4:$C$40</formula1>
    </dataValidation>
    <dataValidation sqref="F5:F500" showDropDown="0" showInputMessage="0" showErrorMessage="0" allowBlank="1" error="Giá trị không hợp lệ, vui lòng chọn từ danh sách." promptTitle="Người phối hợp" type="list">
      <formula1>='CAU HINH'!$D$4:$D$40</formula1>
    </dataValidation>
    <dataValidation sqref="I5:I500" showDropDown="0" showInputMessage="0" showErrorMessage="0" allowBlank="1" error="Giá trị không hợp lệ, vui lòng chọn từ danh sách." promptTitle="Trạng thái" type="list">
      <formula1>='CAU HINH'!$A$4:$A$40</formula1>
    </dataValidation>
    <dataValidation sqref="L5:L500" showDropDown="0" showInputMessage="0" showErrorMessage="0" allowBlank="1" error="Giá trị không hợp lệ, vui lòng chọn từ danh sách." promptTitle="Độ ưu tiên" type="list">
      <formula1>='CAU HINH'!$B$4:$B$40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22" customWidth="1" min="4" max="4"/>
    <col width="17" customWidth="1" min="5" max="5"/>
    <col width="16" customWidth="1" min="6" max="6"/>
    <col width="14" customWidth="1" min="7" max="7"/>
    <col width="14" customWidth="1" min="8" max="8"/>
    <col width="15" customWidth="1" min="9" max="9"/>
    <col width="11" customWidth="1" min="10" max="10"/>
    <col width="15" customWidth="1" min="11" max="11"/>
    <col width="13" customWidth="1" min="12" max="12"/>
    <col width="22" customWidth="1" min="13" max="13"/>
    <col width="30" customWidth="1" min="14" max="14"/>
  </cols>
  <sheetData>
    <row r="1" ht="34" customHeight="1">
      <c r="A1" s="1" t="inlineStr">
        <is>
          <t>CÔNG VIỆC - TỨ  (Media / Photographer)</t>
        </is>
      </c>
    </row>
    <row r="2">
      <c r="A2" s="2" t="inlineStr">
        <is>
          <t>Bộ phận: Media  ·  Mọi thay đổi ở đây tự động tổng hợp vào tab TONG HOP.</t>
        </is>
      </c>
    </row>
    <row r="4" ht="30" customHeight="1">
      <c r="A4" s="3" t="inlineStr">
        <is>
          <t>STT</t>
        </is>
      </c>
      <c r="B4" s="3" t="inlineStr">
        <is>
          <t>Mã CV</t>
        </is>
      </c>
      <c r="C4" s="3" t="inlineStr">
        <is>
          <t>Tên công việc</t>
        </is>
      </c>
      <c r="D4" s="3" t="inlineStr">
        <is>
          <t>Nhóm công việc</t>
        </is>
      </c>
      <c r="E4" s="3" t="inlineStr">
        <is>
          <t>Người thực hiện</t>
        </is>
      </c>
      <c r="F4" s="3" t="inlineStr">
        <is>
          <t>Người phối hợp</t>
        </is>
      </c>
      <c r="G4" s="3" t="inlineStr">
        <is>
          <t>Ngày bắt đầu</t>
        </is>
      </c>
      <c r="H4" s="3" t="inlineStr">
        <is>
          <t>Hạn chót</t>
        </is>
      </c>
      <c r="I4" s="3" t="inlineStr">
        <is>
          <t>Trạng thái</t>
        </is>
      </c>
      <c r="J4" s="3" t="inlineStr">
        <is>
          <t>% Tiến độ</t>
        </is>
      </c>
      <c r="K4" s="3" t="inlineStr">
        <is>
          <t>Trạng thái hạn</t>
        </is>
      </c>
      <c r="L4" s="3" t="inlineStr">
        <is>
          <t>Độ ưu tiên</t>
        </is>
      </c>
      <c r="M4" s="3" t="inlineStr">
        <is>
          <t>Link tài liệu</t>
        </is>
      </c>
      <c r="N4" s="3" t="inlineStr">
        <is>
          <t>Ghi chú</t>
        </is>
      </c>
    </row>
    <row r="5">
      <c r="A5" s="4">
        <f>IF(B5:B500&lt;&gt;"",ROW(B5:B500)-4,"")</f>
        <v/>
      </c>
      <c r="B5" s="5" t="inlineStr">
        <is>
          <t>KB-MKT-06</t>
        </is>
      </c>
      <c r="C5" s="6" t="inlineStr">
        <is>
          <t>Chụp bộ ảnh sản phẩm máy khoan &amp; máy cắt</t>
        </is>
      </c>
      <c r="D5" s="5" t="inlineStr">
        <is>
          <t>Thiết kế &amp; Media</t>
        </is>
      </c>
      <c r="E5" s="4">
        <f>IF(B5:B500&lt;&gt;"","Tứ","")</f>
        <v/>
      </c>
      <c r="F5" s="5" t="inlineStr">
        <is>
          <t>Thiện</t>
        </is>
      </c>
      <c r="G5" s="7" t="n">
        <v>46297</v>
      </c>
      <c r="H5" s="7" t="n">
        <v>46307</v>
      </c>
      <c r="I5" s="5" t="inlineStr">
        <is>
          <t>Đang làm</t>
        </is>
      </c>
      <c r="J5" s="5" t="inlineStr">
        <is>
          <t>35%</t>
        </is>
      </c>
      <c r="K5" s="4">
        <f>IF(B5:B500="","",IF(I5:I500="Hoàn thành","Đã xong",IFERROR(IF(H5:H500="","Đúng hạn",IF(H5:H500&lt;TODAY(),"Quá hạn",IF(H5:H500-TODAY()&lt;=2,"Sắp đến hạn","Đúng hạn"))),"Đúng hạn")))</f>
        <v/>
      </c>
      <c r="L5" s="5" t="inlineStr">
        <is>
          <t>Cao</t>
        </is>
      </c>
      <c r="M5" s="5" t="inlineStr"/>
      <c r="N5" s="6" t="inlineStr">
        <is>
          <t>Chụp tại xưởng, 3 bối cảnh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</row>
  </sheetData>
  <mergeCells count="1">
    <mergeCell ref="A1:N1"/>
  </mergeCells>
  <dataValidations count="4">
    <dataValidation sqref="D5:D500" showDropDown="0" showInputMessage="0" showErrorMessage="0" allowBlank="1" error="Giá trị không hợp lệ, vui lòng chọn từ danh sách." promptTitle="Nhóm công việc" type="list">
      <formula1>='CAU HINH'!$C$4:$C$40</formula1>
    </dataValidation>
    <dataValidation sqref="F5:F500" showDropDown="0" showInputMessage="0" showErrorMessage="0" allowBlank="1" error="Giá trị không hợp lệ, vui lòng chọn từ danh sách." promptTitle="Người phối hợp" type="list">
      <formula1>='CAU HINH'!$D$4:$D$40</formula1>
    </dataValidation>
    <dataValidation sqref="I5:I500" showDropDown="0" showInputMessage="0" showErrorMessage="0" allowBlank="1" error="Giá trị không hợp lệ, vui lòng chọn từ danh sách." promptTitle="Trạng thái" type="list">
      <formula1>='CAU HINH'!$A$4:$A$40</formula1>
    </dataValidation>
    <dataValidation sqref="L5:L500" showDropDown="0" showInputMessage="0" showErrorMessage="0" allowBlank="1" error="Giá trị không hợp lệ, vui lòng chọn từ danh sách." promptTitle="Độ ưu tiên" type="list">
      <formula1>='CAU HINH'!$B$4:$B$40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22" customWidth="1" min="4" max="4"/>
    <col width="17" customWidth="1" min="5" max="5"/>
    <col width="16" customWidth="1" min="6" max="6"/>
    <col width="14" customWidth="1" min="7" max="7"/>
    <col width="14" customWidth="1" min="8" max="8"/>
    <col width="15" customWidth="1" min="9" max="9"/>
    <col width="11" customWidth="1" min="10" max="10"/>
    <col width="15" customWidth="1" min="11" max="11"/>
    <col width="13" customWidth="1" min="12" max="12"/>
    <col width="22" customWidth="1" min="13" max="13"/>
    <col width="30" customWidth="1" min="14" max="14"/>
  </cols>
  <sheetData>
    <row r="1" ht="34" customHeight="1">
      <c r="A1" s="1" t="inlineStr">
        <is>
          <t>CÔNG VIỆC - THỨC  (Vận hành Sàn TMĐT)</t>
        </is>
      </c>
    </row>
    <row r="2">
      <c r="A2" s="2" t="inlineStr">
        <is>
          <t>Bộ phận: Sàn TMĐT  ·  Mọi thay đổi ở đây tự động tổng hợp vào tab TONG HOP.</t>
        </is>
      </c>
    </row>
    <row r="4" ht="30" customHeight="1">
      <c r="A4" s="3" t="inlineStr">
        <is>
          <t>STT</t>
        </is>
      </c>
      <c r="B4" s="3" t="inlineStr">
        <is>
          <t>Mã CV</t>
        </is>
      </c>
      <c r="C4" s="3" t="inlineStr">
        <is>
          <t>Tên công việc</t>
        </is>
      </c>
      <c r="D4" s="3" t="inlineStr">
        <is>
          <t>Nhóm công việc</t>
        </is>
      </c>
      <c r="E4" s="3" t="inlineStr">
        <is>
          <t>Người thực hiện</t>
        </is>
      </c>
      <c r="F4" s="3" t="inlineStr">
        <is>
          <t>Người phối hợp</t>
        </is>
      </c>
      <c r="G4" s="3" t="inlineStr">
        <is>
          <t>Ngày bắt đầu</t>
        </is>
      </c>
      <c r="H4" s="3" t="inlineStr">
        <is>
          <t>Hạn chót</t>
        </is>
      </c>
      <c r="I4" s="3" t="inlineStr">
        <is>
          <t>Trạng thái</t>
        </is>
      </c>
      <c r="J4" s="3" t="inlineStr">
        <is>
          <t>% Tiến độ</t>
        </is>
      </c>
      <c r="K4" s="3" t="inlineStr">
        <is>
          <t>Trạng thái hạn</t>
        </is>
      </c>
      <c r="L4" s="3" t="inlineStr">
        <is>
          <t>Độ ưu tiên</t>
        </is>
      </c>
      <c r="M4" s="3" t="inlineStr">
        <is>
          <t>Link tài liệu</t>
        </is>
      </c>
      <c r="N4" s="3" t="inlineStr">
        <is>
          <t>Ghi chú</t>
        </is>
      </c>
    </row>
    <row r="5">
      <c r="A5" s="4">
        <f>IF(B5:B500&lt;&gt;"",ROW(B5:B500)-4,"")</f>
        <v/>
      </c>
      <c r="B5" s="5" t="inlineStr">
        <is>
          <t>KB-MKT-07</t>
        </is>
      </c>
      <c r="C5" s="6" t="inlineStr">
        <is>
          <t>Đối soát tồn kho &amp; đẩy đơn Shopee/TikTok Shop</t>
        </is>
      </c>
      <c r="D5" s="5" t="inlineStr">
        <is>
          <t>Sàn TMĐT (Shopee/Lazada)</t>
        </is>
      </c>
      <c r="E5" s="4">
        <f>IF(B5:B500&lt;&gt;"","Thức","")</f>
        <v/>
      </c>
      <c r="F5" s="5" t="inlineStr">
        <is>
          <t>Ngân</t>
        </is>
      </c>
      <c r="G5" s="7" t="n">
        <v>46297</v>
      </c>
      <c r="H5" s="7" t="n">
        <v>46304</v>
      </c>
      <c r="I5" s="5" t="inlineStr">
        <is>
          <t>Chưa bắt đầu</t>
        </is>
      </c>
      <c r="J5" s="5" t="inlineStr">
        <is>
          <t>0%</t>
        </is>
      </c>
      <c r="K5" s="4">
        <f>IF(B5:B500="","",IF(I5:I500="Hoàn thành","Đã xong",IFERROR(IF(H5:H500="","Đúng hạn",IF(H5:H500&lt;TODAY(),"Quá hạn",IF(H5:H500-TODAY()&lt;=2,"Sắp đến hạn","Đúng hạn"))),"Đúng hạn")))</f>
        <v/>
      </c>
      <c r="L5" s="5" t="inlineStr">
        <is>
          <t>Cao</t>
        </is>
      </c>
      <c r="M5" s="5" t="inlineStr"/>
      <c r="N5" s="6" t="inlineStr">
        <is>
          <t>Kiểm tra tồn kho miền Nam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</row>
  </sheetData>
  <mergeCells count="1">
    <mergeCell ref="A1:N1"/>
  </mergeCells>
  <dataValidations count="4">
    <dataValidation sqref="D5:D500" showDropDown="0" showInputMessage="0" showErrorMessage="0" allowBlank="1" error="Giá trị không hợp lệ, vui lòng chọn từ danh sách." promptTitle="Nhóm công việc" type="list">
      <formula1>='CAU HINH'!$C$4:$C$40</formula1>
    </dataValidation>
    <dataValidation sqref="F5:F500" showDropDown="0" showInputMessage="0" showErrorMessage="0" allowBlank="1" error="Giá trị không hợp lệ, vui lòng chọn từ danh sách." promptTitle="Người phối hợp" type="list">
      <formula1>='CAU HINH'!$D$4:$D$40</formula1>
    </dataValidation>
    <dataValidation sqref="I5:I500" showDropDown="0" showInputMessage="0" showErrorMessage="0" allowBlank="1" error="Giá trị không hợp lệ, vui lòng chọn từ danh sách." promptTitle="Trạng thái" type="list">
      <formula1>='CAU HINH'!$A$4:$A$40</formula1>
    </dataValidation>
    <dataValidation sqref="L5:L500" showDropDown="0" showInputMessage="0" showErrorMessage="0" allowBlank="1" error="Giá trị không hợp lệ, vui lòng chọn từ danh sách." promptTitle="Độ ưu tiên" type="list">
      <formula1>='CAU HINH'!$B$4:$B$40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22" customWidth="1" min="4" max="4"/>
    <col width="17" customWidth="1" min="5" max="5"/>
    <col width="16" customWidth="1" min="6" max="6"/>
    <col width="14" customWidth="1" min="7" max="7"/>
    <col width="14" customWidth="1" min="8" max="8"/>
    <col width="15" customWidth="1" min="9" max="9"/>
    <col width="11" customWidth="1" min="10" max="10"/>
    <col width="15" customWidth="1" min="11" max="11"/>
    <col width="13" customWidth="1" min="12" max="12"/>
    <col width="22" customWidth="1" min="13" max="13"/>
    <col width="30" customWidth="1" min="14" max="14"/>
  </cols>
  <sheetData>
    <row r="1" ht="34" customHeight="1">
      <c r="A1" s="1" t="inlineStr">
        <is>
          <t>CÔNG VIỆC - NGÂN  (CSKH &amp; TikTok Shop)</t>
        </is>
      </c>
    </row>
    <row r="2">
      <c r="A2" s="2" t="inlineStr">
        <is>
          <t>Bộ phận: Sàn TMĐT  ·  Mọi thay đổi ở đây tự động tổng hợp vào tab TONG HOP.</t>
        </is>
      </c>
    </row>
    <row r="4" ht="30" customHeight="1">
      <c r="A4" s="3" t="inlineStr">
        <is>
          <t>STT</t>
        </is>
      </c>
      <c r="B4" s="3" t="inlineStr">
        <is>
          <t>Mã CV</t>
        </is>
      </c>
      <c r="C4" s="3" t="inlineStr">
        <is>
          <t>Tên công việc</t>
        </is>
      </c>
      <c r="D4" s="3" t="inlineStr">
        <is>
          <t>Nhóm công việc</t>
        </is>
      </c>
      <c r="E4" s="3" t="inlineStr">
        <is>
          <t>Người thực hiện</t>
        </is>
      </c>
      <c r="F4" s="3" t="inlineStr">
        <is>
          <t>Người phối hợp</t>
        </is>
      </c>
      <c r="G4" s="3" t="inlineStr">
        <is>
          <t>Ngày bắt đầu</t>
        </is>
      </c>
      <c r="H4" s="3" t="inlineStr">
        <is>
          <t>Hạn chót</t>
        </is>
      </c>
      <c r="I4" s="3" t="inlineStr">
        <is>
          <t>Trạng thái</t>
        </is>
      </c>
      <c r="J4" s="3" t="inlineStr">
        <is>
          <t>% Tiến độ</t>
        </is>
      </c>
      <c r="K4" s="3" t="inlineStr">
        <is>
          <t>Trạng thái hạn</t>
        </is>
      </c>
      <c r="L4" s="3" t="inlineStr">
        <is>
          <t>Độ ưu tiên</t>
        </is>
      </c>
      <c r="M4" s="3" t="inlineStr">
        <is>
          <t>Link tài liệu</t>
        </is>
      </c>
      <c r="N4" s="3" t="inlineStr">
        <is>
          <t>Ghi chú</t>
        </is>
      </c>
    </row>
    <row r="5">
      <c r="A5" s="4">
        <f>IF(B5:B500&lt;&gt;"",ROW(B5:B500)-4,"")</f>
        <v/>
      </c>
      <c r="B5" s="5" t="inlineStr">
        <is>
          <t>KB-MKT-08</t>
        </is>
      </c>
      <c r="C5" s="6" t="inlineStr">
        <is>
          <t>Tối ưu tỷ lệ phản hồi chat &amp; đánh giá 5 sao</t>
        </is>
      </c>
      <c r="D5" s="5" t="inlineStr">
        <is>
          <t>Sàn TMĐT (Shopee/Lazada)</t>
        </is>
      </c>
      <c r="E5" s="4">
        <f>IF(B5:B500&lt;&gt;"","Ngân","")</f>
        <v/>
      </c>
      <c r="F5" s="5" t="inlineStr">
        <is>
          <t>Thức</t>
        </is>
      </c>
      <c r="G5" s="7" t="n">
        <v>46296</v>
      </c>
      <c r="H5" s="7" t="n">
        <v>46326</v>
      </c>
      <c r="I5" s="5" t="inlineStr">
        <is>
          <t>Đang làm</t>
        </is>
      </c>
      <c r="J5" s="5" t="inlineStr">
        <is>
          <t>70%</t>
        </is>
      </c>
      <c r="K5" s="4">
        <f>IF(B5:B500="","",IF(I5:I500="Hoàn thành","Đã xong",IFERROR(IF(H5:H500="","Đúng hạn",IF(H5:H500&lt;TODAY(),"Quá hạn",IF(H5:H500-TODAY()&lt;=2,"Sắp đến hạn","Đúng hạn"))),"Đúng hạn")))</f>
        <v/>
      </c>
      <c r="L5" s="5" t="inlineStr">
        <is>
          <t>Trung bình</t>
        </is>
      </c>
      <c r="M5" s="5" t="inlineStr"/>
      <c r="N5" s="6" t="inlineStr">
        <is>
          <t>Mục tiêu phản hồi &gt; 95%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</row>
  </sheetData>
  <mergeCells count="1">
    <mergeCell ref="A1:N1"/>
  </mergeCells>
  <dataValidations count="4">
    <dataValidation sqref="D5:D500" showDropDown="0" showInputMessage="0" showErrorMessage="0" allowBlank="1" error="Giá trị không hợp lệ, vui lòng chọn từ danh sách." promptTitle="Nhóm công việc" type="list">
      <formula1>='CAU HINH'!$C$4:$C$40</formula1>
    </dataValidation>
    <dataValidation sqref="F5:F500" showDropDown="0" showInputMessage="0" showErrorMessage="0" allowBlank="1" error="Giá trị không hợp lệ, vui lòng chọn từ danh sách." promptTitle="Người phối hợp" type="list">
      <formula1>='CAU HINH'!$D$4:$D$40</formula1>
    </dataValidation>
    <dataValidation sqref="I5:I500" showDropDown="0" showInputMessage="0" showErrorMessage="0" allowBlank="1" error="Giá trị không hợp lệ, vui lòng chọn từ danh sách." promptTitle="Trạng thái" type="list">
      <formula1>='CAU HINH'!$A$4:$A$40</formula1>
    </dataValidation>
    <dataValidation sqref="L5:L500" showDropDown="0" showInputMessage="0" showErrorMessage="0" allowBlank="1" error="Giá trị không hợp lệ, vui lòng chọn từ danh sách." promptTitle="Độ ưu tiên" type="list">
      <formula1>='CAU HINH'!$B$4:$B$40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22" customWidth="1" min="4" max="4"/>
    <col width="17" customWidth="1" min="5" max="5"/>
    <col width="16" customWidth="1" min="6" max="6"/>
    <col width="14" customWidth="1" min="7" max="7"/>
    <col width="14" customWidth="1" min="8" max="8"/>
    <col width="15" customWidth="1" min="9" max="9"/>
    <col width="11" customWidth="1" min="10" max="10"/>
    <col width="15" customWidth="1" min="11" max="11"/>
    <col width="13" customWidth="1" min="12" max="12"/>
    <col width="22" customWidth="1" min="13" max="13"/>
    <col width="30" customWidth="1" min="14" max="14"/>
  </cols>
  <sheetData>
    <row r="1" ht="34" customHeight="1">
      <c r="A1" s="1" t="inlineStr">
        <is>
          <t>CÔNG VIỆC - HÙNG  (Đóng gói &amp; Kho Miền Nam)</t>
        </is>
      </c>
    </row>
    <row r="2">
      <c r="A2" s="2" t="inlineStr">
        <is>
          <t>Bộ phận: Đóng gói kho  ·  Mọi thay đổi ở đây tự động tổng hợp vào tab TONG HOP.</t>
        </is>
      </c>
    </row>
    <row r="4" ht="30" customHeight="1">
      <c r="A4" s="3" t="inlineStr">
        <is>
          <t>STT</t>
        </is>
      </c>
      <c r="B4" s="3" t="inlineStr">
        <is>
          <t>Mã CV</t>
        </is>
      </c>
      <c r="C4" s="3" t="inlineStr">
        <is>
          <t>Tên công việc</t>
        </is>
      </c>
      <c r="D4" s="3" t="inlineStr">
        <is>
          <t>Nhóm công việc</t>
        </is>
      </c>
      <c r="E4" s="3" t="inlineStr">
        <is>
          <t>Người thực hiện</t>
        </is>
      </c>
      <c r="F4" s="3" t="inlineStr">
        <is>
          <t>Người phối hợp</t>
        </is>
      </c>
      <c r="G4" s="3" t="inlineStr">
        <is>
          <t>Ngày bắt đầu</t>
        </is>
      </c>
      <c r="H4" s="3" t="inlineStr">
        <is>
          <t>Hạn chót</t>
        </is>
      </c>
      <c r="I4" s="3" t="inlineStr">
        <is>
          <t>Trạng thái</t>
        </is>
      </c>
      <c r="J4" s="3" t="inlineStr">
        <is>
          <t>% Tiến độ</t>
        </is>
      </c>
      <c r="K4" s="3" t="inlineStr">
        <is>
          <t>Trạng thái hạn</t>
        </is>
      </c>
      <c r="L4" s="3" t="inlineStr">
        <is>
          <t>Độ ưu tiên</t>
        </is>
      </c>
      <c r="M4" s="3" t="inlineStr">
        <is>
          <t>Link tài liệu</t>
        </is>
      </c>
      <c r="N4" s="3" t="inlineStr">
        <is>
          <t>Ghi chú</t>
        </is>
      </c>
    </row>
    <row r="5">
      <c r="A5" s="4">
        <f>IF(B5:B500&lt;&gt;"",ROW(B5:B500)-4,"")</f>
        <v/>
      </c>
      <c r="B5" s="5" t="inlineStr">
        <is>
          <t>KB-MKT-09</t>
        </is>
      </c>
      <c r="C5" s="6" t="inlineStr">
        <is>
          <t>Chuẩn hoá quy cách đóng gói chống sốc đơn online</t>
        </is>
      </c>
      <c r="D5" s="5" t="inlineStr">
        <is>
          <t>Đóng gói &amp; Kho vận</t>
        </is>
      </c>
      <c r="E5" s="4">
        <f>IF(B5:B500&lt;&gt;"","Hùng","")</f>
        <v/>
      </c>
      <c r="F5" s="5" t="inlineStr"/>
      <c r="G5" s="7" t="n">
        <v>46294</v>
      </c>
      <c r="H5" s="7" t="n">
        <v>46301</v>
      </c>
      <c r="I5" s="5" t="inlineStr">
        <is>
          <t>Đang làm</t>
        </is>
      </c>
      <c r="J5" s="5" t="inlineStr">
        <is>
          <t>80%</t>
        </is>
      </c>
      <c r="K5" s="4">
        <f>IF(B5:B500="","",IF(I5:I500="Hoàn thành","Đã xong",IFERROR(IF(H5:H500="","Đúng hạn",IF(H5:H500&lt;TODAY(),"Quá hạn",IF(H5:H500-TODAY()&lt;=2,"Sắp đến hạn","Đúng hạn"))),"Đúng hạn")))</f>
        <v/>
      </c>
      <c r="L5" s="5" t="inlineStr">
        <is>
          <t>Cao</t>
        </is>
      </c>
      <c r="M5" s="5" t="inlineStr"/>
      <c r="N5" s="6" t="inlineStr">
        <is>
          <t>Kho tổng miền Nam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</row>
  </sheetData>
  <mergeCells count="1">
    <mergeCell ref="A1:N1"/>
  </mergeCells>
  <dataValidations count="4">
    <dataValidation sqref="D5:D500" showDropDown="0" showInputMessage="0" showErrorMessage="0" allowBlank="1" error="Giá trị không hợp lệ, vui lòng chọn từ danh sách." promptTitle="Nhóm công việc" type="list">
      <formula1>='CAU HINH'!$C$4:$C$40</formula1>
    </dataValidation>
    <dataValidation sqref="F5:F500" showDropDown="0" showInputMessage="0" showErrorMessage="0" allowBlank="1" error="Giá trị không hợp lệ, vui lòng chọn từ danh sách." promptTitle="Người phối hợp" type="list">
      <formula1>='CAU HINH'!$D$4:$D$40</formula1>
    </dataValidation>
    <dataValidation sqref="I5:I500" showDropDown="0" showInputMessage="0" showErrorMessage="0" allowBlank="1" error="Giá trị không hợp lệ, vui lòng chọn từ danh sách." promptTitle="Trạng thái" type="list">
      <formula1>='CAU HINH'!$A$4:$A$40</formula1>
    </dataValidation>
    <dataValidation sqref="L5:L500" showDropDown="0" showInputMessage="0" showErrorMessage="0" allowBlank="1" error="Giá trị không hợp lệ, vui lòng chọn từ danh sách." promptTitle="Độ ưu tiên" type="list">
      <formula1>='CAU HINH'!$B$4:$B$40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22" customWidth="1" min="4" max="4"/>
    <col width="17" customWidth="1" min="5" max="5"/>
    <col width="16" customWidth="1" min="6" max="6"/>
    <col width="14" customWidth="1" min="7" max="7"/>
    <col width="14" customWidth="1" min="8" max="8"/>
    <col width="15" customWidth="1" min="9" max="9"/>
    <col width="11" customWidth="1" min="10" max="10"/>
    <col width="15" customWidth="1" min="11" max="11"/>
    <col width="13" customWidth="1" min="12" max="12"/>
    <col width="22" customWidth="1" min="13" max="13"/>
    <col width="30" customWidth="1" min="14" max="14"/>
  </cols>
  <sheetData>
    <row r="1" ht="34" customHeight="1">
      <c r="A1" s="1" t="inlineStr">
        <is>
          <t>CÔNG VIỆC - HÙNG MIỀN BẮC  (Đóng gói &amp; Kho Miền Bắc)</t>
        </is>
      </c>
    </row>
    <row r="2">
      <c r="A2" s="2" t="inlineStr">
        <is>
          <t>Bộ phận: Đóng gói kho  ·  Mọi thay đổi ở đây tự động tổng hợp vào tab TONG HOP.</t>
        </is>
      </c>
    </row>
    <row r="4" ht="30" customHeight="1">
      <c r="A4" s="3" t="inlineStr">
        <is>
          <t>STT</t>
        </is>
      </c>
      <c r="B4" s="3" t="inlineStr">
        <is>
          <t>Mã CV</t>
        </is>
      </c>
      <c r="C4" s="3" t="inlineStr">
        <is>
          <t>Tên công việc</t>
        </is>
      </c>
      <c r="D4" s="3" t="inlineStr">
        <is>
          <t>Nhóm công việc</t>
        </is>
      </c>
      <c r="E4" s="3" t="inlineStr">
        <is>
          <t>Người thực hiện</t>
        </is>
      </c>
      <c r="F4" s="3" t="inlineStr">
        <is>
          <t>Người phối hợp</t>
        </is>
      </c>
      <c r="G4" s="3" t="inlineStr">
        <is>
          <t>Ngày bắt đầu</t>
        </is>
      </c>
      <c r="H4" s="3" t="inlineStr">
        <is>
          <t>Hạn chót</t>
        </is>
      </c>
      <c r="I4" s="3" t="inlineStr">
        <is>
          <t>Trạng thái</t>
        </is>
      </c>
      <c r="J4" s="3" t="inlineStr">
        <is>
          <t>% Tiến độ</t>
        </is>
      </c>
      <c r="K4" s="3" t="inlineStr">
        <is>
          <t>Trạng thái hạn</t>
        </is>
      </c>
      <c r="L4" s="3" t="inlineStr">
        <is>
          <t>Độ ưu tiên</t>
        </is>
      </c>
      <c r="M4" s="3" t="inlineStr">
        <is>
          <t>Link tài liệu</t>
        </is>
      </c>
      <c r="N4" s="3" t="inlineStr">
        <is>
          <t>Ghi chú</t>
        </is>
      </c>
    </row>
    <row r="5">
      <c r="A5" s="4">
        <f>IF(B5:B500&lt;&gt;"",ROW(B5:B500)-4,"")</f>
        <v/>
      </c>
      <c r="B5" s="5" t="inlineStr">
        <is>
          <t>KB-MKT-10</t>
        </is>
      </c>
      <c r="C5" s="6" t="inlineStr">
        <is>
          <t>Kiểm kê vật tư đóng gói kho Hà Nội</t>
        </is>
      </c>
      <c r="D5" s="5" t="inlineStr">
        <is>
          <t>Đóng gói &amp; Kho vận</t>
        </is>
      </c>
      <c r="E5" s="4">
        <f>IF(B5:B500&lt;&gt;"","Hùng Miền Bắc","")</f>
        <v/>
      </c>
      <c r="F5" s="5" t="inlineStr"/>
      <c r="G5" s="7" t="n">
        <v>46295</v>
      </c>
      <c r="H5" s="7" t="n">
        <v>46309</v>
      </c>
      <c r="I5" s="5" t="inlineStr">
        <is>
          <t>Chưa bắt đầu</t>
        </is>
      </c>
      <c r="J5" s="5" t="inlineStr">
        <is>
          <t>0%</t>
        </is>
      </c>
      <c r="K5" s="4">
        <f>IF(B5:B500="","",IF(I5:I500="Hoàn thành","Đã xong",IFERROR(IF(H5:H500="","Đúng hạn",IF(H5:H500&lt;TODAY(),"Quá hạn",IF(H5:H500-TODAY()&lt;=2,"Sắp đến hạn","Đúng hạn"))),"Đúng hạn")))</f>
        <v/>
      </c>
      <c r="L5" s="5" t="inlineStr">
        <is>
          <t>Thấp</t>
        </is>
      </c>
      <c r="M5" s="5" t="inlineStr"/>
      <c r="N5" s="6" t="inlineStr">
        <is>
          <t>Bao bì, băng keo, xốp hơi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</row>
  </sheetData>
  <mergeCells count="1">
    <mergeCell ref="A1:N1"/>
  </mergeCells>
  <dataValidations count="4">
    <dataValidation sqref="D5:D500" showDropDown="0" showInputMessage="0" showErrorMessage="0" allowBlank="1" error="Giá trị không hợp lệ, vui lòng chọn từ danh sách." promptTitle="Nhóm công việc" type="list">
      <formula1>='CAU HINH'!$C$4:$C$40</formula1>
    </dataValidation>
    <dataValidation sqref="F5:F500" showDropDown="0" showInputMessage="0" showErrorMessage="0" allowBlank="1" error="Giá trị không hợp lệ, vui lòng chọn từ danh sách." promptTitle="Người phối hợp" type="list">
      <formula1>='CAU HINH'!$D$4:$D$40</formula1>
    </dataValidation>
    <dataValidation sqref="I5:I500" showDropDown="0" showInputMessage="0" showErrorMessage="0" allowBlank="1" error="Giá trị không hợp lệ, vui lòng chọn từ danh sách." promptTitle="Trạng thái" type="list">
      <formula1>='CAU HINH'!$A$4:$A$40</formula1>
    </dataValidation>
    <dataValidation sqref="L5:L500" showDropDown="0" showInputMessage="0" showErrorMessage="0" allowBlank="1" error="Giá trị không hợp lệ, vui lòng chọn từ danh sách." promptTitle="Độ ưu tiên" type="list">
      <formula1>='CAU HINH'!$B$4:$B$40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9" t="inlineStr">
        <is>
          <t>DANH MỤC CẤU HÌNH - KING BLUE MARKETING</t>
        </is>
      </c>
    </row>
    <row r="3">
      <c r="A3" s="3" t="inlineStr">
        <is>
          <t>TRẠNG THÁI</t>
        </is>
      </c>
      <c r="B3" s="3" t="inlineStr">
        <is>
          <t>ĐỘ ƯU TIÊN</t>
        </is>
      </c>
      <c r="C3" s="3" t="inlineStr">
        <is>
          <t>NHÓM CÔNG VIỆC</t>
        </is>
      </c>
      <c r="D3" s="3" t="inlineStr">
        <is>
          <t>NGƯỜI PHỐI HỢP</t>
        </is>
      </c>
    </row>
    <row r="4">
      <c r="A4" s="4" t="inlineStr">
        <is>
          <t>Chưa bắt đầu</t>
        </is>
      </c>
      <c r="B4" s="4" t="inlineStr">
        <is>
          <t>Khẩn cấp</t>
        </is>
      </c>
      <c r="C4" s="4" t="inlineStr">
        <is>
          <t>Website &amp; SEO</t>
        </is>
      </c>
      <c r="D4" s="4" t="inlineStr">
        <is>
          <t>Marketing Manager</t>
        </is>
      </c>
    </row>
    <row r="5">
      <c r="A5" s="4" t="inlineStr">
        <is>
          <t>Đang làm</t>
        </is>
      </c>
      <c r="B5" s="4" t="inlineStr">
        <is>
          <t>Cao</t>
        </is>
      </c>
      <c r="C5" s="4" t="inlineStr">
        <is>
          <t>Facebook Fanpage</t>
        </is>
      </c>
      <c r="D5" s="4" t="inlineStr">
        <is>
          <t>Hoài Thương</t>
        </is>
      </c>
    </row>
    <row r="6">
      <c r="A6" s="4" t="inlineStr">
        <is>
          <t>Đang duyệt</t>
        </is>
      </c>
      <c r="B6" s="4" t="inlineStr">
        <is>
          <t>Trung bình</t>
        </is>
      </c>
      <c r="C6" s="4" t="inlineStr">
        <is>
          <t>YouTube / Video</t>
        </is>
      </c>
      <c r="D6" s="4" t="inlineStr">
        <is>
          <t>Kiều Thương</t>
        </is>
      </c>
    </row>
    <row r="7">
      <c r="A7" s="4" t="inlineStr">
        <is>
          <t>Hoàn thành</t>
        </is>
      </c>
      <c r="B7" s="4" t="inlineStr">
        <is>
          <t>Thấp</t>
        </is>
      </c>
      <c r="C7" s="4" t="inlineStr">
        <is>
          <t>TikTok &amp; KOC</t>
        </is>
      </c>
      <c r="D7" s="4" t="inlineStr">
        <is>
          <t>Thụy Thương</t>
        </is>
      </c>
    </row>
    <row r="8">
      <c r="A8" s="4" t="inlineStr">
        <is>
          <t>Tạm hoãn</t>
        </is>
      </c>
      <c r="B8" s="4" t="n"/>
      <c r="C8" s="4" t="inlineStr">
        <is>
          <t>Trade &amp; POSM Đại lý</t>
        </is>
      </c>
      <c r="D8" s="4" t="inlineStr">
        <is>
          <t>Thiện</t>
        </is>
      </c>
    </row>
    <row r="9">
      <c r="A9" s="4" t="n"/>
      <c r="B9" s="4" t="n"/>
      <c r="C9" s="4" t="inlineStr">
        <is>
          <t>Sàn TMĐT (Shopee/Lazada)</t>
        </is>
      </c>
      <c r="D9" s="4" t="inlineStr">
        <is>
          <t>Tứ</t>
        </is>
      </c>
    </row>
    <row r="10">
      <c r="A10" s="4" t="n"/>
      <c r="B10" s="4" t="n"/>
      <c r="C10" s="4" t="inlineStr">
        <is>
          <t>Thiết kế &amp; Media</t>
        </is>
      </c>
      <c r="D10" s="4" t="inlineStr">
        <is>
          <t>Thức</t>
        </is>
      </c>
    </row>
    <row r="11">
      <c r="A11" s="4" t="n"/>
      <c r="B11" s="4" t="n"/>
      <c r="C11" s="4" t="inlineStr">
        <is>
          <t>Đóng gói &amp; Kho vận</t>
        </is>
      </c>
      <c r="D11" s="4" t="inlineStr">
        <is>
          <t>Ngân</t>
        </is>
      </c>
    </row>
    <row r="12">
      <c r="A12" s="4" t="n"/>
      <c r="B12" s="4" t="n"/>
      <c r="C12" s="4" t="inlineStr">
        <is>
          <t>Khác</t>
        </is>
      </c>
      <c r="D12" s="4" t="inlineStr">
        <is>
          <t>Hùng</t>
        </is>
      </c>
    </row>
    <row r="13">
      <c r="A13" s="4" t="n"/>
      <c r="B13" s="4" t="n"/>
      <c r="C13" s="4" t="n"/>
      <c r="D13" s="4" t="inlineStr">
        <is>
          <t>Hùng Miền Bắc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22" customWidth="1" min="4" max="4"/>
    <col width="17" customWidth="1" min="5" max="5"/>
    <col width="16" customWidth="1" min="6" max="6"/>
    <col width="14" customWidth="1" min="7" max="7"/>
    <col width="14" customWidth="1" min="8" max="8"/>
    <col width="15" customWidth="1" min="9" max="9"/>
    <col width="11" customWidth="1" min="10" max="10"/>
    <col width="15" customWidth="1" min="11" max="11"/>
    <col width="13" customWidth="1" min="12" max="12"/>
    <col width="22" customWidth="1" min="13" max="13"/>
    <col width="30" customWidth="1" min="14" max="14"/>
  </cols>
  <sheetData>
    <row r="1" ht="34" customHeight="1">
      <c r="A1" s="1" t="inlineStr">
        <is>
          <t>TỔNG HỢP CÔNG VIỆC TOÀN PHÒNG MARKETING - KING BLUE</t>
        </is>
      </c>
    </row>
    <row r="3">
      <c r="A3" s="10" t="inlineStr">
        <is>
          <t>TỔNG SỐ VIỆC</t>
        </is>
      </c>
      <c r="B3" s="10" t="inlineStr">
        <is>
          <t>HOÀN THÀNH</t>
        </is>
      </c>
      <c r="C3" s="10" t="inlineStr">
        <is>
          <t>ĐANG LÀM</t>
        </is>
      </c>
      <c r="D3" s="10" t="inlineStr">
        <is>
          <t>ĐANG DUYỆT</t>
        </is>
      </c>
      <c r="E3" s="10" t="inlineStr">
        <is>
          <t>QUÁ HẠN</t>
        </is>
      </c>
      <c r="F3" s="10" t="inlineStr">
        <is>
          <t>SẮP ĐẾN HẠN</t>
        </is>
      </c>
    </row>
    <row r="4">
      <c r="A4" s="11">
        <f>SUM(COUNTA('Marketing Manager'!B5:B500), COUNTA('Hoai Thuong'!B5:B500), COUNTA('Kieu Thuong'!B5:B500), COUNTA('Thuy Thuong'!B5:B500), COUNTA('Thien'!B5:B500), COUNTA('Tu'!B5:B500), COUNTA('Thuc'!B5:B500), COUNTA('Ngan'!B5:B500), COUNTA('Hung MN'!B5:B500), COUNTA('Hung MB'!B5:B500))</f>
        <v/>
      </c>
      <c r="B4" s="11">
        <f>SUM(COUNTIF('Marketing Manager'!I5:I500,"Hoàn thành"), COUNTIF('Hoai Thuong'!I5:I500,"Hoàn thành"), COUNTIF('Kieu Thuong'!I5:I500,"Hoàn thành"), COUNTIF('Thuy Thuong'!I5:I500,"Hoàn thành"), COUNTIF('Thien'!I5:I500,"Hoàn thành"), COUNTIF('Tu'!I5:I500,"Hoàn thành"), COUNTIF('Thuc'!I5:I500,"Hoàn thành"), COUNTIF('Ngan'!I5:I500,"Hoàn thành"), COUNTIF('Hung MN'!I5:I500,"Hoàn thành"), COUNTIF('Hung MB'!I5:I500,"Hoàn thành"))</f>
        <v/>
      </c>
      <c r="C4" s="11">
        <f>SUM(COUNTIF('Marketing Manager'!I5:I500,"Đang làm"), COUNTIF('Hoai Thuong'!I5:I500,"Đang làm"), COUNTIF('Kieu Thuong'!I5:I500,"Đang làm"), COUNTIF('Thuy Thuong'!I5:I500,"Đang làm"), COUNTIF('Thien'!I5:I500,"Đang làm"), COUNTIF('Tu'!I5:I500,"Đang làm"), COUNTIF('Thuc'!I5:I500,"Đang làm"), COUNTIF('Ngan'!I5:I500,"Đang làm"), COUNTIF('Hung MN'!I5:I500,"Đang làm"), COUNTIF('Hung MB'!I5:I500,"Đang làm"))</f>
        <v/>
      </c>
      <c r="D4" s="11">
        <f>SUM(COUNTIF('Marketing Manager'!I5:I500,"Đang duyệt"), COUNTIF('Hoai Thuong'!I5:I500,"Đang duyệt"), COUNTIF('Kieu Thuong'!I5:I500,"Đang duyệt"), COUNTIF('Thuy Thuong'!I5:I500,"Đang duyệt"), COUNTIF('Thien'!I5:I500,"Đang duyệt"), COUNTIF('Tu'!I5:I500,"Đang duyệt"), COUNTIF('Thuc'!I5:I500,"Đang duyệt"), COUNTIF('Ngan'!I5:I500,"Đang duyệt"), COUNTIF('Hung MN'!I5:I500,"Đang duyệt"), COUNTIF('Hung MB'!I5:I500,"Đang duyệt"))</f>
        <v/>
      </c>
      <c r="E4" s="11">
        <f>SUM(COUNTIF('Marketing Manager'!K5:K500,"Quá hạn"), COUNTIF('Hoai Thuong'!K5:K500,"Quá hạn"), COUNTIF('Kieu Thuong'!K5:K500,"Quá hạn"), COUNTIF('Thuy Thuong'!K5:K500,"Quá hạn"), COUNTIF('Thien'!K5:K500,"Quá hạn"), COUNTIF('Tu'!K5:K500,"Quá hạn"), COUNTIF('Thuc'!K5:K500,"Quá hạn"), COUNTIF('Ngan'!K5:K500,"Quá hạn"), COUNTIF('Hung MN'!K5:K500,"Quá hạn"), COUNTIF('Hung MB'!K5:K500,"Quá hạn"))</f>
        <v/>
      </c>
      <c r="F4" s="11">
        <f>SUM(COUNTIF('Marketing Manager'!K5:K500,"Sắp đến hạn"), COUNTIF('Hoai Thuong'!K5:K500,"Sắp đến hạn"), COUNTIF('Kieu Thuong'!K5:K500,"Sắp đến hạn"), COUNTIF('Thuy Thuong'!K5:K500,"Sắp đến hạn"), COUNTIF('Thien'!K5:K500,"Sắp đến hạn"), COUNTIF('Tu'!K5:K500,"Sắp đến hạn"), COUNTIF('Thuc'!K5:K500,"Sắp đến hạn"), COUNTIF('Ngan'!K5:K500,"Sắp đến hạn"), COUNTIF('Hung MN'!K5:K500,"Sắp đến hạn"), COUNTIF('Hung MB'!K5:K500,"Sắp đến hạn"))</f>
        <v/>
      </c>
    </row>
    <row r="6">
      <c r="A6" s="3" t="inlineStr">
        <is>
          <t>STT</t>
        </is>
      </c>
      <c r="B6" s="3" t="inlineStr">
        <is>
          <t>Mã CV</t>
        </is>
      </c>
      <c r="C6" s="3" t="inlineStr">
        <is>
          <t>Tên công việc</t>
        </is>
      </c>
      <c r="D6" s="3" t="inlineStr">
        <is>
          <t>Nhóm công việc</t>
        </is>
      </c>
      <c r="E6" s="3" t="inlineStr">
        <is>
          <t>Người thực hiện</t>
        </is>
      </c>
      <c r="F6" s="3" t="inlineStr">
        <is>
          <t>Người phối hợp</t>
        </is>
      </c>
      <c r="G6" s="3" t="inlineStr">
        <is>
          <t>Ngày bắt đầu</t>
        </is>
      </c>
      <c r="H6" s="3" t="inlineStr">
        <is>
          <t>Hạn chót</t>
        </is>
      </c>
      <c r="I6" s="3" t="inlineStr">
        <is>
          <t>Trạng thái</t>
        </is>
      </c>
      <c r="J6" s="3" t="inlineStr">
        <is>
          <t>% Tiến độ</t>
        </is>
      </c>
      <c r="K6" s="3" t="inlineStr">
        <is>
          <t>Trạng thái hạn</t>
        </is>
      </c>
      <c r="L6" s="3" t="inlineStr">
        <is>
          <t>Độ ưu tiên</t>
        </is>
      </c>
      <c r="M6" s="3" t="inlineStr">
        <is>
          <t>Link tài liệu</t>
        </is>
      </c>
      <c r="N6" s="3" t="inlineStr">
        <is>
          <t>Ghi chú</t>
        </is>
      </c>
    </row>
    <row r="7">
      <c r="A7" s="4">
        <f>FILTER(VSTACK('Marketing Manager'!A5:N500, 'Hoai Thuong'!A5:N500, 'Kieu Thuong'!A5:N500, 'Thuy Thuong'!A5:N500, 'Thien'!A5:N500, 'Tu'!A5:N500, 'Thuc'!A5:N500, 'Ngan'!A5:N500, 'Hung MN'!A5:N500, 'Hung MB'!A5:N500), (VSTACK('Marketing Manager'!B5:B500, 'Hoai Thuong'!B5:B500, 'Kieu Thuong'!B5:B500, 'Thuy Thuong'!B5:B500, 'Thien'!B5:B500, 'Tu'!B5:B500, 'Thuc'!B5:B500, 'Ngan'!B5:B500, 'Hung MN'!B5:B500, 'Hung MB'!B5:B500)&lt;&gt;"")*(VSTACK('Marketing Manager'!B5:B500, 'Hoai Thuong'!B5:B500, 'Kieu Thuong'!B5:B500, 'Thuy Thuong'!B5:B500, 'Thien'!B5:B500, 'Tu'!B5:B500, 'Thuc'!B5:B500, 'Ngan'!B5:B500, 'Hung MN'!B5:B500, 'Hung MB'!B5:B500)&lt;&gt;0))</f>
        <v/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2026-10-07T04:39:24Z</dcterms:created>
  <dcterms:modified xmlns:dcterms="http://purl.org/dc/terms/" xmlns:xsi="http://www.w3.org/2001/XMLSchema-instance" xsi:type="dcterms:W3CDTF">2026-10-07T04:39:25Z</dcterms:modified>
</cp:coreProperties>
</file>
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heo_Doi_Gia_San_TMDT" sheetId="1" state="visible" r:id="rId1"/>
    <sheet xmlns:r="http://schemas.openxmlformats.org/officeDocument/2006/relationships" name="2_Danh_Sach_Dai_Ly" sheetId="2" state="visible" r:id="rId2"/>
    <sheet xmlns:r="http://schemas.openxmlformats.org/officeDocument/2006/relationships" name="3_Bang_Gia_Niem_Yet_KingBl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4A5568"/>
        <bgColor rgb="004A556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3" customWidth="1" min="4" max="4"/>
    <col width="22" customWidth="1" min="5" max="5"/>
    <col width="19" customWidth="1" min="6" max="6"/>
    <col width="18" customWidth="1" min="7" max="7"/>
    <col width="48" customWidth="1" min="8" max="8"/>
    <col width="30" customWidth="1" min="9" max="9"/>
    <col width="25" customWidth="1" min="10" max="10"/>
    <col width="24" customWidth="1" min="11" max="11"/>
    <col width="15" customWidth="1" min="12" max="12"/>
    <col width="22" customWidth="1" min="13" max="13"/>
    <col width="16" customWidth="1" min="14" max="14"/>
    <col width="30" customWidth="1" min="15" max="15"/>
    <col width="24" customWidth="1" min="16" max="16"/>
  </cols>
  <sheetData>
    <row r="1">
      <c r="A1" s="1" t="inlineStr">
        <is>
          <t>STT</t>
        </is>
      </c>
      <c r="B1" s="1" t="inlineStr">
        <is>
          <t>Mã Đại Lý</t>
        </is>
      </c>
      <c r="C1" s="1" t="inlineStr">
        <is>
          <t>Tên Đại Lý / Khách Hàng</t>
        </is>
      </c>
      <c r="D1" s="1" t="inlineStr">
        <is>
          <t>Tỉnh Thành</t>
        </is>
      </c>
      <c r="E1" s="1" t="inlineStr">
        <is>
          <t>Nhân Viên Phụ Trách</t>
        </is>
      </c>
      <c r="F1" s="1" t="inlineStr">
        <is>
          <t>Sàn TMĐT</t>
        </is>
      </c>
      <c r="G1" s="1" t="inlineStr">
        <is>
          <t>Mã Sản Phẩm</t>
        </is>
      </c>
      <c r="H1" s="1" t="inlineStr">
        <is>
          <t>Tên Sản Phẩm KingBlue</t>
        </is>
      </c>
      <c r="I1" s="1" t="inlineStr">
        <is>
          <t>Giá Niêm Yết KingBlue (VNĐ)</t>
        </is>
      </c>
      <c r="J1" s="1" t="inlineStr">
        <is>
          <t>Giá Bán Trên Sàn (VNĐ)</t>
        </is>
      </c>
      <c r="K1" s="1" t="inlineStr">
        <is>
          <t>Chênh Lệch Tiền (VNĐ)</t>
        </is>
      </c>
      <c r="L1" s="1" t="inlineStr">
        <is>
          <t>% Chênh Lệch</t>
        </is>
      </c>
      <c r="M1" s="1" t="inlineStr">
        <is>
          <t>Tình Trạng Tuân Thủ</t>
        </is>
      </c>
      <c r="N1" s="1" t="inlineStr">
        <is>
          <t>Ngày Kiểm Tra</t>
        </is>
      </c>
      <c r="O1" s="1" t="inlineStr">
        <is>
          <t>Link Bằng Chứng / Gian Hàng</t>
        </is>
      </c>
      <c r="P1" s="1" t="inlineStr">
        <is>
          <t>Hướng Xử Lý / Ghi Chú</t>
        </is>
      </c>
    </row>
    <row r="2">
      <c r="A2" s="2" t="n">
        <v>1</v>
      </c>
      <c r="B2" s="2" t="inlineStr">
        <is>
          <t>KH001</t>
        </is>
      </c>
      <c r="C2" s="3" t="inlineStr">
        <is>
          <t>Điện nước Nhật (Shop) HCM</t>
        </is>
      </c>
      <c r="D2" s="2" t="inlineStr">
        <is>
          <t>HCM</t>
        </is>
      </c>
      <c r="E2" s="2" t="inlineStr">
        <is>
          <t>BẢO TRÂM</t>
        </is>
      </c>
      <c r="F2" s="2" t="inlineStr">
        <is>
          <t>Shopee</t>
        </is>
      </c>
      <c r="G2" s="2" t="inlineStr">
        <is>
          <t>T9100E</t>
        </is>
      </c>
      <c r="H2" s="3" t="inlineStr">
        <is>
          <t>Bộ đầu hoa thị T9100E</t>
        </is>
      </c>
      <c r="I2" s="4" t="n">
        <v>116000</v>
      </c>
      <c r="J2" s="4" t="n"/>
      <c r="K2" s="4">
        <f>IF(AND(ISNUMBER(J2),ISNUMBER(I2)),J2-I2,"")</f>
        <v/>
      </c>
      <c r="L2" s="5">
        <f>IF(AND(ISNUMBER(J2),ISNUMBER(I2),I2&gt;0),(J2-I2)/I2,"")</f>
        <v/>
      </c>
      <c r="M2" s="2">
        <f>IF(L2="","",IF(L2&lt;-0.05,"Bán phá giá",IF(L2&gt;0.05,"Bán cao hơn","Đúng giá niêm yết")))</f>
        <v/>
      </c>
      <c r="N2" s="2" t="n"/>
      <c r="O2" s="3" t="n"/>
      <c r="P2" s="3" t="n"/>
    </row>
    <row r="3">
      <c r="A3" s="2" t="n">
        <v>2</v>
      </c>
      <c r="B3" s="2" t="inlineStr">
        <is>
          <t>KH001</t>
        </is>
      </c>
      <c r="C3" s="3" t="inlineStr">
        <is>
          <t>Điện nước Nhật (Shop) HCM</t>
        </is>
      </c>
      <c r="D3" s="2" t="inlineStr">
        <is>
          <t>HCM</t>
        </is>
      </c>
      <c r="E3" s="2" t="inlineStr">
        <is>
          <t>BẢO TRÂM</t>
        </is>
      </c>
      <c r="F3" s="2" t="inlineStr">
        <is>
          <t>Shopee</t>
        </is>
      </c>
      <c r="G3" s="2" t="inlineStr">
        <is>
          <t>L8100E</t>
        </is>
      </c>
      <c r="H3" s="3" t="inlineStr">
        <is>
          <t>Bộ đầu lục giác L8100E</t>
        </is>
      </c>
      <c r="I3" s="4" t="n">
        <v>116000</v>
      </c>
      <c r="J3" s="4" t="n"/>
      <c r="K3" s="4">
        <f>IF(AND(ISNUMBER(J3),ISNUMBER(I3)),J3-I3,"")</f>
        <v/>
      </c>
      <c r="L3" s="5">
        <f>IF(AND(ISNUMBER(J3),ISNUMBER(I3),I3&gt;0),(J3-I3)/I3,"")</f>
        <v/>
      </c>
      <c r="M3" s="2">
        <f>IF(L3="","",IF(L3&lt;-0.05,"Bán phá giá",IF(L3&gt;0.05,"Bán cao hơn","Đúng giá niêm yết")))</f>
        <v/>
      </c>
      <c r="N3" s="2" t="n"/>
      <c r="O3" s="3" t="n"/>
      <c r="P3" s="3" t="n"/>
    </row>
    <row r="4">
      <c r="A4" s="2" t="n">
        <v>3</v>
      </c>
      <c r="B4" s="2" t="inlineStr">
        <is>
          <t>KH001</t>
        </is>
      </c>
      <c r="C4" s="3" t="inlineStr">
        <is>
          <t>Điện nước Nhật (Shop) HCM</t>
        </is>
      </c>
      <c r="D4" s="2" t="inlineStr">
        <is>
          <t>HCM</t>
        </is>
      </c>
      <c r="E4" s="2" t="inlineStr">
        <is>
          <t>BẢO TRÂM</t>
        </is>
      </c>
      <c r="F4" s="2" t="inlineStr">
        <is>
          <t>Shopee</t>
        </is>
      </c>
      <c r="G4" s="2" t="inlineStr">
        <is>
          <t>KBYT6</t>
        </is>
      </c>
      <c r="H4" s="3" t="inlineStr">
        <is>
          <t>Bộ lấy ốc gãy KingBlue KBYT6</t>
        </is>
      </c>
      <c r="I4" s="4" t="n">
        <v>86000</v>
      </c>
      <c r="J4" s="4" t="n"/>
      <c r="K4" s="4">
        <f>IF(AND(ISNUMBER(J4),ISNUMBER(I4)),J4-I4,"")</f>
        <v/>
      </c>
      <c r="L4" s="5">
        <f>IF(AND(ISNUMBER(J4),ISNUMBER(I4),I4&gt;0),(J4-I4)/I4,"")</f>
        <v/>
      </c>
      <c r="M4" s="2">
        <f>IF(L4="","",IF(L4&lt;-0.05,"Bán phá giá",IF(L4&gt;0.05,"Bán cao hơn","Đúng giá niêm yết")))</f>
        <v/>
      </c>
      <c r="N4" s="2" t="n"/>
      <c r="O4" s="3" t="n"/>
      <c r="P4" s="3" t="n"/>
    </row>
    <row r="5">
      <c r="A5" s="2" t="n">
        <v>4</v>
      </c>
      <c r="B5" s="2" t="inlineStr">
        <is>
          <t>KH001</t>
        </is>
      </c>
      <c r="C5" s="3" t="inlineStr">
        <is>
          <t>Điện nước Nhật (Shop) HCM</t>
        </is>
      </c>
      <c r="D5" s="2" t="inlineStr">
        <is>
          <t>HCM</t>
        </is>
      </c>
      <c r="E5" s="2" t="inlineStr">
        <is>
          <t>BẢO TRÂM</t>
        </is>
      </c>
      <c r="F5" s="2" t="inlineStr">
        <is>
          <t>Shopee</t>
        </is>
      </c>
      <c r="G5" s="2" t="inlineStr">
        <is>
          <t>KL-008</t>
        </is>
      </c>
      <c r="H5" s="3" t="inlineStr">
        <is>
          <t>Bộ lục giác gập KL-008</t>
        </is>
      </c>
      <c r="I5" s="4" t="n">
        <v>110000</v>
      </c>
      <c r="J5" s="4" t="n"/>
      <c r="K5" s="4">
        <f>IF(AND(ISNUMBER(J5),ISNUMBER(I5)),J5-I5,"")</f>
        <v/>
      </c>
      <c r="L5" s="5">
        <f>IF(AND(ISNUMBER(J5),ISNUMBER(I5),I5&gt;0),(J5-I5)/I5,"")</f>
        <v/>
      </c>
      <c r="M5" s="2">
        <f>IF(L5="","",IF(L5&lt;-0.05,"Bán phá giá",IF(L5&gt;0.05,"Bán cao hơn","Đúng giá niêm yết")))</f>
        <v/>
      </c>
      <c r="N5" s="2" t="n"/>
      <c r="O5" s="3" t="n"/>
      <c r="P5" s="3" t="n"/>
    </row>
    <row r="6">
      <c r="A6" s="2" t="n">
        <v>5</v>
      </c>
      <c r="B6" s="2" t="inlineStr">
        <is>
          <t>KH001</t>
        </is>
      </c>
      <c r="C6" s="3" t="inlineStr">
        <is>
          <t>Điện nước Nhật (Shop) HCM</t>
        </is>
      </c>
      <c r="D6" s="2" t="inlineStr">
        <is>
          <t>HCM</t>
        </is>
      </c>
      <c r="E6" s="2" t="inlineStr">
        <is>
          <t>BẢO TRÂM</t>
        </is>
      </c>
      <c r="F6" s="2" t="inlineStr">
        <is>
          <t>Shopee</t>
        </is>
      </c>
      <c r="G6" s="2" t="inlineStr">
        <is>
          <t>KL018</t>
        </is>
      </c>
      <c r="H6" s="3" t="inlineStr">
        <is>
          <t>Bộ lục giác KL018</t>
        </is>
      </c>
      <c r="I6" s="4" t="n">
        <v>433000</v>
      </c>
      <c r="J6" s="4" t="n"/>
      <c r="K6" s="4">
        <f>IF(AND(ISNUMBER(J6),ISNUMBER(I6)),J6-I6,"")</f>
        <v/>
      </c>
      <c r="L6" s="5">
        <f>IF(AND(ISNUMBER(J6),ISNUMBER(I6),I6&gt;0),(J6-I6)/I6,"")</f>
        <v/>
      </c>
      <c r="M6" s="2">
        <f>IF(L6="","",IF(L6&lt;-0.05,"Bán phá giá",IF(L6&gt;0.05,"Bán cao hơn","Đúng giá niêm yết")))</f>
        <v/>
      </c>
      <c r="N6" s="2" t="n"/>
      <c r="O6" s="3" t="n"/>
      <c r="P6" s="3" t="n"/>
    </row>
    <row r="7">
      <c r="A7" s="2" t="n">
        <v>6</v>
      </c>
      <c r="B7" s="2" t="inlineStr">
        <is>
          <t>KH001</t>
        </is>
      </c>
      <c r="C7" s="3" t="inlineStr">
        <is>
          <t>Điện nước Nhật (Shop) HCM</t>
        </is>
      </c>
      <c r="D7" s="2" t="inlineStr">
        <is>
          <t>HCM</t>
        </is>
      </c>
      <c r="E7" s="2" t="inlineStr">
        <is>
          <t>BẢO TRÂM</t>
        </is>
      </c>
      <c r="F7" s="2" t="inlineStr">
        <is>
          <t>Shopee</t>
        </is>
      </c>
      <c r="G7" s="2" t="inlineStr">
        <is>
          <t>KL7-09</t>
        </is>
      </c>
      <c r="H7" s="3" t="inlineStr">
        <is>
          <t>Bộ lục giác KL7-09 ( đầu bi)</t>
        </is>
      </c>
      <c r="I7" s="4" t="n">
        <v>270000</v>
      </c>
      <c r="J7" s="4" t="n"/>
      <c r="K7" s="4">
        <f>IF(AND(ISNUMBER(J7),ISNUMBER(I7)),J7-I7,"")</f>
        <v/>
      </c>
      <c r="L7" s="5">
        <f>IF(AND(ISNUMBER(J7),ISNUMBER(I7),I7&gt;0),(J7-I7)/I7,"")</f>
        <v/>
      </c>
      <c r="M7" s="2">
        <f>IF(L7="","",IF(L7&lt;-0.05,"Bán phá giá",IF(L7&gt;0.05,"Bán cao hơn","Đúng giá niêm yết")))</f>
        <v/>
      </c>
      <c r="N7" s="2" t="n"/>
      <c r="O7" s="3" t="n"/>
      <c r="P7" s="3" t="n"/>
    </row>
    <row r="8">
      <c r="A8" s="2" t="n">
        <v>7</v>
      </c>
      <c r="B8" s="2" t="inlineStr">
        <is>
          <t>KH001</t>
        </is>
      </c>
      <c r="C8" s="3" t="inlineStr">
        <is>
          <t>Điện nước Nhật (Shop) HCM</t>
        </is>
      </c>
      <c r="D8" s="2" t="inlineStr">
        <is>
          <t>HCM</t>
        </is>
      </c>
      <c r="E8" s="2" t="inlineStr">
        <is>
          <t>BẢO TRÂM</t>
        </is>
      </c>
      <c r="F8" s="2" t="inlineStr">
        <is>
          <t>Shopee</t>
        </is>
      </c>
      <c r="G8" s="2" t="inlineStr">
        <is>
          <t>KL9-09</t>
        </is>
      </c>
      <c r="H8" s="3" t="inlineStr">
        <is>
          <t>Bộ lục giác KL9-09 (đầu hoa thị)</t>
        </is>
      </c>
      <c r="I8" s="4" t="n">
        <v>275000</v>
      </c>
      <c r="J8" s="4" t="n"/>
      <c r="K8" s="4">
        <f>IF(AND(ISNUMBER(J8),ISNUMBER(I8)),J8-I8,"")</f>
        <v/>
      </c>
      <c r="L8" s="5">
        <f>IF(AND(ISNUMBER(J8),ISNUMBER(I8),I8&gt;0),(J8-I8)/I8,"")</f>
        <v/>
      </c>
      <c r="M8" s="2">
        <f>IF(L8="","",IF(L8&lt;-0.05,"Bán phá giá",IF(L8&gt;0.05,"Bán cao hơn","Đúng giá niêm yết")))</f>
        <v/>
      </c>
      <c r="N8" s="2" t="n"/>
      <c r="O8" s="3" t="n"/>
      <c r="P8" s="3" t="n"/>
    </row>
    <row r="9">
      <c r="A9" s="2" t="n">
        <v>8</v>
      </c>
      <c r="B9" s="2" t="inlineStr">
        <is>
          <t>KH001</t>
        </is>
      </c>
      <c r="C9" s="3" t="inlineStr">
        <is>
          <t>Điện nước Nhật (Shop) HCM</t>
        </is>
      </c>
      <c r="D9" s="2" t="inlineStr">
        <is>
          <t>HCM</t>
        </is>
      </c>
      <c r="E9" s="2" t="inlineStr">
        <is>
          <t>BẢO TRÂM</t>
        </is>
      </c>
      <c r="F9" s="2" t="inlineStr">
        <is>
          <t>Shopee</t>
        </is>
      </c>
      <c r="G9" s="2" t="inlineStr">
        <is>
          <t>KV7-036</t>
        </is>
      </c>
      <c r="H9" s="3" t="inlineStr">
        <is>
          <t>Bộ tuốc nơ vít đa năng KV7-036</t>
        </is>
      </c>
      <c r="I9" s="4" t="n">
        <v>200000</v>
      </c>
      <c r="J9" s="4" t="n"/>
      <c r="K9" s="4">
        <f>IF(AND(ISNUMBER(J9),ISNUMBER(I9)),J9-I9,"")</f>
        <v/>
      </c>
      <c r="L9" s="5">
        <f>IF(AND(ISNUMBER(J9),ISNUMBER(I9),I9&gt;0),(J9-I9)/I9,"")</f>
        <v/>
      </c>
      <c r="M9" s="2">
        <f>IF(L9="","",IF(L9&lt;-0.05,"Bán phá giá",IF(L9&gt;0.05,"Bán cao hơn","Đúng giá niêm yết")))</f>
        <v/>
      </c>
      <c r="N9" s="2" t="n"/>
      <c r="O9" s="3" t="n"/>
      <c r="P9" s="3" t="n"/>
    </row>
    <row r="10">
      <c r="A10" s="2" t="n">
        <v>9</v>
      </c>
      <c r="B10" s="2" t="inlineStr">
        <is>
          <t>KH001</t>
        </is>
      </c>
      <c r="C10" s="3" t="inlineStr">
        <is>
          <t>Điện nước Nhật (Shop) HCM</t>
        </is>
      </c>
      <c r="D10" s="2" t="inlineStr">
        <is>
          <t>HCM</t>
        </is>
      </c>
      <c r="E10" s="2" t="inlineStr">
        <is>
          <t>BẢO TRÂM</t>
        </is>
      </c>
      <c r="F10" s="2" t="inlineStr">
        <is>
          <t>Shopee</t>
        </is>
      </c>
      <c r="G10" s="2" t="inlineStr">
        <is>
          <t>KV8-113</t>
        </is>
      </c>
      <c r="H10" s="3" t="inlineStr">
        <is>
          <t>Bộ tuốc nơ vít ĐN cao cấp 113 chi tiết KV8-113</t>
        </is>
      </c>
      <c r="I10" s="4" t="n">
        <v>465000</v>
      </c>
      <c r="J10" s="4" t="n"/>
      <c r="K10" s="4">
        <f>IF(AND(ISNUMBER(J10),ISNUMBER(I10)),J10-I10,"")</f>
        <v/>
      </c>
      <c r="L10" s="5">
        <f>IF(AND(ISNUMBER(J10),ISNUMBER(I10),I10&gt;0),(J10-I10)/I10,"")</f>
        <v/>
      </c>
      <c r="M10" s="2">
        <f>IF(L10="","",IF(L10&lt;-0.05,"Bán phá giá",IF(L10&gt;0.05,"Bán cao hơn","Đúng giá niêm yết")))</f>
        <v/>
      </c>
      <c r="N10" s="2" t="n"/>
      <c r="O10" s="3" t="n"/>
      <c r="P10" s="3" t="n"/>
    </row>
    <row r="11">
      <c r="A11" s="2" t="n">
        <v>10</v>
      </c>
      <c r="B11" s="2" t="inlineStr">
        <is>
          <t>KH001</t>
        </is>
      </c>
      <c r="C11" s="3" t="inlineStr">
        <is>
          <t>Điện nước Nhật (Shop) HCM</t>
        </is>
      </c>
      <c r="D11" s="2" t="inlineStr">
        <is>
          <t>HCM</t>
        </is>
      </c>
      <c r="E11" s="2" t="inlineStr">
        <is>
          <t>BẢO TRÂM</t>
        </is>
      </c>
      <c r="F11" s="2" t="inlineStr">
        <is>
          <t>Shopee</t>
        </is>
      </c>
      <c r="G11" s="2" t="inlineStr">
        <is>
          <t>KV10-13</t>
        </is>
      </c>
      <c r="H11" s="3" t="inlineStr">
        <is>
          <t>Bộ tuvit đóng KV10-13</t>
        </is>
      </c>
      <c r="I11" s="4" t="n">
        <v>275000</v>
      </c>
      <c r="J11" s="4" t="n"/>
      <c r="K11" s="4">
        <f>IF(AND(ISNUMBER(J11),ISNUMBER(I11)),J11-I11,"")</f>
        <v/>
      </c>
      <c r="L11" s="5">
        <f>IF(AND(ISNUMBER(J11),ISNUMBER(I11),I11&gt;0),(J11-I11)/I11,"")</f>
        <v/>
      </c>
      <c r="M11" s="2">
        <f>IF(L11="","",IF(L11&lt;-0.05,"Bán phá giá",IF(L11&gt;0.05,"Bán cao hơn","Đúng giá niêm yết")))</f>
        <v/>
      </c>
      <c r="N11" s="2" t="n"/>
      <c r="O11" s="3" t="n"/>
      <c r="P11" s="3" t="n"/>
    </row>
    <row r="12">
      <c r="A12" s="2" t="n">
        <v>11</v>
      </c>
      <c r="B12" s="2" t="inlineStr">
        <is>
          <t>KH001</t>
        </is>
      </c>
      <c r="C12" s="3" t="inlineStr">
        <is>
          <t>Điện nước Nhật (Shop) HCM</t>
        </is>
      </c>
      <c r="D12" s="2" t="inlineStr">
        <is>
          <t>HCM</t>
        </is>
      </c>
      <c r="E12" s="2" t="inlineStr">
        <is>
          <t>BẢO TRÂM</t>
        </is>
      </c>
      <c r="F12" s="2" t="inlineStr">
        <is>
          <t>Shopee</t>
        </is>
      </c>
      <c r="G12" s="2" t="inlineStr">
        <is>
          <t>KIC140</t>
        </is>
      </c>
      <c r="H12" s="3" t="inlineStr">
        <is>
          <t>Bút thử điện KIC140</t>
        </is>
      </c>
      <c r="I12" s="4" t="n">
        <v>20000</v>
      </c>
      <c r="J12" s="4" t="n"/>
      <c r="K12" s="4">
        <f>IF(AND(ISNUMBER(J12),ISNUMBER(I12)),J12-I12,"")</f>
        <v/>
      </c>
      <c r="L12" s="5">
        <f>IF(AND(ISNUMBER(J12),ISNUMBER(I12),I12&gt;0),(J12-I12)/I12,"")</f>
        <v/>
      </c>
      <c r="M12" s="2">
        <f>IF(L12="","",IF(L12&lt;-0.05,"Bán phá giá",IF(L12&gt;0.05,"Bán cao hơn","Đúng giá niêm yết")))</f>
        <v/>
      </c>
      <c r="N12" s="2" t="n"/>
      <c r="O12" s="3" t="n"/>
      <c r="P12" s="3" t="n"/>
    </row>
    <row r="13">
      <c r="A13" s="2" t="n">
        <v>12</v>
      </c>
      <c r="B13" s="2" t="inlineStr">
        <is>
          <t>KH001</t>
        </is>
      </c>
      <c r="C13" s="3" t="inlineStr">
        <is>
          <t>Điện nước Nhật (Shop) HCM</t>
        </is>
      </c>
      <c r="D13" s="2" t="inlineStr">
        <is>
          <t>HCM</t>
        </is>
      </c>
      <c r="E13" s="2" t="inlineStr">
        <is>
          <t>BẢO TRÂM</t>
        </is>
      </c>
      <c r="F13" s="2" t="inlineStr">
        <is>
          <t>Shopee</t>
        </is>
      </c>
      <c r="G13" s="2" t="inlineStr">
        <is>
          <t>KCC3</t>
        </is>
      </c>
      <c r="H13" s="3" t="inlineStr">
        <is>
          <t>Cảo chữ C - KCC3</t>
        </is>
      </c>
      <c r="I13" s="4" t="n">
        <v>99000</v>
      </c>
      <c r="J13" s="4" t="n"/>
      <c r="K13" s="4">
        <f>IF(AND(ISNUMBER(J13),ISNUMBER(I13)),J13-I13,"")</f>
        <v/>
      </c>
      <c r="L13" s="5">
        <f>IF(AND(ISNUMBER(J13),ISNUMBER(I13),I13&gt;0),(J13-I13)/I13,"")</f>
        <v/>
      </c>
      <c r="M13" s="2">
        <f>IF(L13="","",IF(L13&lt;-0.05,"Bán phá giá",IF(L13&gt;0.05,"Bán cao hơn","Đúng giá niêm yết")))</f>
        <v/>
      </c>
      <c r="N13" s="2" t="n"/>
      <c r="O13" s="3" t="n"/>
      <c r="P13" s="3" t="n"/>
    </row>
    <row r="14">
      <c r="A14" s="2" t="n">
        <v>13</v>
      </c>
      <c r="B14" s="2" t="inlineStr">
        <is>
          <t>KH001</t>
        </is>
      </c>
      <c r="C14" s="3" t="inlineStr">
        <is>
          <t>Điện nước Nhật (Shop) HCM</t>
        </is>
      </c>
      <c r="D14" s="2" t="inlineStr">
        <is>
          <t>HCM</t>
        </is>
      </c>
      <c r="E14" s="2" t="inlineStr">
        <is>
          <t>BẢO TRÂM</t>
        </is>
      </c>
      <c r="F14" s="2" t="inlineStr">
        <is>
          <t>Shopee</t>
        </is>
      </c>
      <c r="G14" s="2" t="inlineStr">
        <is>
          <t>KFC8.150</t>
        </is>
      </c>
      <c r="H14" s="3" t="inlineStr">
        <is>
          <t>Cảo chữ F - KFC8.150</t>
        </is>
      </c>
      <c r="I14" s="4" t="n">
        <v>252000</v>
      </c>
      <c r="J14" s="4" t="n"/>
      <c r="K14" s="4">
        <f>IF(AND(ISNUMBER(J14),ISNUMBER(I14)),J14-I14,"")</f>
        <v/>
      </c>
      <c r="L14" s="5">
        <f>IF(AND(ISNUMBER(J14),ISNUMBER(I14),I14&gt;0),(J14-I14)/I14,"")</f>
        <v/>
      </c>
      <c r="M14" s="2">
        <f>IF(L14="","",IF(L14&lt;-0.05,"Bán phá giá",IF(L14&gt;0.05,"Bán cao hơn","Đúng giá niêm yết")))</f>
        <v/>
      </c>
      <c r="N14" s="2" t="n"/>
      <c r="O14" s="3" t="n"/>
      <c r="P14" s="3" t="n"/>
    </row>
    <row r="15">
      <c r="A15" s="2" t="n">
        <v>14</v>
      </c>
      <c r="B15" s="2" t="inlineStr">
        <is>
          <t>KH001</t>
        </is>
      </c>
      <c r="C15" s="3" t="inlineStr">
        <is>
          <t>Điện nước Nhật (Shop) HCM</t>
        </is>
      </c>
      <c r="D15" s="2" t="inlineStr">
        <is>
          <t>HCM</t>
        </is>
      </c>
      <c r="E15" s="2" t="inlineStr">
        <is>
          <t>BẢO TRÂM</t>
        </is>
      </c>
      <c r="F15" s="2" t="inlineStr">
        <is>
          <t>Shopee</t>
        </is>
      </c>
      <c r="G15" s="2" t="inlineStr">
        <is>
          <t>KLG-01</t>
        </is>
      </c>
      <c r="H15" s="3" t="inlineStr">
        <is>
          <t>Cần siết tự động 1/2 (72 răng) KLG-01</t>
        </is>
      </c>
      <c r="I15" s="4" t="n">
        <v>191000</v>
      </c>
      <c r="J15" s="4" t="n"/>
      <c r="K15" s="4">
        <f>IF(AND(ISNUMBER(J15),ISNUMBER(I15)),J15-I15,"")</f>
        <v/>
      </c>
      <c r="L15" s="5">
        <f>IF(AND(ISNUMBER(J15),ISNUMBER(I15),I15&gt;0),(J15-I15)/I15,"")</f>
        <v/>
      </c>
      <c r="M15" s="2">
        <f>IF(L15="","",IF(L15&lt;-0.05,"Bán phá giá",IF(L15&gt;0.05,"Bán cao hơn","Đúng giá niêm yết")))</f>
        <v/>
      </c>
      <c r="N15" s="2" t="n"/>
      <c r="O15" s="3" t="n"/>
      <c r="P15" s="3" t="n"/>
    </row>
    <row r="16">
      <c r="A16" s="2" t="n">
        <v>15</v>
      </c>
      <c r="B16" s="2" t="inlineStr">
        <is>
          <t>KH001</t>
        </is>
      </c>
      <c r="C16" s="3" t="inlineStr">
        <is>
          <t>Điện nước Nhật (Shop) HCM</t>
        </is>
      </c>
      <c r="D16" s="2" t="inlineStr">
        <is>
          <t>HCM</t>
        </is>
      </c>
      <c r="E16" s="2" t="inlineStr">
        <is>
          <t>BẢO TRÂM</t>
        </is>
      </c>
      <c r="F16" s="2" t="inlineStr">
        <is>
          <t>Shopee</t>
        </is>
      </c>
      <c r="G16" s="2" t="inlineStr">
        <is>
          <t>KB-ST18</t>
        </is>
      </c>
      <c r="H16" s="3" t="inlineStr">
        <is>
          <t>Công cụ đóng đinh bán tự động KB-ST18</t>
        </is>
      </c>
      <c r="I16" s="4" t="n">
        <v>303000</v>
      </c>
      <c r="J16" s="4" t="n"/>
      <c r="K16" s="4">
        <f>IF(AND(ISNUMBER(J16),ISNUMBER(I16)),J16-I16,"")</f>
        <v/>
      </c>
      <c r="L16" s="5">
        <f>IF(AND(ISNUMBER(J16),ISNUMBER(I16),I16&gt;0),(J16-I16)/I16,"")</f>
        <v/>
      </c>
      <c r="M16" s="2">
        <f>IF(L16="","",IF(L16&lt;-0.05,"Bán phá giá",IF(L16&gt;0.05,"Bán cao hơn","Đúng giá niêm yết")))</f>
        <v/>
      </c>
      <c r="N16" s="2" t="n"/>
      <c r="O16" s="3" t="n"/>
      <c r="P16" s="3" t="n"/>
    </row>
    <row r="17">
      <c r="A17" s="2" t="n">
        <v>16</v>
      </c>
      <c r="B17" s="2" t="inlineStr">
        <is>
          <t>KH001</t>
        </is>
      </c>
      <c r="C17" s="3" t="inlineStr">
        <is>
          <t>Điện nước Nhật (Shop) HCM</t>
        </is>
      </c>
      <c r="D17" s="2" t="inlineStr">
        <is>
          <t>HCM</t>
        </is>
      </c>
      <c r="E17" s="2" t="inlineStr">
        <is>
          <t>BẢO TRÂM</t>
        </is>
      </c>
      <c r="F17" s="2" t="inlineStr">
        <is>
          <t>Shopee</t>
        </is>
      </c>
      <c r="G17" s="2" t="inlineStr">
        <is>
          <t>KH3-08</t>
        </is>
      </c>
      <c r="H17" s="3" t="inlineStr">
        <is>
          <t>Cờ lê vòng miệng tự động ( càng cua đảo chiều) KH3-08</t>
        </is>
      </c>
      <c r="I17" s="4" t="n">
        <v>54000</v>
      </c>
      <c r="J17" s="4" t="n"/>
      <c r="K17" s="4">
        <f>IF(AND(ISNUMBER(J17),ISNUMBER(I17)),J17-I17,"")</f>
        <v/>
      </c>
      <c r="L17" s="5">
        <f>IF(AND(ISNUMBER(J17),ISNUMBER(I17),I17&gt;0),(J17-I17)/I17,"")</f>
        <v/>
      </c>
      <c r="M17" s="2">
        <f>IF(L17="","",IF(L17&lt;-0.05,"Bán phá giá",IF(L17&gt;0.05,"Bán cao hơn","Đúng giá niêm yết")))</f>
        <v/>
      </c>
      <c r="N17" s="2" t="n"/>
      <c r="O17" s="3" t="n"/>
      <c r="P17" s="3" t="n"/>
    </row>
    <row r="18">
      <c r="A18" s="2" t="n">
        <v>17</v>
      </c>
      <c r="B18" s="2" t="inlineStr">
        <is>
          <t>KH001</t>
        </is>
      </c>
      <c r="C18" s="3" t="inlineStr">
        <is>
          <t>Điện nước Nhật (Shop) HCM</t>
        </is>
      </c>
      <c r="D18" s="2" t="inlineStr">
        <is>
          <t>HCM</t>
        </is>
      </c>
      <c r="E18" s="2" t="inlineStr">
        <is>
          <t>BẢO TRÂM</t>
        </is>
      </c>
      <c r="F18" s="2" t="inlineStr">
        <is>
          <t>Shopee</t>
        </is>
      </c>
      <c r="G18" s="2" t="inlineStr">
        <is>
          <t>KH3-10</t>
        </is>
      </c>
      <c r="H18" s="3" t="inlineStr">
        <is>
          <t>Cờ lê vòng miệng tự động ( càng cua đảo chiều) KH3-10</t>
        </is>
      </c>
      <c r="I18" s="4" t="n">
        <v>86000</v>
      </c>
      <c r="J18" s="4" t="n"/>
      <c r="K18" s="4">
        <f>IF(AND(ISNUMBER(J18),ISNUMBER(I18)),J18-I18,"")</f>
        <v/>
      </c>
      <c r="L18" s="5">
        <f>IF(AND(ISNUMBER(J18),ISNUMBER(I18),I18&gt;0),(J18-I18)/I18,"")</f>
        <v/>
      </c>
      <c r="M18" s="2">
        <f>IF(L18="","",IF(L18&lt;-0.05,"Bán phá giá",IF(L18&gt;0.05,"Bán cao hơn","Đúng giá niêm yết")))</f>
        <v/>
      </c>
      <c r="N18" s="2" t="n"/>
      <c r="O18" s="3" t="n"/>
      <c r="P18" s="3" t="n"/>
    </row>
    <row r="19">
      <c r="A19" s="2" t="n">
        <v>18</v>
      </c>
      <c r="B19" s="2" t="inlineStr">
        <is>
          <t>KH001</t>
        </is>
      </c>
      <c r="C19" s="3" t="inlineStr">
        <is>
          <t>Điện nước Nhật (Shop) HCM</t>
        </is>
      </c>
      <c r="D19" s="2" t="inlineStr">
        <is>
          <t>HCM</t>
        </is>
      </c>
      <c r="E19" s="2" t="inlineStr">
        <is>
          <t>BẢO TRÂM</t>
        </is>
      </c>
      <c r="F19" s="2" t="inlineStr">
        <is>
          <t>Shopee</t>
        </is>
      </c>
      <c r="G19" s="2" t="inlineStr">
        <is>
          <t>KH3-12</t>
        </is>
      </c>
      <c r="H19" s="3" t="inlineStr">
        <is>
          <t>Cờ lê vòng miệng tự động ( càng cua đảo chiều) KH3-12</t>
        </is>
      </c>
      <c r="I19" s="4" t="n">
        <v>70000</v>
      </c>
      <c r="J19" s="4" t="n"/>
      <c r="K19" s="4">
        <f>IF(AND(ISNUMBER(J19),ISNUMBER(I19)),J19-I19,"")</f>
        <v/>
      </c>
      <c r="L19" s="5">
        <f>IF(AND(ISNUMBER(J19),ISNUMBER(I19),I19&gt;0),(J19-I19)/I19,"")</f>
        <v/>
      </c>
      <c r="M19" s="2">
        <f>IF(L19="","",IF(L19&lt;-0.05,"Bán phá giá",IF(L19&gt;0.05,"Bán cao hơn","Đúng giá niêm yết")))</f>
        <v/>
      </c>
      <c r="N19" s="2" t="n"/>
      <c r="O19" s="3" t="n"/>
      <c r="P19" s="3" t="n"/>
    </row>
    <row r="20">
      <c r="A20" s="2" t="n">
        <v>19</v>
      </c>
      <c r="B20" s="2" t="inlineStr">
        <is>
          <t>KH001</t>
        </is>
      </c>
      <c r="C20" s="3" t="inlineStr">
        <is>
          <t>Điện nước Nhật (Shop) HCM</t>
        </is>
      </c>
      <c r="D20" s="2" t="inlineStr">
        <is>
          <t>HCM</t>
        </is>
      </c>
      <c r="E20" s="2" t="inlineStr">
        <is>
          <t>BẢO TRÂM</t>
        </is>
      </c>
      <c r="F20" s="2" t="inlineStr">
        <is>
          <t>Shopee</t>
        </is>
      </c>
      <c r="G20" s="2" t="inlineStr">
        <is>
          <t>KH3-13</t>
        </is>
      </c>
      <c r="H20" s="3" t="inlineStr">
        <is>
          <t>Cờ lê vòng miệng tự động ( càng cua đảo chiều) KH3-13</t>
        </is>
      </c>
      <c r="I20" s="4" t="n">
        <v>105000</v>
      </c>
      <c r="J20" s="4" t="n"/>
      <c r="K20" s="4">
        <f>IF(AND(ISNUMBER(J20),ISNUMBER(I20)),J20-I20,"")</f>
        <v/>
      </c>
      <c r="L20" s="5">
        <f>IF(AND(ISNUMBER(J20),ISNUMBER(I20),I20&gt;0),(J20-I20)/I20,"")</f>
        <v/>
      </c>
      <c r="M20" s="2">
        <f>IF(L20="","",IF(L20&lt;-0.05,"Bán phá giá",IF(L20&gt;0.05,"Bán cao hơn","Đúng giá niêm yết")))</f>
        <v/>
      </c>
      <c r="N20" s="2" t="n"/>
      <c r="O20" s="3" t="n"/>
      <c r="P20" s="3" t="n"/>
    </row>
    <row r="21">
      <c r="A21" s="2" t="n">
        <v>20</v>
      </c>
      <c r="B21" s="2" t="inlineStr">
        <is>
          <t>KH001</t>
        </is>
      </c>
      <c r="C21" s="3" t="inlineStr">
        <is>
          <t>Điện nước Nhật (Shop) HCM</t>
        </is>
      </c>
      <c r="D21" s="2" t="inlineStr">
        <is>
          <t>HCM</t>
        </is>
      </c>
      <c r="E21" s="2" t="inlineStr">
        <is>
          <t>BẢO TRÂM</t>
        </is>
      </c>
      <c r="F21" s="2" t="inlineStr">
        <is>
          <t>Shopee</t>
        </is>
      </c>
      <c r="G21" s="2" t="inlineStr">
        <is>
          <t>KH3-14</t>
        </is>
      </c>
      <c r="H21" s="3" t="inlineStr">
        <is>
          <t>Cờ lê vòng miệng tự động ( càng cua đảo chiều) KH3-14</t>
        </is>
      </c>
      <c r="I21" s="4" t="n">
        <v>79000</v>
      </c>
      <c r="J21" s="4" t="n"/>
      <c r="K21" s="4">
        <f>IF(AND(ISNUMBER(J21),ISNUMBER(I21)),J21-I21,"")</f>
        <v/>
      </c>
      <c r="L21" s="5">
        <f>IF(AND(ISNUMBER(J21),ISNUMBER(I21),I21&gt;0),(J21-I21)/I21,"")</f>
        <v/>
      </c>
      <c r="M21" s="2">
        <f>IF(L21="","",IF(L21&lt;-0.05,"Bán phá giá",IF(L21&gt;0.05,"Bán cao hơn","Đúng giá niêm yết")))</f>
        <v/>
      </c>
      <c r="N21" s="2" t="n"/>
      <c r="O21" s="3" t="n"/>
      <c r="P21" s="3" t="n"/>
    </row>
    <row r="22">
      <c r="A22" s="2" t="n">
        <v>21</v>
      </c>
      <c r="B22" s="2" t="inlineStr">
        <is>
          <t>KH001</t>
        </is>
      </c>
      <c r="C22" s="3" t="inlineStr">
        <is>
          <t>Điện nước Nhật (Shop) HCM</t>
        </is>
      </c>
      <c r="D22" s="2" t="inlineStr">
        <is>
          <t>HCM</t>
        </is>
      </c>
      <c r="E22" s="2" t="inlineStr">
        <is>
          <t>BẢO TRÂM</t>
        </is>
      </c>
      <c r="F22" s="2" t="inlineStr">
        <is>
          <t>Shopee</t>
        </is>
      </c>
      <c r="G22" s="2" t="inlineStr">
        <is>
          <t>KH3-17</t>
        </is>
      </c>
      <c r="H22" s="3" t="inlineStr">
        <is>
          <t>Cờ lê vòng miệng tự động ( càng cua đảo chiều) KH3-17</t>
        </is>
      </c>
      <c r="I22" s="4" t="n">
        <v>135000</v>
      </c>
      <c r="J22" s="4" t="n"/>
      <c r="K22" s="4">
        <f>IF(AND(ISNUMBER(J22),ISNUMBER(I22)),J22-I22,"")</f>
        <v/>
      </c>
      <c r="L22" s="5">
        <f>IF(AND(ISNUMBER(J22),ISNUMBER(I22),I22&gt;0),(J22-I22)/I22,"")</f>
        <v/>
      </c>
      <c r="M22" s="2">
        <f>IF(L22="","",IF(L22&lt;-0.05,"Bán phá giá",IF(L22&gt;0.05,"Bán cao hơn","Đúng giá niêm yết")))</f>
        <v/>
      </c>
      <c r="N22" s="2" t="n"/>
      <c r="O22" s="3" t="n"/>
      <c r="P22" s="3" t="n"/>
    </row>
    <row r="23">
      <c r="A23" s="2" t="n">
        <v>22</v>
      </c>
      <c r="B23" s="2" t="inlineStr">
        <is>
          <t>KH001</t>
        </is>
      </c>
      <c r="C23" s="3" t="inlineStr">
        <is>
          <t>Điện nước Nhật (Shop) HCM</t>
        </is>
      </c>
      <c r="D23" s="2" t="inlineStr">
        <is>
          <t>HCM</t>
        </is>
      </c>
      <c r="E23" s="2" t="inlineStr">
        <is>
          <t>BẢO TRÂM</t>
        </is>
      </c>
      <c r="F23" s="2" t="inlineStr">
        <is>
          <t>Shopee</t>
        </is>
      </c>
      <c r="G23" s="2" t="inlineStr">
        <is>
          <t>KH3-19</t>
        </is>
      </c>
      <c r="H23" s="3" t="inlineStr">
        <is>
          <t>Cờ lê vòng miệng tự động ( càng cua đảo chiều) KH3-19</t>
        </is>
      </c>
      <c r="I23" s="4" t="n">
        <v>151000</v>
      </c>
      <c r="J23" s="4" t="n"/>
      <c r="K23" s="4">
        <f>IF(AND(ISNUMBER(J23),ISNUMBER(I23)),J23-I23,"")</f>
        <v/>
      </c>
      <c r="L23" s="5">
        <f>IF(AND(ISNUMBER(J23),ISNUMBER(I23),I23&gt;0),(J23-I23)/I23,"")</f>
        <v/>
      </c>
      <c r="M23" s="2">
        <f>IF(L23="","",IF(L23&lt;-0.05,"Bán phá giá",IF(L23&gt;0.05,"Bán cao hơn","Đúng giá niêm yết")))</f>
        <v/>
      </c>
      <c r="N23" s="2" t="n"/>
      <c r="O23" s="3" t="n"/>
      <c r="P23" s="3" t="n"/>
    </row>
    <row r="24">
      <c r="A24" s="2" t="n">
        <v>23</v>
      </c>
      <c r="B24" s="2" t="inlineStr">
        <is>
          <t>KH001</t>
        </is>
      </c>
      <c r="C24" s="3" t="inlineStr">
        <is>
          <t>Điện nước Nhật (Shop) HCM</t>
        </is>
      </c>
      <c r="D24" s="2" t="inlineStr">
        <is>
          <t>HCM</t>
        </is>
      </c>
      <c r="E24" s="2" t="inlineStr">
        <is>
          <t>BẢO TRÂM</t>
        </is>
      </c>
      <c r="F24" s="2" t="inlineStr">
        <is>
          <t>Shopee</t>
        </is>
      </c>
      <c r="G24" s="2" t="inlineStr">
        <is>
          <t>KJH-04</t>
        </is>
      </c>
      <c r="H24" s="3" t="inlineStr">
        <is>
          <t>Dao rọc cáp đa năng KJH-04</t>
        </is>
      </c>
      <c r="I24" s="4" t="n">
        <v>164000</v>
      </c>
      <c r="J24" s="4" t="n"/>
      <c r="K24" s="4">
        <f>IF(AND(ISNUMBER(J24),ISNUMBER(I24)),J24-I24,"")</f>
        <v/>
      </c>
      <c r="L24" s="5">
        <f>IF(AND(ISNUMBER(J24),ISNUMBER(I24),I24&gt;0),(J24-I24)/I24,"")</f>
        <v/>
      </c>
      <c r="M24" s="2">
        <f>IF(L24="","",IF(L24&lt;-0.05,"Bán phá giá",IF(L24&gt;0.05,"Bán cao hơn","Đúng giá niêm yết")))</f>
        <v/>
      </c>
      <c r="N24" s="2" t="n"/>
      <c r="O24" s="3" t="n"/>
      <c r="P24" s="3" t="n"/>
    </row>
    <row r="25">
      <c r="A25" s="2" t="n">
        <v>24</v>
      </c>
      <c r="B25" s="2" t="inlineStr">
        <is>
          <t>KH001</t>
        </is>
      </c>
      <c r="C25" s="3" t="inlineStr">
        <is>
          <t>Điện nước Nhật (Shop) HCM</t>
        </is>
      </c>
      <c r="D25" s="2" t="inlineStr">
        <is>
          <t>HCM</t>
        </is>
      </c>
      <c r="E25" s="2" t="inlineStr">
        <is>
          <t>BẢO TRÂM</t>
        </is>
      </c>
      <c r="F25" s="2" t="inlineStr">
        <is>
          <t>Shopee</t>
        </is>
      </c>
      <c r="G25" s="2" t="inlineStr">
        <is>
          <t>KJH-06</t>
        </is>
      </c>
      <c r="H25" s="3" t="inlineStr">
        <is>
          <t>Dao rọc cáp đa năng KJH-06</t>
        </is>
      </c>
      <c r="I25" s="4" t="n">
        <v>196000</v>
      </c>
      <c r="J25" s="4" t="n"/>
      <c r="K25" s="4">
        <f>IF(AND(ISNUMBER(J25),ISNUMBER(I25)),J25-I25,"")</f>
        <v/>
      </c>
      <c r="L25" s="5">
        <f>IF(AND(ISNUMBER(J25),ISNUMBER(I25),I25&gt;0),(J25-I25)/I25,"")</f>
        <v/>
      </c>
      <c r="M25" s="2">
        <f>IF(L25="","",IF(L25&lt;-0.05,"Bán phá giá",IF(L25&gt;0.05,"Bán cao hơn","Đúng giá niêm yết")))</f>
        <v/>
      </c>
      <c r="N25" s="2" t="n"/>
      <c r="O25" s="3" t="n"/>
      <c r="P25" s="3" t="n"/>
    </row>
    <row r="26">
      <c r="A26" s="2" t="n">
        <v>25</v>
      </c>
      <c r="B26" s="2" t="inlineStr">
        <is>
          <t>KH001</t>
        </is>
      </c>
      <c r="C26" s="3" t="inlineStr">
        <is>
          <t>Điện nước Nhật (Shop) HCM</t>
        </is>
      </c>
      <c r="D26" s="2" t="inlineStr">
        <is>
          <t>HCM</t>
        </is>
      </c>
      <c r="E26" s="2" t="inlineStr">
        <is>
          <t>BẢO TRÂM</t>
        </is>
      </c>
      <c r="F26" s="2" t="inlineStr">
        <is>
          <t>Shopee</t>
        </is>
      </c>
      <c r="G26" s="2" t="inlineStr">
        <is>
          <t>K54M</t>
        </is>
      </c>
      <c r="H26" s="3" t="inlineStr">
        <is>
          <t>Dụng cụ khò gas mini K54M</t>
        </is>
      </c>
      <c r="I26" s="4" t="n">
        <v>264000</v>
      </c>
      <c r="J26" s="4" t="n"/>
      <c r="K26" s="4">
        <f>IF(AND(ISNUMBER(J26),ISNUMBER(I26)),J26-I26,"")</f>
        <v/>
      </c>
      <c r="L26" s="5">
        <f>IF(AND(ISNUMBER(J26),ISNUMBER(I26),I26&gt;0),(J26-I26)/I26,"")</f>
        <v/>
      </c>
      <c r="M26" s="2">
        <f>IF(L26="","",IF(L26&lt;-0.05,"Bán phá giá",IF(L26&gt;0.05,"Bán cao hơn","Đúng giá niêm yết")))</f>
        <v/>
      </c>
      <c r="N26" s="2" t="n"/>
      <c r="O26" s="3" t="n"/>
      <c r="P26" s="3" t="n"/>
    </row>
    <row r="27">
      <c r="A27" s="2" t="n">
        <v>26</v>
      </c>
      <c r="B27" s="2" t="inlineStr">
        <is>
          <t>KH001</t>
        </is>
      </c>
      <c r="C27" s="3" t="inlineStr">
        <is>
          <t>Điện nước Nhật (Shop) HCM</t>
        </is>
      </c>
      <c r="D27" s="2" t="inlineStr">
        <is>
          <t>HCM</t>
        </is>
      </c>
      <c r="E27" s="2" t="inlineStr">
        <is>
          <t>BẢO TRÂM</t>
        </is>
      </c>
      <c r="F27" s="2" t="inlineStr">
        <is>
          <t>Shopee</t>
        </is>
      </c>
      <c r="G27" s="2" t="inlineStr">
        <is>
          <t>D1-107x1.2</t>
        </is>
      </c>
      <c r="H27" s="3" t="inlineStr">
        <is>
          <t>Đá cắt sắt, inox KingBlue D1-107x1.2 xanh (Hộp sắt)</t>
        </is>
      </c>
      <c r="I27" s="4" t="n">
        <v>5300</v>
      </c>
      <c r="J27" s="4" t="n"/>
      <c r="K27" s="4">
        <f>IF(AND(ISNUMBER(J27),ISNUMBER(I27)),J27-I27,"")</f>
        <v/>
      </c>
      <c r="L27" s="5">
        <f>IF(AND(ISNUMBER(J27),ISNUMBER(I27),I27&gt;0),(J27-I27)/I27,"")</f>
        <v/>
      </c>
      <c r="M27" s="2">
        <f>IF(L27="","",IF(L27&lt;-0.05,"Bán phá giá",IF(L27&gt;0.05,"Bán cao hơn","Đúng giá niêm yết")))</f>
        <v/>
      </c>
      <c r="N27" s="2" t="n"/>
      <c r="O27" s="3" t="n"/>
      <c r="P27" s="3" t="n"/>
    </row>
    <row r="28">
      <c r="A28" s="2" t="n">
        <v>27</v>
      </c>
      <c r="B28" s="2" t="inlineStr">
        <is>
          <t>KH001</t>
        </is>
      </c>
      <c r="C28" s="3" t="inlineStr">
        <is>
          <t>Điện nước Nhật (Shop) HCM</t>
        </is>
      </c>
      <c r="D28" s="2" t="inlineStr">
        <is>
          <t>HCM</t>
        </is>
      </c>
      <c r="E28" s="2" t="inlineStr">
        <is>
          <t>BẢO TRÂM</t>
        </is>
      </c>
      <c r="F28" s="2" t="inlineStr">
        <is>
          <t>Shopee</t>
        </is>
      </c>
      <c r="G28" s="2" t="inlineStr">
        <is>
          <t>D1-125x1.6</t>
        </is>
      </c>
      <c r="H28" s="3" t="inlineStr">
        <is>
          <t>Đá cắt sắt, inox Kingblue D1-125x1.6 xanh</t>
        </is>
      </c>
      <c r="I28" s="4" t="n">
        <v>10900</v>
      </c>
      <c r="J28" s="4" t="n"/>
      <c r="K28" s="4">
        <f>IF(AND(ISNUMBER(J28),ISNUMBER(I28)),J28-I28,"")</f>
        <v/>
      </c>
      <c r="L28" s="5">
        <f>IF(AND(ISNUMBER(J28),ISNUMBER(I28),I28&gt;0),(J28-I28)/I28,"")</f>
        <v/>
      </c>
      <c r="M28" s="2">
        <f>IF(L28="","",IF(L28&lt;-0.05,"Bán phá giá",IF(L28&gt;0.05,"Bán cao hơn","Đúng giá niêm yết")))</f>
        <v/>
      </c>
      <c r="N28" s="2" t="n"/>
      <c r="O28" s="3" t="n"/>
      <c r="P28" s="3" t="n"/>
    </row>
    <row r="29">
      <c r="A29" s="2" t="n">
        <v>28</v>
      </c>
      <c r="B29" s="2" t="inlineStr">
        <is>
          <t>KH001</t>
        </is>
      </c>
      <c r="C29" s="3" t="inlineStr">
        <is>
          <t>Điện nước Nhật (Shop) HCM</t>
        </is>
      </c>
      <c r="D29" s="2" t="inlineStr">
        <is>
          <t>HCM</t>
        </is>
      </c>
      <c r="E29" s="2" t="inlineStr">
        <is>
          <t>BẢO TRÂM</t>
        </is>
      </c>
      <c r="F29" s="2" t="inlineStr">
        <is>
          <t>Shopee</t>
        </is>
      </c>
      <c r="G29" s="2" t="inlineStr">
        <is>
          <t>D3-107x1.2</t>
        </is>
      </c>
      <c r="H29" s="3" t="inlineStr">
        <is>
          <t>Đá cắt sắt, inox KingBlue D3-107x1.2 xanh ( hộp sắt)</t>
        </is>
      </c>
      <c r="I29" s="4" t="n">
        <v>6600</v>
      </c>
      <c r="J29" s="4" t="n"/>
      <c r="K29" s="4">
        <f>IF(AND(ISNUMBER(J29),ISNUMBER(I29)),J29-I29,"")</f>
        <v/>
      </c>
      <c r="L29" s="5">
        <f>IF(AND(ISNUMBER(J29),ISNUMBER(I29),I29&gt;0),(J29-I29)/I29,"")</f>
        <v/>
      </c>
      <c r="M29" s="2">
        <f>IF(L29="","",IF(L29&lt;-0.05,"Bán phá giá",IF(L29&gt;0.05,"Bán cao hơn","Đúng giá niêm yết")))</f>
        <v/>
      </c>
      <c r="N29" s="2" t="n"/>
      <c r="O29" s="3" t="n"/>
      <c r="P29" s="3" t="n"/>
    </row>
    <row r="30">
      <c r="A30" s="2" t="n">
        <v>29</v>
      </c>
      <c r="B30" s="2" t="inlineStr">
        <is>
          <t>KH001</t>
        </is>
      </c>
      <c r="C30" s="3" t="inlineStr">
        <is>
          <t>Điện nước Nhật (Shop) HCM</t>
        </is>
      </c>
      <c r="D30" s="2" t="inlineStr">
        <is>
          <t>HCM</t>
        </is>
      </c>
      <c r="E30" s="2" t="inlineStr">
        <is>
          <t>BẢO TRÂM</t>
        </is>
      </c>
      <c r="F30" s="2" t="inlineStr">
        <is>
          <t>Shopee</t>
        </is>
      </c>
      <c r="G30" s="2" t="inlineStr">
        <is>
          <t>D3-125x1.8</t>
        </is>
      </c>
      <c r="H30" s="3" t="inlineStr">
        <is>
          <t>Đá cắt sắt, inox Kingblue D3-125x1.8 xanh</t>
        </is>
      </c>
      <c r="I30" s="4" t="n">
        <v>8800</v>
      </c>
      <c r="J30" s="4" t="n"/>
      <c r="K30" s="4">
        <f>IF(AND(ISNUMBER(J30),ISNUMBER(I30)),J30-I30,"")</f>
        <v/>
      </c>
      <c r="L30" s="5">
        <f>IF(AND(ISNUMBER(J30),ISNUMBER(I30),I30&gt;0),(J30-I30)/I30,"")</f>
        <v/>
      </c>
      <c r="M30" s="2">
        <f>IF(L30="","",IF(L30&lt;-0.05,"Bán phá giá",IF(L30&gt;0.05,"Bán cao hơn","Đúng giá niêm yết")))</f>
        <v/>
      </c>
      <c r="N30" s="2" t="n"/>
      <c r="O30" s="3" t="n"/>
      <c r="P30" s="3" t="n"/>
    </row>
    <row r="31">
      <c r="A31" s="2" t="n">
        <v>30</v>
      </c>
      <c r="B31" s="2" t="inlineStr">
        <is>
          <t>KH001</t>
        </is>
      </c>
      <c r="C31" s="3" t="inlineStr">
        <is>
          <t>Điện nước Nhật (Shop) HCM</t>
        </is>
      </c>
      <c r="D31" s="2" t="inlineStr">
        <is>
          <t>HCM</t>
        </is>
      </c>
      <c r="E31" s="2" t="inlineStr">
        <is>
          <t>BẢO TRÂM</t>
        </is>
      </c>
      <c r="F31" s="2" t="inlineStr">
        <is>
          <t>Shopee</t>
        </is>
      </c>
      <c r="G31" s="2" t="inlineStr">
        <is>
          <t>D3-150x2.0x22mm</t>
        </is>
      </c>
      <c r="H31" s="3" t="inlineStr">
        <is>
          <t>Đá cắt sắt, inox Kingblue D3-150x2.0x22mm</t>
        </is>
      </c>
      <c r="I31" s="4" t="n">
        <v>21000</v>
      </c>
      <c r="J31" s="4" t="n"/>
      <c r="K31" s="4">
        <f>IF(AND(ISNUMBER(J31),ISNUMBER(I31)),J31-I31,"")</f>
        <v/>
      </c>
      <c r="L31" s="5">
        <f>IF(AND(ISNUMBER(J31),ISNUMBER(I31),I31&gt;0),(J31-I31)/I31,"")</f>
        <v/>
      </c>
      <c r="M31" s="2">
        <f>IF(L31="","",IF(L31&lt;-0.05,"Bán phá giá",IF(L31&gt;0.05,"Bán cao hơn","Đúng giá niêm yết")))</f>
        <v/>
      </c>
      <c r="N31" s="2" t="n"/>
      <c r="O31" s="3" t="n"/>
      <c r="P31" s="3" t="n"/>
    </row>
    <row r="32">
      <c r="A32" s="2" t="n">
        <v>31</v>
      </c>
      <c r="B32" s="2" t="inlineStr">
        <is>
          <t>KH001</t>
        </is>
      </c>
      <c r="C32" s="3" t="inlineStr">
        <is>
          <t>Điện nước Nhật (Shop) HCM</t>
        </is>
      </c>
      <c r="D32" s="2" t="inlineStr">
        <is>
          <t>HCM</t>
        </is>
      </c>
      <c r="E32" s="2" t="inlineStr">
        <is>
          <t>BẢO TRÂM</t>
        </is>
      </c>
      <c r="F32" s="2" t="inlineStr">
        <is>
          <t>Shopee</t>
        </is>
      </c>
      <c r="G32" s="2" t="inlineStr">
        <is>
          <t>D3-180x2.0x22mm</t>
        </is>
      </c>
      <c r="H32" s="3" t="inlineStr">
        <is>
          <t>Đá cắt sắt, inox Kingblue D3-180x2.0x22mm</t>
        </is>
      </c>
      <c r="I32" s="4" t="n">
        <v>28400</v>
      </c>
      <c r="J32" s="4" t="n"/>
      <c r="K32" s="4">
        <f>IF(AND(ISNUMBER(J32),ISNUMBER(I32)),J32-I32,"")</f>
        <v/>
      </c>
      <c r="L32" s="5">
        <f>IF(AND(ISNUMBER(J32),ISNUMBER(I32),I32&gt;0),(J32-I32)/I32,"")</f>
        <v/>
      </c>
      <c r="M32" s="2">
        <f>IF(L32="","",IF(L32&lt;-0.05,"Bán phá giá",IF(L32&gt;0.05,"Bán cao hơn","Đúng giá niêm yết")))</f>
        <v/>
      </c>
      <c r="N32" s="2" t="n"/>
      <c r="O32" s="3" t="n"/>
      <c r="P32" s="3" t="n"/>
    </row>
    <row r="33">
      <c r="A33" s="2" t="n">
        <v>32</v>
      </c>
      <c r="B33" s="2" t="inlineStr">
        <is>
          <t>KH001</t>
        </is>
      </c>
      <c r="C33" s="3" t="inlineStr">
        <is>
          <t>Điện nước Nhật (Shop) HCM</t>
        </is>
      </c>
      <c r="D33" s="2" t="inlineStr">
        <is>
          <t>HCM</t>
        </is>
      </c>
      <c r="E33" s="2" t="inlineStr">
        <is>
          <t>BẢO TRÂM</t>
        </is>
      </c>
      <c r="F33" s="2" t="inlineStr">
        <is>
          <t>Shopee</t>
        </is>
      </c>
      <c r="G33" s="2" t="inlineStr">
        <is>
          <t>D3-300x2.8</t>
        </is>
      </c>
      <c r="H33" s="3" t="inlineStr">
        <is>
          <t>Đá cắt sắt, inox KingBlue D3-300x2.8 S</t>
        </is>
      </c>
      <c r="I33" s="4" t="n">
        <v>44100</v>
      </c>
      <c r="J33" s="4" t="n"/>
      <c r="K33" s="4">
        <f>IF(AND(ISNUMBER(J33),ISNUMBER(I33)),J33-I33,"")</f>
        <v/>
      </c>
      <c r="L33" s="5">
        <f>IF(AND(ISNUMBER(J33),ISNUMBER(I33),I33&gt;0),(J33-I33)/I33,"")</f>
        <v/>
      </c>
      <c r="M33" s="2">
        <f>IF(L33="","",IF(L33&lt;-0.05,"Bán phá giá",IF(L33&gt;0.05,"Bán cao hơn","Đúng giá niêm yết")))</f>
        <v/>
      </c>
      <c r="N33" s="2" t="n"/>
      <c r="O33" s="3" t="n"/>
      <c r="P33" s="3" t="n"/>
    </row>
    <row r="34">
      <c r="A34" s="2" t="n">
        <v>33</v>
      </c>
      <c r="B34" s="2" t="inlineStr">
        <is>
          <t>KH001</t>
        </is>
      </c>
      <c r="C34" s="3" t="inlineStr">
        <is>
          <t>Điện nước Nhật (Shop) HCM</t>
        </is>
      </c>
      <c r="D34" s="2" t="inlineStr">
        <is>
          <t>HCM</t>
        </is>
      </c>
      <c r="E34" s="2" t="inlineStr">
        <is>
          <t>BẢO TRÂM</t>
        </is>
      </c>
      <c r="F34" s="2" t="inlineStr">
        <is>
          <t>Shopee</t>
        </is>
      </c>
      <c r="G34" s="2" t="inlineStr">
        <is>
          <t>D3-400x3.0</t>
        </is>
      </c>
      <c r="H34" s="3" t="inlineStr">
        <is>
          <t>Đá cắt sắt, inox KingBlue D3-400x3.0 S</t>
        </is>
      </c>
      <c r="I34" s="4" t="n">
        <v>61000</v>
      </c>
      <c r="J34" s="4" t="n"/>
      <c r="K34" s="4">
        <f>IF(AND(ISNUMBER(J34),ISNUMBER(I34)),J34-I34,"")</f>
        <v/>
      </c>
      <c r="L34" s="5">
        <f>IF(AND(ISNUMBER(J34),ISNUMBER(I34),I34&gt;0),(J34-I34)/I34,"")</f>
        <v/>
      </c>
      <c r="M34" s="2">
        <f>IF(L34="","",IF(L34&lt;-0.05,"Bán phá giá",IF(L34&gt;0.05,"Bán cao hơn","Đúng giá niêm yết")))</f>
        <v/>
      </c>
      <c r="N34" s="2" t="n"/>
      <c r="O34" s="3" t="n"/>
      <c r="P34" s="3" t="n"/>
    </row>
    <row r="35">
      <c r="A35" s="2" t="n">
        <v>34</v>
      </c>
      <c r="B35" s="2" t="inlineStr">
        <is>
          <t>KH001</t>
        </is>
      </c>
      <c r="C35" s="3" t="inlineStr">
        <is>
          <t>Điện nước Nhật (Shop) HCM</t>
        </is>
      </c>
      <c r="D35" s="2" t="inlineStr">
        <is>
          <t>HCM</t>
        </is>
      </c>
      <c r="E35" s="2" t="inlineStr">
        <is>
          <t>BẢO TRÂM</t>
        </is>
      </c>
      <c r="F35" s="2" t="inlineStr">
        <is>
          <t>Shopee</t>
        </is>
      </c>
      <c r="G35" s="2" t="inlineStr">
        <is>
          <t>D3-103x2.8</t>
        </is>
      </c>
      <c r="H35" s="3" t="inlineStr">
        <is>
          <t>Đá mài sắt, inox KingBlue D3-103x2.8</t>
        </is>
      </c>
      <c r="I35" s="4" t="n">
        <v>8300</v>
      </c>
      <c r="J35" s="4" t="n"/>
      <c r="K35" s="4">
        <f>IF(AND(ISNUMBER(J35),ISNUMBER(I35)),J35-I35,"")</f>
        <v/>
      </c>
      <c r="L35" s="5">
        <f>IF(AND(ISNUMBER(J35),ISNUMBER(I35),I35&gt;0),(J35-I35)/I35,"")</f>
        <v/>
      </c>
      <c r="M35" s="2">
        <f>IF(L35="","",IF(L35&lt;-0.05,"Bán phá giá",IF(L35&gt;0.05,"Bán cao hơn","Đúng giá niêm yết")))</f>
        <v/>
      </c>
      <c r="N35" s="2" t="n"/>
      <c r="O35" s="3" t="n"/>
      <c r="P35" s="3" t="n"/>
    </row>
    <row r="36">
      <c r="A36" s="2" t="n">
        <v>35</v>
      </c>
      <c r="B36" s="2" t="inlineStr">
        <is>
          <t>KH001</t>
        </is>
      </c>
      <c r="C36" s="3" t="inlineStr">
        <is>
          <t>Điện nước Nhật (Shop) HCM</t>
        </is>
      </c>
      <c r="D36" s="2" t="inlineStr">
        <is>
          <t>HCM</t>
        </is>
      </c>
      <c r="E36" s="2" t="inlineStr">
        <is>
          <t>BẢO TRÂM</t>
        </is>
      </c>
      <c r="F36" s="2" t="inlineStr">
        <is>
          <t>Shopee</t>
        </is>
      </c>
      <c r="G36" s="2" t="inlineStr">
        <is>
          <t>D3-125x6.0</t>
        </is>
      </c>
      <c r="H36" s="3" t="inlineStr">
        <is>
          <t>Đá mài sắt, inox Kingblue D3-125x6.0</t>
        </is>
      </c>
      <c r="I36" s="4" t="n">
        <v>18000</v>
      </c>
      <c r="J36" s="4" t="n"/>
      <c r="K36" s="4">
        <f>IF(AND(ISNUMBER(J36),ISNUMBER(I36)),J36-I36,"")</f>
        <v/>
      </c>
      <c r="L36" s="5">
        <f>IF(AND(ISNUMBER(J36),ISNUMBER(I36),I36&gt;0),(J36-I36)/I36,"")</f>
        <v/>
      </c>
      <c r="M36" s="2">
        <f>IF(L36="","",IF(L36&lt;-0.05,"Bán phá giá",IF(L36&gt;0.05,"Bán cao hơn","Đúng giá niêm yết")))</f>
        <v/>
      </c>
      <c r="N36" s="2" t="n"/>
      <c r="O36" s="3" t="n"/>
      <c r="P36" s="3" t="n"/>
    </row>
    <row r="37">
      <c r="A37" s="2" t="n">
        <v>36</v>
      </c>
      <c r="B37" s="2" t="inlineStr">
        <is>
          <t>KH001</t>
        </is>
      </c>
      <c r="C37" s="3" t="inlineStr">
        <is>
          <t>Điện nước Nhật (Shop) HCM</t>
        </is>
      </c>
      <c r="D37" s="2" t="inlineStr">
        <is>
          <t>HCM</t>
        </is>
      </c>
      <c r="E37" s="2" t="inlineStr">
        <is>
          <t>BẢO TRÂM</t>
        </is>
      </c>
      <c r="F37" s="2" t="inlineStr">
        <is>
          <t>Shopee</t>
        </is>
      </c>
      <c r="G37" s="2" t="inlineStr">
        <is>
          <t>D3-100x6.0mm</t>
        </is>
      </c>
      <c r="H37" s="3" t="inlineStr">
        <is>
          <t>Đá mài sắt,inox KingBlue D3-100x6.0mm</t>
        </is>
      </c>
      <c r="I37" s="4" t="n">
        <v>14000</v>
      </c>
      <c r="J37" s="4" t="n"/>
      <c r="K37" s="4">
        <f>IF(AND(ISNUMBER(J37),ISNUMBER(I37)),J37-I37,"")</f>
        <v/>
      </c>
      <c r="L37" s="5">
        <f>IF(AND(ISNUMBER(J37),ISNUMBER(I37),I37&gt;0),(J37-I37)/I37,"")</f>
        <v/>
      </c>
      <c r="M37" s="2">
        <f>IF(L37="","",IF(L37&lt;-0.05,"Bán phá giá",IF(L37&gt;0.05,"Bán cao hơn","Đúng giá niêm yết")))</f>
        <v/>
      </c>
      <c r="N37" s="2" t="n"/>
      <c r="O37" s="3" t="n"/>
      <c r="P37" s="3" t="n"/>
    </row>
    <row r="38">
      <c r="A38" s="2" t="n">
        <v>37</v>
      </c>
      <c r="B38" s="2" t="inlineStr">
        <is>
          <t>KH001</t>
        </is>
      </c>
      <c r="C38" s="3" t="inlineStr">
        <is>
          <t>Điện nước Nhật (Shop) HCM</t>
        </is>
      </c>
      <c r="D38" s="2" t="inlineStr">
        <is>
          <t>HCM</t>
        </is>
      </c>
      <c r="E38" s="2" t="inlineStr">
        <is>
          <t>BẢO TRÂM</t>
        </is>
      </c>
      <c r="F38" s="2" t="inlineStr">
        <is>
          <t>Shopee</t>
        </is>
      </c>
      <c r="G38" s="2" t="inlineStr">
        <is>
          <t>CM07</t>
        </is>
      </c>
      <c r="H38" s="3" t="inlineStr">
        <is>
          <t>Đầu chụp bulon KingBlue CM07</t>
        </is>
      </c>
      <c r="I38" s="4" t="n">
        <v>14300</v>
      </c>
      <c r="J38" s="4" t="n"/>
      <c r="K38" s="4">
        <f>IF(AND(ISNUMBER(J38),ISNUMBER(I38)),J38-I38,"")</f>
        <v/>
      </c>
      <c r="L38" s="5">
        <f>IF(AND(ISNUMBER(J38),ISNUMBER(I38),I38&gt;0),(J38-I38)/I38,"")</f>
        <v/>
      </c>
      <c r="M38" s="2">
        <f>IF(L38="","",IF(L38&lt;-0.05,"Bán phá giá",IF(L38&gt;0.05,"Bán cao hơn","Đúng giá niêm yết")))</f>
        <v/>
      </c>
      <c r="N38" s="2" t="n"/>
      <c r="O38" s="3" t="n"/>
      <c r="P38" s="3" t="n"/>
    </row>
    <row r="39">
      <c r="A39" s="2" t="n">
        <v>38</v>
      </c>
      <c r="B39" s="2" t="inlineStr">
        <is>
          <t>KH001</t>
        </is>
      </c>
      <c r="C39" s="3" t="inlineStr">
        <is>
          <t>Điện nước Nhật (Shop) HCM</t>
        </is>
      </c>
      <c r="D39" s="2" t="inlineStr">
        <is>
          <t>HCM</t>
        </is>
      </c>
      <c r="E39" s="2" t="inlineStr">
        <is>
          <t>BẢO TRÂM</t>
        </is>
      </c>
      <c r="F39" s="2" t="inlineStr">
        <is>
          <t>Shopee</t>
        </is>
      </c>
      <c r="G39" s="2" t="inlineStr">
        <is>
          <t>CM08</t>
        </is>
      </c>
      <c r="H39" s="3" t="inlineStr">
        <is>
          <t>Đầu chụp bulon KingBlue CM08</t>
        </is>
      </c>
      <c r="I39" s="4" t="n">
        <v>154000</v>
      </c>
      <c r="J39" s="4" t="n"/>
      <c r="K39" s="4">
        <f>IF(AND(ISNUMBER(J39),ISNUMBER(I39)),J39-I39,"")</f>
        <v/>
      </c>
      <c r="L39" s="5">
        <f>IF(AND(ISNUMBER(J39),ISNUMBER(I39),I39&gt;0),(J39-I39)/I39,"")</f>
        <v/>
      </c>
      <c r="M39" s="2">
        <f>IF(L39="","",IF(L39&lt;-0.05,"Bán phá giá",IF(L39&gt;0.05,"Bán cao hơn","Đúng giá niêm yết")))</f>
        <v/>
      </c>
      <c r="N39" s="2" t="n"/>
      <c r="O39" s="3" t="n"/>
      <c r="P39" s="3" t="n"/>
    </row>
    <row r="40">
      <c r="A40" s="2" t="n">
        <v>39</v>
      </c>
      <c r="B40" s="2" t="inlineStr">
        <is>
          <t>KH001</t>
        </is>
      </c>
      <c r="C40" s="3" t="inlineStr">
        <is>
          <t>Điện nước Nhật (Shop) HCM</t>
        </is>
      </c>
      <c r="D40" s="2" t="inlineStr">
        <is>
          <t>HCM</t>
        </is>
      </c>
      <c r="E40" s="2" t="inlineStr">
        <is>
          <t>BẢO TRÂM</t>
        </is>
      </c>
      <c r="F40" s="2" t="inlineStr">
        <is>
          <t>Shopee</t>
        </is>
      </c>
      <c r="G40" s="2" t="inlineStr">
        <is>
          <t>CM10</t>
        </is>
      </c>
      <c r="H40" s="3" t="inlineStr">
        <is>
          <t>Đầu chụp bulon KingBlue CM10</t>
        </is>
      </c>
      <c r="I40" s="4" t="n">
        <v>17600</v>
      </c>
      <c r="J40" s="4" t="n"/>
      <c r="K40" s="4">
        <f>IF(AND(ISNUMBER(J40),ISNUMBER(I40)),J40-I40,"")</f>
        <v/>
      </c>
      <c r="L40" s="5">
        <f>IF(AND(ISNUMBER(J40),ISNUMBER(I40),I40&gt;0),(J40-I40)/I40,"")</f>
        <v/>
      </c>
      <c r="M40" s="2">
        <f>IF(L40="","",IF(L40&lt;-0.05,"Bán phá giá",IF(L40&gt;0.05,"Bán cao hơn","Đúng giá niêm yết")))</f>
        <v/>
      </c>
      <c r="N40" s="2" t="n"/>
      <c r="O40" s="3" t="n"/>
      <c r="P40" s="3" t="n"/>
    </row>
    <row r="41">
      <c r="A41" s="2" t="n">
        <v>40</v>
      </c>
      <c r="B41" s="2" t="inlineStr">
        <is>
          <t>KH001</t>
        </is>
      </c>
      <c r="C41" s="3" t="inlineStr">
        <is>
          <t>Điện nước Nhật (Shop) HCM</t>
        </is>
      </c>
      <c r="D41" s="2" t="inlineStr">
        <is>
          <t>HCM</t>
        </is>
      </c>
      <c r="E41" s="2" t="inlineStr">
        <is>
          <t>BẢO TRÂM</t>
        </is>
      </c>
      <c r="F41" s="2" t="inlineStr">
        <is>
          <t>Shopee</t>
        </is>
      </c>
      <c r="G41" s="2" t="inlineStr">
        <is>
          <t>CM12</t>
        </is>
      </c>
      <c r="H41" s="3" t="inlineStr">
        <is>
          <t>Đầu chụp bulon KingBlue CM12</t>
        </is>
      </c>
      <c r="I41" s="4" t="n">
        <v>19800</v>
      </c>
      <c r="J41" s="4" t="n"/>
      <c r="K41" s="4">
        <f>IF(AND(ISNUMBER(J41),ISNUMBER(I41)),J41-I41,"")</f>
        <v/>
      </c>
      <c r="L41" s="5">
        <f>IF(AND(ISNUMBER(J41),ISNUMBER(I41),I41&gt;0),(J41-I41)/I41,"")</f>
        <v/>
      </c>
      <c r="M41" s="2">
        <f>IF(L41="","",IF(L41&lt;-0.05,"Bán phá giá",IF(L41&gt;0.05,"Bán cao hơn","Đúng giá niêm yết")))</f>
        <v/>
      </c>
      <c r="N41" s="2" t="n"/>
      <c r="O41" s="3" t="n"/>
      <c r="P41" s="3" t="n"/>
    </row>
    <row r="42">
      <c r="A42" s="2" t="n">
        <v>41</v>
      </c>
      <c r="B42" s="2" t="inlineStr">
        <is>
          <t>KH001</t>
        </is>
      </c>
      <c r="C42" s="3" t="inlineStr">
        <is>
          <t>Điện nước Nhật (Shop) HCM</t>
        </is>
      </c>
      <c r="D42" s="2" t="inlineStr">
        <is>
          <t>HCM</t>
        </is>
      </c>
      <c r="E42" s="2" t="inlineStr">
        <is>
          <t>BẢO TRÂM</t>
        </is>
      </c>
      <c r="F42" s="2" t="inlineStr">
        <is>
          <t>Shopee</t>
        </is>
      </c>
      <c r="G42" s="2" t="inlineStr">
        <is>
          <t>CM13</t>
        </is>
      </c>
      <c r="H42" s="3" t="inlineStr">
        <is>
          <t>Đầu chụp bulon KingBlue CM13</t>
        </is>
      </c>
      <c r="I42" s="4" t="n">
        <v>105000</v>
      </c>
      <c r="J42" s="4" t="n"/>
      <c r="K42" s="4">
        <f>IF(AND(ISNUMBER(J42),ISNUMBER(I42)),J42-I42,"")</f>
        <v/>
      </c>
      <c r="L42" s="5">
        <f>IF(AND(ISNUMBER(J42),ISNUMBER(I42),I42&gt;0),(J42-I42)/I42,"")</f>
        <v/>
      </c>
      <c r="M42" s="2">
        <f>IF(L42="","",IF(L42&lt;-0.05,"Bán phá giá",IF(L42&gt;0.05,"Bán cao hơn","Đúng giá niêm yết")))</f>
        <v/>
      </c>
      <c r="N42" s="2" t="n"/>
      <c r="O42" s="3" t="n"/>
      <c r="P42" s="3" t="n"/>
    </row>
    <row r="43">
      <c r="A43" s="2" t="n">
        <v>42</v>
      </c>
      <c r="B43" s="2" t="inlineStr">
        <is>
          <t>KH001</t>
        </is>
      </c>
      <c r="C43" s="3" t="inlineStr">
        <is>
          <t>Điện nước Nhật (Shop) HCM</t>
        </is>
      </c>
      <c r="D43" s="2" t="inlineStr">
        <is>
          <t>HCM</t>
        </is>
      </c>
      <c r="E43" s="2" t="inlineStr">
        <is>
          <t>BẢO TRÂM</t>
        </is>
      </c>
      <c r="F43" s="2" t="inlineStr">
        <is>
          <t>Shopee</t>
        </is>
      </c>
      <c r="G43" s="2" t="inlineStr">
        <is>
          <t>CM14</t>
        </is>
      </c>
      <c r="H43" s="3" t="inlineStr">
        <is>
          <t>Đầu chụp bulon KingBlue CM14</t>
        </is>
      </c>
      <c r="I43" s="4" t="n">
        <v>21000</v>
      </c>
      <c r="J43" s="4" t="n"/>
      <c r="K43" s="4">
        <f>IF(AND(ISNUMBER(J43),ISNUMBER(I43)),J43-I43,"")</f>
        <v/>
      </c>
      <c r="L43" s="5">
        <f>IF(AND(ISNUMBER(J43),ISNUMBER(I43),I43&gt;0),(J43-I43)/I43,"")</f>
        <v/>
      </c>
      <c r="M43" s="2">
        <f>IF(L43="","",IF(L43&lt;-0.05,"Bán phá giá",IF(L43&gt;0.05,"Bán cao hơn","Đúng giá niêm yết")))</f>
        <v/>
      </c>
      <c r="N43" s="2" t="n"/>
      <c r="O43" s="3" t="n"/>
      <c r="P43" s="3" t="n"/>
    </row>
    <row r="44">
      <c r="A44" s="2" t="n">
        <v>43</v>
      </c>
      <c r="B44" s="2" t="inlineStr">
        <is>
          <t>KH001</t>
        </is>
      </c>
      <c r="C44" s="3" t="inlineStr">
        <is>
          <t>Điện nước Nhật (Shop) HCM</t>
        </is>
      </c>
      <c r="D44" s="2" t="inlineStr">
        <is>
          <t>HCM</t>
        </is>
      </c>
      <c r="E44" s="2" t="inlineStr">
        <is>
          <t>BẢO TRÂM</t>
        </is>
      </c>
      <c r="F44" s="2" t="inlineStr">
        <is>
          <t>Shopee</t>
        </is>
      </c>
      <c r="G44" s="2" t="inlineStr">
        <is>
          <t>CM17</t>
        </is>
      </c>
      <c r="H44" s="3" t="inlineStr">
        <is>
          <t>Đầu chụp bulon KingBlue CM17</t>
        </is>
      </c>
      <c r="I44" s="4" t="n">
        <v>154000</v>
      </c>
      <c r="J44" s="4" t="n"/>
      <c r="K44" s="4">
        <f>IF(AND(ISNUMBER(J44),ISNUMBER(I44)),J44-I44,"")</f>
        <v/>
      </c>
      <c r="L44" s="5">
        <f>IF(AND(ISNUMBER(J44),ISNUMBER(I44),I44&gt;0),(J44-I44)/I44,"")</f>
        <v/>
      </c>
      <c r="M44" s="2">
        <f>IF(L44="","",IF(L44&lt;-0.05,"Bán phá giá",IF(L44&gt;0.05,"Bán cao hơn","Đúng giá niêm yết")))</f>
        <v/>
      </c>
      <c r="N44" s="2" t="n"/>
      <c r="O44" s="3" t="n"/>
      <c r="P44" s="3" t="n"/>
    </row>
    <row r="45">
      <c r="A45" s="2" t="n">
        <v>44</v>
      </c>
      <c r="B45" s="2" t="inlineStr">
        <is>
          <t>KH001</t>
        </is>
      </c>
      <c r="C45" s="3" t="inlineStr">
        <is>
          <t>Điện nước Nhật (Shop) HCM</t>
        </is>
      </c>
      <c r="D45" s="2" t="inlineStr">
        <is>
          <t>HCM</t>
        </is>
      </c>
      <c r="E45" s="2" t="inlineStr">
        <is>
          <t>BẢO TRÂM</t>
        </is>
      </c>
      <c r="F45" s="2" t="inlineStr">
        <is>
          <t>Shopee</t>
        </is>
      </c>
      <c r="G45" s="2" t="inlineStr">
        <is>
          <t>CM19</t>
        </is>
      </c>
      <c r="H45" s="3" t="inlineStr">
        <is>
          <t>Đầu chụp bulon KingBlue CM19</t>
        </is>
      </c>
      <c r="I45" s="4" t="n">
        <v>86001</v>
      </c>
      <c r="J45" s="4" t="n"/>
      <c r="K45" s="4">
        <f>IF(AND(ISNUMBER(J45),ISNUMBER(I45)),J45-I45,"")</f>
        <v/>
      </c>
      <c r="L45" s="5">
        <f>IF(AND(ISNUMBER(J45),ISNUMBER(I45),I45&gt;0),(J45-I45)/I45,"")</f>
        <v/>
      </c>
      <c r="M45" s="2">
        <f>IF(L45="","",IF(L45&lt;-0.05,"Bán phá giá",IF(L45&gt;0.05,"Bán cao hơn","Đúng giá niêm yết")))</f>
        <v/>
      </c>
      <c r="N45" s="2" t="n"/>
      <c r="O45" s="3" t="n"/>
      <c r="P45" s="3" t="n"/>
    </row>
    <row r="46">
      <c r="A46" s="2" t="n">
        <v>45</v>
      </c>
      <c r="B46" s="2" t="inlineStr">
        <is>
          <t>KH001</t>
        </is>
      </c>
      <c r="C46" s="3" t="inlineStr">
        <is>
          <t>Điện nước Nhật (Shop) HCM</t>
        </is>
      </c>
      <c r="D46" s="2" t="inlineStr">
        <is>
          <t>HCM</t>
        </is>
      </c>
      <c r="E46" s="2" t="inlineStr">
        <is>
          <t>BẢO TRÂM</t>
        </is>
      </c>
      <c r="F46" s="2" t="inlineStr">
        <is>
          <t>Shopee</t>
        </is>
      </c>
      <c r="G46" s="2" t="inlineStr">
        <is>
          <t>K49M</t>
        </is>
      </c>
      <c r="H46" s="3" t="inlineStr">
        <is>
          <t>Đầu khò gas K49M</t>
        </is>
      </c>
      <c r="I46" s="4" t="n">
        <v>193000</v>
      </c>
      <c r="J46" s="4" t="n"/>
      <c r="K46" s="4">
        <f>IF(AND(ISNUMBER(J46),ISNUMBER(I46)),J46-I46,"")</f>
        <v/>
      </c>
      <c r="L46" s="5">
        <f>IF(AND(ISNUMBER(J46),ISNUMBER(I46),I46&gt;0),(J46-I46)/I46,"")</f>
        <v/>
      </c>
      <c r="M46" s="2">
        <f>IF(L46="","",IF(L46&lt;-0.05,"Bán phá giá",IF(L46&gt;0.05,"Bán cao hơn","Đúng giá niêm yết")))</f>
        <v/>
      </c>
      <c r="N46" s="2" t="n"/>
      <c r="O46" s="3" t="n"/>
      <c r="P46" s="3" t="n"/>
    </row>
    <row r="47">
      <c r="A47" s="2" t="n">
        <v>46</v>
      </c>
      <c r="B47" s="2" t="inlineStr">
        <is>
          <t>KH001</t>
        </is>
      </c>
      <c r="C47" s="3" t="inlineStr">
        <is>
          <t>Điện nước Nhật (Shop) HCM</t>
        </is>
      </c>
      <c r="D47" s="2" t="inlineStr">
        <is>
          <t>HCM</t>
        </is>
      </c>
      <c r="E47" s="2" t="inlineStr">
        <is>
          <t>BẢO TRÂM</t>
        </is>
      </c>
      <c r="F47" s="2" t="inlineStr">
        <is>
          <t>Shopee</t>
        </is>
      </c>
      <c r="G47" s="2" t="inlineStr"/>
      <c r="H47" s="3" t="inlineStr">
        <is>
          <t>Đầu nạp gas</t>
        </is>
      </c>
      <c r="I47" s="4" t="n"/>
      <c r="J47" s="4" t="n"/>
      <c r="K47" s="4">
        <f>IF(AND(ISNUMBER(J47),ISNUMBER(I47)),J47-I47,"")</f>
        <v/>
      </c>
      <c r="L47" s="5">
        <f>IF(AND(ISNUMBER(J47),ISNUMBER(I47),I47&gt;0),(J47-I47)/I47,"")</f>
        <v/>
      </c>
      <c r="M47" s="2">
        <f>IF(L47="","",IF(L47&lt;-0.05,"Bán phá giá",IF(L47&gt;0.05,"Bán cao hơn","Đúng giá niêm yết")))</f>
        <v/>
      </c>
      <c r="N47" s="2" t="n"/>
      <c r="O47" s="3" t="n"/>
      <c r="P47" s="3" t="n"/>
    </row>
    <row r="48">
      <c r="A48" s="2" t="n">
        <v>47</v>
      </c>
      <c r="B48" s="2" t="inlineStr">
        <is>
          <t>KH001</t>
        </is>
      </c>
      <c r="C48" s="3" t="inlineStr">
        <is>
          <t>Điện nước Nhật (Shop) HCM</t>
        </is>
      </c>
      <c r="D48" s="2" t="inlineStr">
        <is>
          <t>HCM</t>
        </is>
      </c>
      <c r="E48" s="2" t="inlineStr">
        <is>
          <t>BẢO TRÂM</t>
        </is>
      </c>
      <c r="F48" s="2" t="inlineStr">
        <is>
          <t>Shopee</t>
        </is>
      </c>
      <c r="G48" s="2" t="inlineStr">
        <is>
          <t>T265E-T10</t>
        </is>
      </c>
      <c r="H48" s="3" t="inlineStr">
        <is>
          <t>Đầu vít hoa thị KingBlue T265E-T10</t>
        </is>
      </c>
      <c r="I48" s="4" t="n">
        <v>17000</v>
      </c>
      <c r="J48" s="4" t="n"/>
      <c r="K48" s="4">
        <f>IF(AND(ISNUMBER(J48),ISNUMBER(I48)),J48-I48,"")</f>
        <v/>
      </c>
      <c r="L48" s="5">
        <f>IF(AND(ISNUMBER(J48),ISNUMBER(I48),I48&gt;0),(J48-I48)/I48,"")</f>
        <v/>
      </c>
      <c r="M48" s="2">
        <f>IF(L48="","",IF(L48&lt;-0.05,"Bán phá giá",IF(L48&gt;0.05,"Bán cao hơn","Đúng giá niêm yết")))</f>
        <v/>
      </c>
      <c r="N48" s="2" t="n"/>
      <c r="O48" s="3" t="n"/>
      <c r="P48" s="3" t="n"/>
    </row>
    <row r="49">
      <c r="A49" s="2" t="n">
        <v>48</v>
      </c>
      <c r="B49" s="2" t="inlineStr">
        <is>
          <t>KH001</t>
        </is>
      </c>
      <c r="C49" s="3" t="inlineStr">
        <is>
          <t>Điện nước Nhật (Shop) HCM</t>
        </is>
      </c>
      <c r="D49" s="2" t="inlineStr">
        <is>
          <t>HCM</t>
        </is>
      </c>
      <c r="E49" s="2" t="inlineStr">
        <is>
          <t>BẢO TRÂM</t>
        </is>
      </c>
      <c r="F49" s="2" t="inlineStr">
        <is>
          <t>Shopee</t>
        </is>
      </c>
      <c r="G49" s="2" t="inlineStr">
        <is>
          <t>T265E-T15</t>
        </is>
      </c>
      <c r="H49" s="3" t="inlineStr">
        <is>
          <t>Đầu vít hoa thị KingBlue T265E-T15</t>
        </is>
      </c>
      <c r="I49" s="4" t="n">
        <v>14000</v>
      </c>
      <c r="J49" s="4" t="n"/>
      <c r="K49" s="4">
        <f>IF(AND(ISNUMBER(J49),ISNUMBER(I49)),J49-I49,"")</f>
        <v/>
      </c>
      <c r="L49" s="5">
        <f>IF(AND(ISNUMBER(J49),ISNUMBER(I49),I49&gt;0),(J49-I49)/I49,"")</f>
        <v/>
      </c>
      <c r="M49" s="2">
        <f>IF(L49="","",IF(L49&lt;-0.05,"Bán phá giá",IF(L49&gt;0.05,"Bán cao hơn","Đúng giá niêm yết")))</f>
        <v/>
      </c>
      <c r="N49" s="2" t="n"/>
      <c r="O49" s="3" t="n"/>
      <c r="P49" s="3" t="n"/>
    </row>
    <row r="50">
      <c r="A50" s="2" t="n">
        <v>49</v>
      </c>
      <c r="B50" s="2" t="inlineStr">
        <is>
          <t>KH001</t>
        </is>
      </c>
      <c r="C50" s="3" t="inlineStr">
        <is>
          <t>Điện nước Nhật (Shop) HCM</t>
        </is>
      </c>
      <c r="D50" s="2" t="inlineStr">
        <is>
          <t>HCM</t>
        </is>
      </c>
      <c r="E50" s="2" t="inlineStr">
        <is>
          <t>BẢO TRÂM</t>
        </is>
      </c>
      <c r="F50" s="2" t="inlineStr">
        <is>
          <t>Shopee</t>
        </is>
      </c>
      <c r="G50" s="2" t="inlineStr">
        <is>
          <t>T265E-T20</t>
        </is>
      </c>
      <c r="H50" s="3" t="inlineStr">
        <is>
          <t>Đầu vít hoa thị KingBlue T265E-T20</t>
        </is>
      </c>
      <c r="I50" s="4" t="n">
        <v>17000</v>
      </c>
      <c r="J50" s="4" t="n"/>
      <c r="K50" s="4">
        <f>IF(AND(ISNUMBER(J50),ISNUMBER(I50)),J50-I50,"")</f>
        <v/>
      </c>
      <c r="L50" s="5">
        <f>IF(AND(ISNUMBER(J50),ISNUMBER(I50),I50&gt;0),(J50-I50)/I50,"")</f>
        <v/>
      </c>
      <c r="M50" s="2">
        <f>IF(L50="","",IF(L50&lt;-0.05,"Bán phá giá",IF(L50&gt;0.05,"Bán cao hơn","Đúng giá niêm yết")))</f>
        <v/>
      </c>
      <c r="N50" s="2" t="n"/>
      <c r="O50" s="3" t="n"/>
      <c r="P50" s="3" t="n"/>
    </row>
    <row r="51">
      <c r="A51" s="2" t="n">
        <v>50</v>
      </c>
      <c r="B51" s="2" t="inlineStr">
        <is>
          <t>KH001</t>
        </is>
      </c>
      <c r="C51" s="3" t="inlineStr">
        <is>
          <t>Điện nước Nhật (Shop) HCM</t>
        </is>
      </c>
      <c r="D51" s="2" t="inlineStr">
        <is>
          <t>HCM</t>
        </is>
      </c>
      <c r="E51" s="2" t="inlineStr">
        <is>
          <t>BẢO TRÂM</t>
        </is>
      </c>
      <c r="F51" s="2" t="inlineStr">
        <is>
          <t>Shopee</t>
        </is>
      </c>
      <c r="G51" s="2" t="inlineStr">
        <is>
          <t>T265E-T25</t>
        </is>
      </c>
      <c r="H51" s="3" t="inlineStr">
        <is>
          <t>Đầu vít hoa thị KingBlue T265E-T25</t>
        </is>
      </c>
      <c r="I51" s="4" t="n">
        <v>17000</v>
      </c>
      <c r="J51" s="4" t="n"/>
      <c r="K51" s="4">
        <f>IF(AND(ISNUMBER(J51),ISNUMBER(I51)),J51-I51,"")</f>
        <v/>
      </c>
      <c r="L51" s="5">
        <f>IF(AND(ISNUMBER(J51),ISNUMBER(I51),I51&gt;0),(J51-I51)/I51,"")</f>
        <v/>
      </c>
      <c r="M51" s="2">
        <f>IF(L51="","",IF(L51&lt;-0.05,"Bán phá giá",IF(L51&gt;0.05,"Bán cao hơn","Đúng giá niêm yết")))</f>
        <v/>
      </c>
      <c r="N51" s="2" t="n"/>
      <c r="O51" s="3" t="n"/>
      <c r="P51" s="3" t="n"/>
    </row>
    <row r="52">
      <c r="A52" s="2" t="n">
        <v>51</v>
      </c>
      <c r="B52" s="2" t="inlineStr">
        <is>
          <t>KH001</t>
        </is>
      </c>
      <c r="C52" s="3" t="inlineStr">
        <is>
          <t>Điện nước Nhật (Shop) HCM</t>
        </is>
      </c>
      <c r="D52" s="2" t="inlineStr">
        <is>
          <t>HCM</t>
        </is>
      </c>
      <c r="E52" s="2" t="inlineStr">
        <is>
          <t>BẢO TRÂM</t>
        </is>
      </c>
      <c r="F52" s="2" t="inlineStr">
        <is>
          <t>Shopee</t>
        </is>
      </c>
      <c r="G52" s="2" t="inlineStr">
        <is>
          <t>T265E-T27</t>
        </is>
      </c>
      <c r="H52" s="3" t="inlineStr">
        <is>
          <t>Đầu vít hoa thị KingBlue T265E-T27</t>
        </is>
      </c>
      <c r="I52" s="4" t="n">
        <v>14000</v>
      </c>
      <c r="J52" s="4" t="n"/>
      <c r="K52" s="4">
        <f>IF(AND(ISNUMBER(J52),ISNUMBER(I52)),J52-I52,"")</f>
        <v/>
      </c>
      <c r="L52" s="5">
        <f>IF(AND(ISNUMBER(J52),ISNUMBER(I52),I52&gt;0),(J52-I52)/I52,"")</f>
        <v/>
      </c>
      <c r="M52" s="2">
        <f>IF(L52="","",IF(L52&lt;-0.05,"Bán phá giá",IF(L52&gt;0.05,"Bán cao hơn","Đúng giá niêm yết")))</f>
        <v/>
      </c>
      <c r="N52" s="2" t="n"/>
      <c r="O52" s="3" t="n"/>
      <c r="P52" s="3" t="n"/>
    </row>
    <row r="53">
      <c r="A53" s="2" t="n">
        <v>52</v>
      </c>
      <c r="B53" s="2" t="inlineStr">
        <is>
          <t>KH001</t>
        </is>
      </c>
      <c r="C53" s="3" t="inlineStr">
        <is>
          <t>Điện nước Nhật (Shop) HCM</t>
        </is>
      </c>
      <c r="D53" s="2" t="inlineStr">
        <is>
          <t>HCM</t>
        </is>
      </c>
      <c r="E53" s="2" t="inlineStr">
        <is>
          <t>BẢO TRÂM</t>
        </is>
      </c>
      <c r="F53" s="2" t="inlineStr">
        <is>
          <t>Shopee</t>
        </is>
      </c>
      <c r="G53" s="2" t="inlineStr">
        <is>
          <t>T265E-T30</t>
        </is>
      </c>
      <c r="H53" s="3" t="inlineStr">
        <is>
          <t>Đầu vít hoa thị KingBlue T265E-T30</t>
        </is>
      </c>
      <c r="I53" s="4" t="n">
        <v>17000</v>
      </c>
      <c r="J53" s="4" t="n"/>
      <c r="K53" s="4">
        <f>IF(AND(ISNUMBER(J53),ISNUMBER(I53)),J53-I53,"")</f>
        <v/>
      </c>
      <c r="L53" s="5">
        <f>IF(AND(ISNUMBER(J53),ISNUMBER(I53),I53&gt;0),(J53-I53)/I53,"")</f>
        <v/>
      </c>
      <c r="M53" s="2">
        <f>IF(L53="","",IF(L53&lt;-0.05,"Bán phá giá",IF(L53&gt;0.05,"Bán cao hơn","Đúng giá niêm yết")))</f>
        <v/>
      </c>
      <c r="N53" s="2" t="n"/>
      <c r="O53" s="3" t="n"/>
      <c r="P53" s="3" t="n"/>
    </row>
    <row r="54">
      <c r="A54" s="2" t="n">
        <v>53</v>
      </c>
      <c r="B54" s="2" t="inlineStr">
        <is>
          <t>KH001</t>
        </is>
      </c>
      <c r="C54" s="3" t="inlineStr">
        <is>
          <t>Điện nước Nhật (Shop) HCM</t>
        </is>
      </c>
      <c r="D54" s="2" t="inlineStr">
        <is>
          <t>HCM</t>
        </is>
      </c>
      <c r="E54" s="2" t="inlineStr">
        <is>
          <t>BẢO TRÂM</t>
        </is>
      </c>
      <c r="F54" s="2" t="inlineStr">
        <is>
          <t>Shopee</t>
        </is>
      </c>
      <c r="G54" s="2" t="inlineStr">
        <is>
          <t>T265E-T40</t>
        </is>
      </c>
      <c r="H54" s="3" t="inlineStr">
        <is>
          <t>Đầu vít hoa thị KingBlue T265E-T40</t>
        </is>
      </c>
      <c r="I54" s="4" t="n">
        <v>14000</v>
      </c>
      <c r="J54" s="4" t="n"/>
      <c r="K54" s="4">
        <f>IF(AND(ISNUMBER(J54),ISNUMBER(I54)),J54-I54,"")</f>
        <v/>
      </c>
      <c r="L54" s="5">
        <f>IF(AND(ISNUMBER(J54),ISNUMBER(I54),I54&gt;0),(J54-I54)/I54,"")</f>
        <v/>
      </c>
      <c r="M54" s="2">
        <f>IF(L54="","",IF(L54&lt;-0.05,"Bán phá giá",IF(L54&gt;0.05,"Bán cao hơn","Đúng giá niêm yết")))</f>
        <v/>
      </c>
      <c r="N54" s="2" t="n"/>
      <c r="O54" s="3" t="n"/>
      <c r="P54" s="3" t="n"/>
    </row>
    <row r="55">
      <c r="A55" s="2" t="n">
        <v>54</v>
      </c>
      <c r="B55" s="2" t="inlineStr">
        <is>
          <t>KH001</t>
        </is>
      </c>
      <c r="C55" s="3" t="inlineStr">
        <is>
          <t>Điện nước Nhật (Shop) HCM</t>
        </is>
      </c>
      <c r="D55" s="2" t="inlineStr">
        <is>
          <t>HCM</t>
        </is>
      </c>
      <c r="E55" s="2" t="inlineStr">
        <is>
          <t>BẢO TRÂM</t>
        </is>
      </c>
      <c r="F55" s="2" t="inlineStr">
        <is>
          <t>Shopee</t>
        </is>
      </c>
      <c r="G55" s="2" t="inlineStr">
        <is>
          <t>T265E-T50</t>
        </is>
      </c>
      <c r="H55" s="3" t="inlineStr">
        <is>
          <t>Đầu vít hoa thị KingBlue T265E-T50</t>
        </is>
      </c>
      <c r="I55" s="4" t="n">
        <v>13600</v>
      </c>
      <c r="J55" s="4" t="n"/>
      <c r="K55" s="4">
        <f>IF(AND(ISNUMBER(J55),ISNUMBER(I55)),J55-I55,"")</f>
        <v/>
      </c>
      <c r="L55" s="5">
        <f>IF(AND(ISNUMBER(J55),ISNUMBER(I55),I55&gt;0),(J55-I55)/I55,"")</f>
        <v/>
      </c>
      <c r="M55" s="2">
        <f>IF(L55="","",IF(L55&lt;-0.05,"Bán phá giá",IF(L55&gt;0.05,"Bán cao hơn","Đúng giá niêm yết")))</f>
        <v/>
      </c>
      <c r="N55" s="2" t="n"/>
      <c r="O55" s="3" t="n"/>
      <c r="P55" s="3" t="n"/>
    </row>
    <row r="56">
      <c r="A56" s="2" t="n">
        <v>55</v>
      </c>
      <c r="B56" s="2" t="inlineStr">
        <is>
          <t>KH001</t>
        </is>
      </c>
      <c r="C56" s="3" t="inlineStr">
        <is>
          <t>Điện nước Nhật (Shop) HCM</t>
        </is>
      </c>
      <c r="D56" s="2" t="inlineStr">
        <is>
          <t>HCM</t>
        </is>
      </c>
      <c r="E56" s="2" t="inlineStr">
        <is>
          <t>BẢO TRÂM</t>
        </is>
      </c>
      <c r="F56" s="2" t="inlineStr">
        <is>
          <t>Shopee</t>
        </is>
      </c>
      <c r="G56" s="2" t="inlineStr">
        <is>
          <t>L265E-H3</t>
        </is>
      </c>
      <c r="H56" s="3" t="inlineStr">
        <is>
          <t>Đầu vít lục giác KingBlue L265E-H3</t>
        </is>
      </c>
      <c r="I56" s="4" t="n">
        <v>14000</v>
      </c>
      <c r="J56" s="4" t="n"/>
      <c r="K56" s="4">
        <f>IF(AND(ISNUMBER(J56),ISNUMBER(I56)),J56-I56,"")</f>
        <v/>
      </c>
      <c r="L56" s="5">
        <f>IF(AND(ISNUMBER(J56),ISNUMBER(I56),I56&gt;0),(J56-I56)/I56,"")</f>
        <v/>
      </c>
      <c r="M56" s="2">
        <f>IF(L56="","",IF(L56&lt;-0.05,"Bán phá giá",IF(L56&gt;0.05,"Bán cao hơn","Đúng giá niêm yết")))</f>
        <v/>
      </c>
      <c r="N56" s="2" t="n"/>
      <c r="O56" s="3" t="n"/>
      <c r="P56" s="3" t="n"/>
    </row>
    <row r="57">
      <c r="A57" s="2" t="n">
        <v>56</v>
      </c>
      <c r="B57" s="2" t="inlineStr">
        <is>
          <t>KH001</t>
        </is>
      </c>
      <c r="C57" s="3" t="inlineStr">
        <is>
          <t>Điện nước Nhật (Shop) HCM</t>
        </is>
      </c>
      <c r="D57" s="2" t="inlineStr">
        <is>
          <t>HCM</t>
        </is>
      </c>
      <c r="E57" s="2" t="inlineStr">
        <is>
          <t>BẢO TRÂM</t>
        </is>
      </c>
      <c r="F57" s="2" t="inlineStr">
        <is>
          <t>Shopee</t>
        </is>
      </c>
      <c r="G57" s="2" t="inlineStr">
        <is>
          <t>L265E-H4</t>
        </is>
      </c>
      <c r="H57" s="3" t="inlineStr">
        <is>
          <t>Đầu vít lục giác KingBlue L265E-H4</t>
        </is>
      </c>
      <c r="I57" s="4" t="n">
        <v>17000</v>
      </c>
      <c r="J57" s="4" t="n"/>
      <c r="K57" s="4">
        <f>IF(AND(ISNUMBER(J57),ISNUMBER(I57)),J57-I57,"")</f>
        <v/>
      </c>
      <c r="L57" s="5">
        <f>IF(AND(ISNUMBER(J57),ISNUMBER(I57),I57&gt;0),(J57-I57)/I57,"")</f>
        <v/>
      </c>
      <c r="M57" s="2">
        <f>IF(L57="","",IF(L57&lt;-0.05,"Bán phá giá",IF(L57&gt;0.05,"Bán cao hơn","Đúng giá niêm yết")))</f>
        <v/>
      </c>
      <c r="N57" s="2" t="n"/>
      <c r="O57" s="3" t="n"/>
      <c r="P57" s="3" t="n"/>
    </row>
    <row r="58">
      <c r="A58" s="2" t="n">
        <v>57</v>
      </c>
      <c r="B58" s="2" t="inlineStr">
        <is>
          <t>KH001</t>
        </is>
      </c>
      <c r="C58" s="3" t="inlineStr">
        <is>
          <t>Điện nước Nhật (Shop) HCM</t>
        </is>
      </c>
      <c r="D58" s="2" t="inlineStr">
        <is>
          <t>HCM</t>
        </is>
      </c>
      <c r="E58" s="2" t="inlineStr">
        <is>
          <t>BẢO TRÂM</t>
        </is>
      </c>
      <c r="F58" s="2" t="inlineStr">
        <is>
          <t>Shopee</t>
        </is>
      </c>
      <c r="G58" s="2" t="inlineStr">
        <is>
          <t>L265E-H5</t>
        </is>
      </c>
      <c r="H58" s="3" t="inlineStr">
        <is>
          <t>Đầu vít lục giác KingBlue L265E-H5</t>
        </is>
      </c>
      <c r="I58" s="4" t="n">
        <v>17000</v>
      </c>
      <c r="J58" s="4" t="n"/>
      <c r="K58" s="4">
        <f>IF(AND(ISNUMBER(J58),ISNUMBER(I58)),J58-I58,"")</f>
        <v/>
      </c>
      <c r="L58" s="5">
        <f>IF(AND(ISNUMBER(J58),ISNUMBER(I58),I58&gt;0),(J58-I58)/I58,"")</f>
        <v/>
      </c>
      <c r="M58" s="2">
        <f>IF(L58="","",IF(L58&lt;-0.05,"Bán phá giá",IF(L58&gt;0.05,"Bán cao hơn","Đúng giá niêm yết")))</f>
        <v/>
      </c>
      <c r="N58" s="2" t="n"/>
      <c r="O58" s="3" t="n"/>
      <c r="P58" s="3" t="n"/>
    </row>
    <row r="59">
      <c r="A59" s="2" t="n">
        <v>58</v>
      </c>
      <c r="B59" s="2" t="inlineStr">
        <is>
          <t>KH001</t>
        </is>
      </c>
      <c r="C59" s="3" t="inlineStr">
        <is>
          <t>Điện nước Nhật (Shop) HCM</t>
        </is>
      </c>
      <c r="D59" s="2" t="inlineStr">
        <is>
          <t>HCM</t>
        </is>
      </c>
      <c r="E59" s="2" t="inlineStr">
        <is>
          <t>BẢO TRÂM</t>
        </is>
      </c>
      <c r="F59" s="2" t="inlineStr">
        <is>
          <t>Shopee</t>
        </is>
      </c>
      <c r="G59" s="2" t="inlineStr">
        <is>
          <t>L265E-H6</t>
        </is>
      </c>
      <c r="H59" s="3" t="inlineStr">
        <is>
          <t>Đầu vít lục giác KingBlue L265E-H6</t>
        </is>
      </c>
      <c r="I59" s="4" t="n">
        <v>17000</v>
      </c>
      <c r="J59" s="4" t="n"/>
      <c r="K59" s="4">
        <f>IF(AND(ISNUMBER(J59),ISNUMBER(I59)),J59-I59,"")</f>
        <v/>
      </c>
      <c r="L59" s="5">
        <f>IF(AND(ISNUMBER(J59),ISNUMBER(I59),I59&gt;0),(J59-I59)/I59,"")</f>
        <v/>
      </c>
      <c r="M59" s="2">
        <f>IF(L59="","",IF(L59&lt;-0.05,"Bán phá giá",IF(L59&gt;0.05,"Bán cao hơn","Đúng giá niêm yết")))</f>
        <v/>
      </c>
      <c r="N59" s="2" t="n"/>
      <c r="O59" s="3" t="n"/>
      <c r="P59" s="3" t="n"/>
    </row>
    <row r="60">
      <c r="A60" s="2" t="n">
        <v>59</v>
      </c>
      <c r="B60" s="2" t="inlineStr">
        <is>
          <t>KH001</t>
        </is>
      </c>
      <c r="C60" s="3" t="inlineStr">
        <is>
          <t>Điện nước Nhật (Shop) HCM</t>
        </is>
      </c>
      <c r="D60" s="2" t="inlineStr">
        <is>
          <t>HCM</t>
        </is>
      </c>
      <c r="E60" s="2" t="inlineStr">
        <is>
          <t>BẢO TRÂM</t>
        </is>
      </c>
      <c r="F60" s="2" t="inlineStr">
        <is>
          <t>Shopee</t>
        </is>
      </c>
      <c r="G60" s="2" t="inlineStr">
        <is>
          <t>L265E-H8</t>
        </is>
      </c>
      <c r="H60" s="3" t="inlineStr">
        <is>
          <t>Đầu vít lục giác KingBlue L265E-H8</t>
        </is>
      </c>
      <c r="I60" s="4" t="n">
        <v>41000</v>
      </c>
      <c r="J60" s="4" t="n"/>
      <c r="K60" s="4">
        <f>IF(AND(ISNUMBER(J60),ISNUMBER(I60)),J60-I60,"")</f>
        <v/>
      </c>
      <c r="L60" s="5">
        <f>IF(AND(ISNUMBER(J60),ISNUMBER(I60),I60&gt;0),(J60-I60)/I60,"")</f>
        <v/>
      </c>
      <c r="M60" s="2">
        <f>IF(L60="","",IF(L60&lt;-0.05,"Bán phá giá",IF(L60&gt;0.05,"Bán cao hơn","Đúng giá niêm yết")))</f>
        <v/>
      </c>
      <c r="N60" s="2" t="n"/>
      <c r="O60" s="3" t="n"/>
      <c r="P60" s="3" t="n"/>
    </row>
    <row r="61">
      <c r="A61" s="2" t="n">
        <v>60</v>
      </c>
      <c r="B61" s="2" t="inlineStr">
        <is>
          <t>KH001</t>
        </is>
      </c>
      <c r="C61" s="3" t="inlineStr">
        <is>
          <t>Điện nước Nhật (Shop) HCM</t>
        </is>
      </c>
      <c r="D61" s="2" t="inlineStr">
        <is>
          <t>HCM</t>
        </is>
      </c>
      <c r="E61" s="2" t="inlineStr">
        <is>
          <t>BẢO TRÂM</t>
        </is>
      </c>
      <c r="F61" s="2" t="inlineStr">
        <is>
          <t>Shopee</t>
        </is>
      </c>
      <c r="G61" s="2" t="inlineStr">
        <is>
          <t>KPQ-32</t>
        </is>
      </c>
      <c r="H61" s="3" t="inlineStr">
        <is>
          <t>Kéo cắt góc nẹp điện KPQ-32</t>
        </is>
      </c>
      <c r="I61" s="4" t="n">
        <v>185000</v>
      </c>
      <c r="J61" s="4" t="n"/>
      <c r="K61" s="4">
        <f>IF(AND(ISNUMBER(J61),ISNUMBER(I61)),J61-I61,"")</f>
        <v/>
      </c>
      <c r="L61" s="5">
        <f>IF(AND(ISNUMBER(J61),ISNUMBER(I61),I61&gt;0),(J61-I61)/I61,"")</f>
        <v/>
      </c>
      <c r="M61" s="2">
        <f>IF(L61="","",IF(L61&lt;-0.05,"Bán phá giá",IF(L61&gt;0.05,"Bán cao hơn","Đúng giá niêm yết")))</f>
        <v/>
      </c>
      <c r="N61" s="2" t="n"/>
      <c r="O61" s="3" t="n"/>
      <c r="P61" s="3" t="n"/>
    </row>
    <row r="62">
      <c r="A62" s="2" t="n">
        <v>61</v>
      </c>
      <c r="B62" s="2" t="inlineStr">
        <is>
          <t>KH001</t>
        </is>
      </c>
      <c r="C62" s="3" t="inlineStr">
        <is>
          <t>Điện nước Nhật (Shop) HCM</t>
        </is>
      </c>
      <c r="D62" s="2" t="inlineStr">
        <is>
          <t>HCM</t>
        </is>
      </c>
      <c r="E62" s="2" t="inlineStr">
        <is>
          <t>BẢO TRÂM</t>
        </is>
      </c>
      <c r="F62" s="2" t="inlineStr">
        <is>
          <t>Shopee</t>
        </is>
      </c>
      <c r="G62" s="2" t="inlineStr">
        <is>
          <t>KPC-042</t>
        </is>
      </c>
      <c r="H62" s="3" t="inlineStr">
        <is>
          <t>Kéo cắt ống KPC-042 (NEW)</t>
        </is>
      </c>
      <c r="I62" s="4" t="n">
        <v>132000</v>
      </c>
      <c r="J62" s="4" t="n"/>
      <c r="K62" s="4">
        <f>IF(AND(ISNUMBER(J62),ISNUMBER(I62)),J62-I62,"")</f>
        <v/>
      </c>
      <c r="L62" s="5">
        <f>IF(AND(ISNUMBER(J62),ISNUMBER(I62),I62&gt;0),(J62-I62)/I62,"")</f>
        <v/>
      </c>
      <c r="M62" s="2">
        <f>IF(L62="","",IF(L62&lt;-0.05,"Bán phá giá",IF(L62&gt;0.05,"Bán cao hơn","Đúng giá niêm yết")))</f>
        <v/>
      </c>
      <c r="N62" s="2" t="n"/>
      <c r="O62" s="3" t="n"/>
      <c r="P62" s="3" t="n"/>
    </row>
    <row r="63">
      <c r="A63" s="2" t="n">
        <v>62</v>
      </c>
      <c r="B63" s="2" t="inlineStr">
        <is>
          <t>KH001</t>
        </is>
      </c>
      <c r="C63" s="3" t="inlineStr">
        <is>
          <t>Điện nước Nhật (Shop) HCM</t>
        </is>
      </c>
      <c r="D63" s="2" t="inlineStr">
        <is>
          <t>HCM</t>
        </is>
      </c>
      <c r="E63" s="2" t="inlineStr">
        <is>
          <t>BẢO TRÂM</t>
        </is>
      </c>
      <c r="F63" s="2" t="inlineStr">
        <is>
          <t>Shopee</t>
        </is>
      </c>
      <c r="G63" s="2" t="inlineStr">
        <is>
          <t>KPC-132</t>
        </is>
      </c>
      <c r="H63" s="3" t="inlineStr">
        <is>
          <t>Kéo cắt ống KPC-132</t>
        </is>
      </c>
      <c r="I63" s="4" t="n">
        <v>132000</v>
      </c>
      <c r="J63" s="4" t="n"/>
      <c r="K63" s="4">
        <f>IF(AND(ISNUMBER(J63),ISNUMBER(I63)),J63-I63,"")</f>
        <v/>
      </c>
      <c r="L63" s="5">
        <f>IF(AND(ISNUMBER(J63),ISNUMBER(I63),I63&gt;0),(J63-I63)/I63,"")</f>
        <v/>
      </c>
      <c r="M63" s="2">
        <f>IF(L63="","",IF(L63&lt;-0.05,"Bán phá giá",IF(L63&gt;0.05,"Bán cao hơn","Đúng giá niêm yết")))</f>
        <v/>
      </c>
      <c r="N63" s="2" t="n"/>
      <c r="O63" s="3" t="n"/>
      <c r="P63" s="3" t="n"/>
    </row>
    <row r="64">
      <c r="A64" s="2" t="n">
        <v>63</v>
      </c>
      <c r="B64" s="2" t="inlineStr">
        <is>
          <t>KH001</t>
        </is>
      </c>
      <c r="C64" s="3" t="inlineStr">
        <is>
          <t>Điện nước Nhật (Shop) HCM</t>
        </is>
      </c>
      <c r="D64" s="2" t="inlineStr">
        <is>
          <t>HCM</t>
        </is>
      </c>
      <c r="E64" s="2" t="inlineStr">
        <is>
          <t>BẢO TRÂM</t>
        </is>
      </c>
      <c r="F64" s="2" t="inlineStr">
        <is>
          <t>Shopee</t>
        </is>
      </c>
      <c r="G64" s="2" t="inlineStr">
        <is>
          <t>KPC-142</t>
        </is>
      </c>
      <c r="H64" s="3" t="inlineStr">
        <is>
          <t>Kéo cắt ống KPC-142 (NEW)</t>
        </is>
      </c>
      <c r="I64" s="4" t="n">
        <v>122000</v>
      </c>
      <c r="J64" s="4" t="n"/>
      <c r="K64" s="4">
        <f>IF(AND(ISNUMBER(J64),ISNUMBER(I64)),J64-I64,"")</f>
        <v/>
      </c>
      <c r="L64" s="5">
        <f>IF(AND(ISNUMBER(J64),ISNUMBER(I64),I64&gt;0),(J64-I64)/I64,"")</f>
        <v/>
      </c>
      <c r="M64" s="2">
        <f>IF(L64="","",IF(L64&lt;-0.05,"Bán phá giá",IF(L64&gt;0.05,"Bán cao hơn","Đúng giá niêm yết")))</f>
        <v/>
      </c>
      <c r="N64" s="2" t="n"/>
      <c r="O64" s="3" t="n"/>
      <c r="P64" s="3" t="n"/>
    </row>
    <row r="65">
      <c r="A65" s="2" t="n">
        <v>64</v>
      </c>
      <c r="B65" s="2" t="inlineStr">
        <is>
          <t>KH001</t>
        </is>
      </c>
      <c r="C65" s="3" t="inlineStr">
        <is>
          <t>Điện nước Nhật (Shop) HCM</t>
        </is>
      </c>
      <c r="D65" s="2" t="inlineStr">
        <is>
          <t>HCM</t>
        </is>
      </c>
      <c r="E65" s="2" t="inlineStr">
        <is>
          <t>BẢO TRÂM</t>
        </is>
      </c>
      <c r="F65" s="2" t="inlineStr">
        <is>
          <t>Shopee</t>
        </is>
      </c>
      <c r="G65" s="2" t="inlineStr">
        <is>
          <t>KPC-164</t>
        </is>
      </c>
      <c r="H65" s="3" t="inlineStr">
        <is>
          <t>Kéo cắt ống KPC-164</t>
        </is>
      </c>
      <c r="I65" s="4" t="n">
        <v>298000</v>
      </c>
      <c r="J65" s="4" t="n"/>
      <c r="K65" s="4">
        <f>IF(AND(ISNUMBER(J65),ISNUMBER(I65)),J65-I65,"")</f>
        <v/>
      </c>
      <c r="L65" s="5">
        <f>IF(AND(ISNUMBER(J65),ISNUMBER(I65),I65&gt;0),(J65-I65)/I65,"")</f>
        <v/>
      </c>
      <c r="M65" s="2">
        <f>IF(L65="","",IF(L65&lt;-0.05,"Bán phá giá",IF(L65&gt;0.05,"Bán cao hơn","Đúng giá niêm yết")))</f>
        <v/>
      </c>
      <c r="N65" s="2" t="n"/>
      <c r="O65" s="3" t="n"/>
      <c r="P65" s="3" t="n"/>
    </row>
    <row r="66">
      <c r="A66" s="2" t="n">
        <v>65</v>
      </c>
      <c r="B66" s="2" t="inlineStr">
        <is>
          <t>KH001</t>
        </is>
      </c>
      <c r="C66" s="3" t="inlineStr">
        <is>
          <t>Điện nước Nhật (Shop) HCM</t>
        </is>
      </c>
      <c r="D66" s="2" t="inlineStr">
        <is>
          <t>HCM</t>
        </is>
      </c>
      <c r="E66" s="2" t="inlineStr">
        <is>
          <t>BẢO TRÂM</t>
        </is>
      </c>
      <c r="F66" s="2" t="inlineStr">
        <is>
          <t>Shopee</t>
        </is>
      </c>
      <c r="G66" s="2" t="inlineStr">
        <is>
          <t>KPC-242</t>
        </is>
      </c>
      <c r="H66" s="3" t="inlineStr">
        <is>
          <t>Kéo cắt ống KPC-242</t>
        </is>
      </c>
      <c r="I66" s="4" t="n">
        <v>172000</v>
      </c>
      <c r="J66" s="4" t="n"/>
      <c r="K66" s="4">
        <f>IF(AND(ISNUMBER(J66),ISNUMBER(I66)),J66-I66,"")</f>
        <v/>
      </c>
      <c r="L66" s="5">
        <f>IF(AND(ISNUMBER(J66),ISNUMBER(I66),I66&gt;0),(J66-I66)/I66,"")</f>
        <v/>
      </c>
      <c r="M66" s="2">
        <f>IF(L66="","",IF(L66&lt;-0.05,"Bán phá giá",IF(L66&gt;0.05,"Bán cao hơn","Đúng giá niêm yết")))</f>
        <v/>
      </c>
      <c r="N66" s="2" t="n"/>
      <c r="O66" s="3" t="n"/>
      <c r="P66" s="3" t="n"/>
    </row>
    <row r="67">
      <c r="A67" s="2" t="n">
        <v>66</v>
      </c>
      <c r="B67" s="2" t="inlineStr">
        <is>
          <t>KH001</t>
        </is>
      </c>
      <c r="C67" s="3" t="inlineStr">
        <is>
          <t>Điện nước Nhật (Shop) HCM</t>
        </is>
      </c>
      <c r="D67" s="2" t="inlineStr">
        <is>
          <t>HCM</t>
        </is>
      </c>
      <c r="E67" s="2" t="inlineStr">
        <is>
          <t>BẢO TRÂM</t>
        </is>
      </c>
      <c r="F67" s="2" t="inlineStr">
        <is>
          <t>Shopee</t>
        </is>
      </c>
      <c r="G67" s="2" t="inlineStr">
        <is>
          <t>KDT-250</t>
        </is>
      </c>
      <c r="H67" s="3" t="inlineStr">
        <is>
          <t>Kéo cắt tole KDT-250</t>
        </is>
      </c>
      <c r="I67" s="4" t="n">
        <v>116000</v>
      </c>
      <c r="J67" s="4" t="n"/>
      <c r="K67" s="4">
        <f>IF(AND(ISNUMBER(J67),ISNUMBER(I67)),J67-I67,"")</f>
        <v/>
      </c>
      <c r="L67" s="5">
        <f>IF(AND(ISNUMBER(J67),ISNUMBER(I67),I67&gt;0),(J67-I67)/I67,"")</f>
        <v/>
      </c>
      <c r="M67" s="2">
        <f>IF(L67="","",IF(L67&lt;-0.05,"Bán phá giá",IF(L67&gt;0.05,"Bán cao hơn","Đúng giá niêm yết")))</f>
        <v/>
      </c>
      <c r="N67" s="2" t="n"/>
      <c r="O67" s="3" t="n"/>
      <c r="P67" s="3" t="n"/>
    </row>
    <row r="68">
      <c r="A68" s="2" t="n">
        <v>67</v>
      </c>
      <c r="B68" s="2" t="inlineStr">
        <is>
          <t>KH001</t>
        </is>
      </c>
      <c r="C68" s="3" t="inlineStr">
        <is>
          <t>Điện nước Nhật (Shop) HCM</t>
        </is>
      </c>
      <c r="D68" s="2" t="inlineStr">
        <is>
          <t>HCM</t>
        </is>
      </c>
      <c r="E68" s="2" t="inlineStr">
        <is>
          <t>BẢO TRÂM</t>
        </is>
      </c>
      <c r="F68" s="2" t="inlineStr">
        <is>
          <t>Shopee</t>
        </is>
      </c>
      <c r="G68" s="2" t="inlineStr">
        <is>
          <t>KCT-250</t>
        </is>
      </c>
      <c r="H68" s="3" t="inlineStr">
        <is>
          <t>Kéo cắt thạch cao (tole) KCT-250</t>
        </is>
      </c>
      <c r="I68" s="4" t="n">
        <v>131000</v>
      </c>
      <c r="J68" s="4" t="n"/>
      <c r="K68" s="4">
        <f>IF(AND(ISNUMBER(J68),ISNUMBER(I68)),J68-I68,"")</f>
        <v/>
      </c>
      <c r="L68" s="5">
        <f>IF(AND(ISNUMBER(J68),ISNUMBER(I68),I68&gt;0),(J68-I68)/I68,"")</f>
        <v/>
      </c>
      <c r="M68" s="2">
        <f>IF(L68="","",IF(L68&lt;-0.05,"Bán phá giá",IF(L68&gt;0.05,"Bán cao hơn","Đúng giá niêm yết")))</f>
        <v/>
      </c>
      <c r="N68" s="2" t="n"/>
      <c r="O68" s="3" t="n"/>
      <c r="P68" s="3" t="n"/>
    </row>
    <row r="69">
      <c r="A69" s="2" t="n">
        <v>68</v>
      </c>
      <c r="B69" s="2" t="inlineStr">
        <is>
          <t>KH001</t>
        </is>
      </c>
      <c r="C69" s="3" t="inlineStr">
        <is>
          <t>Điện nước Nhật (Shop) HCM</t>
        </is>
      </c>
      <c r="D69" s="2" t="inlineStr">
        <is>
          <t>HCM</t>
        </is>
      </c>
      <c r="E69" s="2" t="inlineStr">
        <is>
          <t>BẢO TRÂM</t>
        </is>
      </c>
      <c r="F69" s="2" t="inlineStr">
        <is>
          <t>Shopee</t>
        </is>
      </c>
      <c r="G69" s="2" t="inlineStr">
        <is>
          <t>QC2</t>
        </is>
      </c>
      <c r="H69" s="3" t="inlineStr">
        <is>
          <t>Kéo cắt trái cây QC2</t>
        </is>
      </c>
      <c r="I69" s="4" t="n">
        <v>81000</v>
      </c>
      <c r="J69" s="4" t="n"/>
      <c r="K69" s="4">
        <f>IF(AND(ISNUMBER(J69),ISNUMBER(I69)),J69-I69,"")</f>
        <v/>
      </c>
      <c r="L69" s="5">
        <f>IF(AND(ISNUMBER(J69),ISNUMBER(I69),I69&gt;0),(J69-I69)/I69,"")</f>
        <v/>
      </c>
      <c r="M69" s="2">
        <f>IF(L69="","",IF(L69&lt;-0.05,"Bán phá giá",IF(L69&gt;0.05,"Bán cao hơn","Đúng giá niêm yết")))</f>
        <v/>
      </c>
      <c r="N69" s="2" t="n"/>
      <c r="O69" s="3" t="n"/>
      <c r="P69" s="3" t="n"/>
    </row>
    <row r="70">
      <c r="A70" s="2" t="n">
        <v>69</v>
      </c>
      <c r="B70" s="2" t="inlineStr">
        <is>
          <t>KH001</t>
        </is>
      </c>
      <c r="C70" s="3" t="inlineStr">
        <is>
          <t>Điện nước Nhật (Shop) HCM</t>
        </is>
      </c>
      <c r="D70" s="2" t="inlineStr">
        <is>
          <t>HCM</t>
        </is>
      </c>
      <c r="E70" s="2" t="inlineStr">
        <is>
          <t>BẢO TRÂM</t>
        </is>
      </c>
      <c r="F70" s="2" t="inlineStr">
        <is>
          <t>Shopee</t>
        </is>
      </c>
      <c r="G70" s="2" t="inlineStr">
        <is>
          <t>KB001-Q1</t>
        </is>
      </c>
      <c r="H70" s="3" t="inlineStr">
        <is>
          <t>Kéo KB001-Q1</t>
        </is>
      </c>
      <c r="I70" s="4" t="n">
        <v>97000</v>
      </c>
      <c r="J70" s="4" t="n"/>
      <c r="K70" s="4">
        <f>IF(AND(ISNUMBER(J70),ISNUMBER(I70)),J70-I70,"")</f>
        <v/>
      </c>
      <c r="L70" s="5">
        <f>IF(AND(ISNUMBER(J70),ISNUMBER(I70),I70&gt;0),(J70-I70)/I70,"")</f>
        <v/>
      </c>
      <c r="M70" s="2">
        <f>IF(L70="","",IF(L70&lt;-0.05,"Bán phá giá",IF(L70&gt;0.05,"Bán cao hơn","Đúng giá niêm yết")))</f>
        <v/>
      </c>
      <c r="N70" s="2" t="n"/>
      <c r="O70" s="3" t="n"/>
      <c r="P70" s="3" t="n"/>
    </row>
    <row r="71">
      <c r="A71" s="2" t="n">
        <v>70</v>
      </c>
      <c r="B71" s="2" t="inlineStr">
        <is>
          <t>KH001</t>
        </is>
      </c>
      <c r="C71" s="3" t="inlineStr">
        <is>
          <t>Điện nước Nhật (Shop) HCM</t>
        </is>
      </c>
      <c r="D71" s="2" t="inlineStr">
        <is>
          <t>HCM</t>
        </is>
      </c>
      <c r="E71" s="2" t="inlineStr">
        <is>
          <t>BẢO TRÂM</t>
        </is>
      </c>
      <c r="F71" s="2" t="inlineStr">
        <is>
          <t>Shopee</t>
        </is>
      </c>
      <c r="G71" s="2" t="inlineStr">
        <is>
          <t>Q9</t>
        </is>
      </c>
      <c r="H71" s="3" t="inlineStr">
        <is>
          <t>Kéo Q9</t>
        </is>
      </c>
      <c r="I71" s="4" t="n">
        <v>218000</v>
      </c>
      <c r="J71" s="4" t="n"/>
      <c r="K71" s="4">
        <f>IF(AND(ISNUMBER(J71),ISNUMBER(I71)),J71-I71,"")</f>
        <v/>
      </c>
      <c r="L71" s="5">
        <f>IF(AND(ISNUMBER(J71),ISNUMBER(I71),I71&gt;0),(J71-I71)/I71,"")</f>
        <v/>
      </c>
      <c r="M71" s="2">
        <f>IF(L71="","",IF(L71&lt;-0.05,"Bán phá giá",IF(L71&gt;0.05,"Bán cao hơn","Đúng giá niêm yết")))</f>
        <v/>
      </c>
      <c r="N71" s="2" t="n"/>
      <c r="O71" s="3" t="n"/>
      <c r="P71" s="3" t="n"/>
    </row>
    <row r="72">
      <c r="A72" s="2" t="n">
        <v>71</v>
      </c>
      <c r="B72" s="2" t="inlineStr">
        <is>
          <t>KH001</t>
        </is>
      </c>
      <c r="C72" s="3" t="inlineStr">
        <is>
          <t>Điện nước Nhật (Shop) HCM</t>
        </is>
      </c>
      <c r="D72" s="2" t="inlineStr">
        <is>
          <t>HCM</t>
        </is>
      </c>
      <c r="E72" s="2" t="inlineStr">
        <is>
          <t>BẢO TRÂM</t>
        </is>
      </c>
      <c r="F72" s="2" t="inlineStr">
        <is>
          <t>Shopee</t>
        </is>
      </c>
      <c r="G72" s="2" t="inlineStr">
        <is>
          <t>KND185</t>
        </is>
      </c>
      <c r="H72" s="3" t="inlineStr">
        <is>
          <t>Kìm bấm Cos vuông KND185</t>
        </is>
      </c>
      <c r="I72" s="4" t="n">
        <v>227000</v>
      </c>
      <c r="J72" s="4" t="n"/>
      <c r="K72" s="4">
        <f>IF(AND(ISNUMBER(J72),ISNUMBER(I72)),J72-I72,"")</f>
        <v/>
      </c>
      <c r="L72" s="5">
        <f>IF(AND(ISNUMBER(J72),ISNUMBER(I72),I72&gt;0),(J72-I72)/I72,"")</f>
        <v/>
      </c>
      <c r="M72" s="2">
        <f>IF(L72="","",IF(L72&lt;-0.05,"Bán phá giá",IF(L72&gt;0.05,"Bán cao hơn","Đúng giá niêm yết")))</f>
        <v/>
      </c>
      <c r="N72" s="2" t="n"/>
      <c r="O72" s="3" t="n"/>
      <c r="P72" s="3" t="n"/>
    </row>
    <row r="73">
      <c r="A73" s="2" t="n">
        <v>72</v>
      </c>
      <c r="B73" s="2" t="inlineStr">
        <is>
          <t>KH001</t>
        </is>
      </c>
      <c r="C73" s="3" t="inlineStr">
        <is>
          <t>Điện nước Nhật (Shop) HCM</t>
        </is>
      </c>
      <c r="D73" s="2" t="inlineStr">
        <is>
          <t>HCM</t>
        </is>
      </c>
      <c r="E73" s="2" t="inlineStr">
        <is>
          <t>BẢO TRÂM</t>
        </is>
      </c>
      <c r="F73" s="2" t="inlineStr">
        <is>
          <t>Shopee</t>
        </is>
      </c>
      <c r="G73" s="2" t="inlineStr">
        <is>
          <t>KND150</t>
        </is>
      </c>
      <c r="H73" s="3" t="inlineStr">
        <is>
          <t>Kìm cắt chân mạch đa năng KND150</t>
        </is>
      </c>
      <c r="I73" s="4" t="n">
        <v>80000</v>
      </c>
      <c r="J73" s="4" t="n"/>
      <c r="K73" s="4">
        <f>IF(AND(ISNUMBER(J73),ISNUMBER(I73)),J73-I73,"")</f>
        <v/>
      </c>
      <c r="L73" s="5">
        <f>IF(AND(ISNUMBER(J73),ISNUMBER(I73),I73&gt;0),(J73-I73)/I73,"")</f>
        <v/>
      </c>
      <c r="M73" s="2">
        <f>IF(L73="","",IF(L73&lt;-0.05,"Bán phá giá",IF(L73&gt;0.05,"Bán cao hơn","Đúng giá niêm yết")))</f>
        <v/>
      </c>
      <c r="N73" s="2" t="n"/>
      <c r="O73" s="3" t="n"/>
      <c r="P73" s="3" t="n"/>
    </row>
    <row r="74">
      <c r="A74" s="2" t="n">
        <v>73</v>
      </c>
      <c r="B74" s="2" t="inlineStr">
        <is>
          <t>KH001</t>
        </is>
      </c>
      <c r="C74" s="3" t="inlineStr">
        <is>
          <t>Điện nước Nhật (Shop) HCM</t>
        </is>
      </c>
      <c r="D74" s="2" t="inlineStr">
        <is>
          <t>HCM</t>
        </is>
      </c>
      <c r="E74" s="2" t="inlineStr">
        <is>
          <t>BẢO TRÂM</t>
        </is>
      </c>
      <c r="F74" s="2" t="inlineStr">
        <is>
          <t>Shopee</t>
        </is>
      </c>
      <c r="G74" s="2" t="inlineStr">
        <is>
          <t>KC3-09</t>
        </is>
      </c>
      <c r="H74" s="3" t="inlineStr">
        <is>
          <t>Kìm cắt đa năng KC3-09</t>
        </is>
      </c>
      <c r="I74" s="4" t="n">
        <v>167000</v>
      </c>
      <c r="J74" s="4" t="n"/>
      <c r="K74" s="4">
        <f>IF(AND(ISNUMBER(J74),ISNUMBER(I74)),J74-I74,"")</f>
        <v/>
      </c>
      <c r="L74" s="5">
        <f>IF(AND(ISNUMBER(J74),ISNUMBER(I74),I74&gt;0),(J74-I74)/I74,"")</f>
        <v/>
      </c>
      <c r="M74" s="2">
        <f>IF(L74="","",IF(L74&lt;-0.05,"Bán phá giá",IF(L74&gt;0.05,"Bán cao hơn","Đúng giá niêm yết")))</f>
        <v/>
      </c>
      <c r="N74" s="2" t="n"/>
      <c r="O74" s="3" t="n"/>
      <c r="P74" s="3" t="n"/>
    </row>
    <row r="75">
      <c r="A75" s="2" t="n">
        <v>74</v>
      </c>
      <c r="B75" s="2" t="inlineStr">
        <is>
          <t>KH001</t>
        </is>
      </c>
      <c r="C75" s="3" t="inlineStr">
        <is>
          <t>Điện nước Nhật (Shop) HCM</t>
        </is>
      </c>
      <c r="D75" s="2" t="inlineStr">
        <is>
          <t>HCM</t>
        </is>
      </c>
      <c r="E75" s="2" t="inlineStr">
        <is>
          <t>BẢO TRÂM</t>
        </is>
      </c>
      <c r="F75" s="2" t="inlineStr">
        <is>
          <t>Shopee</t>
        </is>
      </c>
      <c r="G75" s="2" t="inlineStr">
        <is>
          <t>KC3-150</t>
        </is>
      </c>
      <c r="H75" s="3" t="inlineStr">
        <is>
          <t>Kìm cắt KC3-150</t>
        </is>
      </c>
      <c r="I75" s="4" t="n">
        <v>104000</v>
      </c>
      <c r="J75" s="4" t="n"/>
      <c r="K75" s="4">
        <f>IF(AND(ISNUMBER(J75),ISNUMBER(I75)),J75-I75,"")</f>
        <v/>
      </c>
      <c r="L75" s="5">
        <f>IF(AND(ISNUMBER(J75),ISNUMBER(I75),I75&gt;0),(J75-I75)/I75,"")</f>
        <v/>
      </c>
      <c r="M75" s="2">
        <f>IF(L75="","",IF(L75&lt;-0.05,"Bán phá giá",IF(L75&gt;0.05,"Bán cao hơn","Đúng giá niêm yết")))</f>
        <v/>
      </c>
      <c r="N75" s="2" t="n"/>
      <c r="O75" s="3" t="n"/>
      <c r="P75" s="3" t="n"/>
    </row>
    <row r="76">
      <c r="A76" s="2" t="n">
        <v>75</v>
      </c>
      <c r="B76" s="2" t="inlineStr">
        <is>
          <t>KH001</t>
        </is>
      </c>
      <c r="C76" s="3" t="inlineStr">
        <is>
          <t>Điện nước Nhật (Shop) HCM</t>
        </is>
      </c>
      <c r="D76" s="2" t="inlineStr">
        <is>
          <t>HCM</t>
        </is>
      </c>
      <c r="E76" s="2" t="inlineStr">
        <is>
          <t>BẢO TRÂM</t>
        </is>
      </c>
      <c r="F76" s="2" t="inlineStr">
        <is>
          <t>Shopee</t>
        </is>
      </c>
      <c r="G76" s="2" t="inlineStr">
        <is>
          <t>KND200</t>
        </is>
      </c>
      <c r="H76" s="3" t="inlineStr">
        <is>
          <t>Kìm cắt tuốt đa năng 5 in1 KND200</t>
        </is>
      </c>
      <c r="I76" s="4" t="n">
        <v>72000</v>
      </c>
      <c r="J76" s="4" t="n"/>
      <c r="K76" s="4">
        <f>IF(AND(ISNUMBER(J76),ISNUMBER(I76)),J76-I76,"")</f>
        <v/>
      </c>
      <c r="L76" s="5">
        <f>IF(AND(ISNUMBER(J76),ISNUMBER(I76),I76&gt;0),(J76-I76)/I76,"")</f>
        <v/>
      </c>
      <c r="M76" s="2">
        <f>IF(L76="","",IF(L76&lt;-0.05,"Bán phá giá",IF(L76&gt;0.05,"Bán cao hơn","Đúng giá niêm yết")))</f>
        <v/>
      </c>
      <c r="N76" s="2" t="n"/>
      <c r="O76" s="3" t="n"/>
      <c r="P76" s="3" t="n"/>
    </row>
    <row r="77">
      <c r="A77" s="2" t="n">
        <v>76</v>
      </c>
      <c r="B77" s="2" t="inlineStr">
        <is>
          <t>KH001</t>
        </is>
      </c>
      <c r="C77" s="3" t="inlineStr">
        <is>
          <t>Điện nước Nhật (Shop) HCM</t>
        </is>
      </c>
      <c r="D77" s="2" t="inlineStr">
        <is>
          <t>HCM</t>
        </is>
      </c>
      <c r="E77" s="2" t="inlineStr">
        <is>
          <t>BẢO TRÂM</t>
        </is>
      </c>
      <c r="F77" s="2" t="inlineStr">
        <is>
          <t>Shopee</t>
        </is>
      </c>
      <c r="G77" s="2" t="inlineStr">
        <is>
          <t>KS4-260</t>
        </is>
      </c>
      <c r="H77" s="3" t="inlineStr">
        <is>
          <t>Kìm chết ngàm rộng 4 chế độ KS4-260</t>
        </is>
      </c>
      <c r="I77" s="4" t="n">
        <v>306000</v>
      </c>
      <c r="J77" s="4" t="n"/>
      <c r="K77" s="4">
        <f>IF(AND(ISNUMBER(J77),ISNUMBER(I77)),J77-I77,"")</f>
        <v/>
      </c>
      <c r="L77" s="5">
        <f>IF(AND(ISNUMBER(J77),ISNUMBER(I77),I77&gt;0),(J77-I77)/I77,"")</f>
        <v/>
      </c>
      <c r="M77" s="2">
        <f>IF(L77="","",IF(L77&lt;-0.05,"Bán phá giá",IF(L77&gt;0.05,"Bán cao hơn","Đúng giá niêm yết")))</f>
        <v/>
      </c>
      <c r="N77" s="2" t="n"/>
      <c r="O77" s="3" t="n"/>
      <c r="P77" s="3" t="n"/>
    </row>
    <row r="78">
      <c r="A78" s="2" t="n">
        <v>77</v>
      </c>
      <c r="B78" s="2" t="inlineStr">
        <is>
          <t>KH001</t>
        </is>
      </c>
      <c r="C78" s="3" t="inlineStr">
        <is>
          <t>Điện nước Nhật (Shop) HCM</t>
        </is>
      </c>
      <c r="D78" s="2" t="inlineStr">
        <is>
          <t>HCM</t>
        </is>
      </c>
      <c r="E78" s="2" t="inlineStr">
        <is>
          <t>BẢO TRÂM</t>
        </is>
      </c>
      <c r="F78" s="2" t="inlineStr">
        <is>
          <t>Shopee</t>
        </is>
      </c>
      <c r="G78" s="2" t="inlineStr">
        <is>
          <t>KS-264</t>
        </is>
      </c>
      <c r="H78" s="3" t="inlineStr">
        <is>
          <t>Kìm chết ngàm rộng KS-264</t>
        </is>
      </c>
      <c r="I78" s="4" t="n">
        <v>352000</v>
      </c>
      <c r="J78" s="4" t="n"/>
      <c r="K78" s="4">
        <f>IF(AND(ISNUMBER(J78),ISNUMBER(I78)),J78-I78,"")</f>
        <v/>
      </c>
      <c r="L78" s="5">
        <f>IF(AND(ISNUMBER(J78),ISNUMBER(I78),I78&gt;0),(J78-I78)/I78,"")</f>
        <v/>
      </c>
      <c r="M78" s="2">
        <f>IF(L78="","",IF(L78&lt;-0.05,"Bán phá giá",IF(L78&gt;0.05,"Bán cao hơn","Đúng giá niêm yết")))</f>
        <v/>
      </c>
      <c r="N78" s="2" t="n"/>
      <c r="O78" s="3" t="n"/>
      <c r="P78" s="3" t="n"/>
    </row>
    <row r="79">
      <c r="A79" s="2" t="n">
        <v>78</v>
      </c>
      <c r="B79" s="2" t="inlineStr">
        <is>
          <t>KH001</t>
        </is>
      </c>
      <c r="C79" s="3" t="inlineStr">
        <is>
          <t>Điện nước Nhật (Shop) HCM</t>
        </is>
      </c>
      <c r="D79" s="2" t="inlineStr">
        <is>
          <t>HCM</t>
        </is>
      </c>
      <c r="E79" s="2" t="inlineStr">
        <is>
          <t>BẢO TRÂM</t>
        </is>
      </c>
      <c r="F79" s="2" t="inlineStr">
        <is>
          <t>Shopee</t>
        </is>
      </c>
      <c r="G79" s="2" t="inlineStr">
        <is>
          <t>KS3-208</t>
        </is>
      </c>
      <c r="H79" s="3" t="inlineStr">
        <is>
          <t>Kìm chữ C KS3-208</t>
        </is>
      </c>
      <c r="I79" s="4" t="n">
        <v>150000</v>
      </c>
      <c r="J79" s="4" t="n"/>
      <c r="K79" s="4">
        <f>IF(AND(ISNUMBER(J79),ISNUMBER(I79)),J79-I79,"")</f>
        <v/>
      </c>
      <c r="L79" s="5">
        <f>IF(AND(ISNUMBER(J79),ISNUMBER(I79),I79&gt;0),(J79-I79)/I79,"")</f>
        <v/>
      </c>
      <c r="M79" s="2">
        <f>IF(L79="","",IF(L79&lt;-0.05,"Bán phá giá",IF(L79&gt;0.05,"Bán cao hơn","Đúng giá niêm yết")))</f>
        <v/>
      </c>
      <c r="N79" s="2" t="n"/>
      <c r="O79" s="3" t="n"/>
      <c r="P79" s="3" t="n"/>
    </row>
    <row r="80">
      <c r="A80" s="2" t="n">
        <v>79</v>
      </c>
      <c r="B80" s="2" t="inlineStr">
        <is>
          <t>KH001</t>
        </is>
      </c>
      <c r="C80" s="3" t="inlineStr">
        <is>
          <t>Điện nước Nhật (Shop) HCM</t>
        </is>
      </c>
      <c r="D80" s="2" t="inlineStr">
        <is>
          <t>HCM</t>
        </is>
      </c>
      <c r="E80" s="2" t="inlineStr">
        <is>
          <t>BẢO TRÂM</t>
        </is>
      </c>
      <c r="F80" s="2" t="inlineStr">
        <is>
          <t>Shopee</t>
        </is>
      </c>
      <c r="G80" s="2" t="inlineStr">
        <is>
          <t>KC1-09</t>
        </is>
      </c>
      <c r="H80" s="3" t="inlineStr">
        <is>
          <t>Kìm điện đa năng KC1-09</t>
        </is>
      </c>
      <c r="I80" s="4" t="n">
        <v>167000</v>
      </c>
      <c r="J80" s="4" t="n"/>
      <c r="K80" s="4">
        <f>IF(AND(ISNUMBER(J80),ISNUMBER(I80)),J80-I80,"")</f>
        <v/>
      </c>
      <c r="L80" s="5">
        <f>IF(AND(ISNUMBER(J80),ISNUMBER(I80),I80&gt;0),(J80-I80)/I80,"")</f>
        <v/>
      </c>
      <c r="M80" s="2">
        <f>IF(L80="","",IF(L80&lt;-0.05,"Bán phá giá",IF(L80&gt;0.05,"Bán cao hơn","Đúng giá niêm yết")))</f>
        <v/>
      </c>
      <c r="N80" s="2" t="n"/>
      <c r="O80" s="3" t="n"/>
      <c r="P80" s="3" t="n"/>
    </row>
    <row r="81">
      <c r="A81" s="2" t="n">
        <v>80</v>
      </c>
      <c r="B81" s="2" t="inlineStr">
        <is>
          <t>KH001</t>
        </is>
      </c>
      <c r="C81" s="3" t="inlineStr">
        <is>
          <t>Điện nước Nhật (Shop) HCM</t>
        </is>
      </c>
      <c r="D81" s="2" t="inlineStr">
        <is>
          <t>HCM</t>
        </is>
      </c>
      <c r="E81" s="2" t="inlineStr">
        <is>
          <t>BẢO TRÂM</t>
        </is>
      </c>
      <c r="F81" s="2" t="inlineStr">
        <is>
          <t>Shopee</t>
        </is>
      </c>
      <c r="G81" s="2" t="inlineStr">
        <is>
          <t>KC1-06</t>
        </is>
      </c>
      <c r="H81" s="3" t="inlineStr">
        <is>
          <t>Kìm điện KC1-06</t>
        </is>
      </c>
      <c r="I81" s="4" t="n">
        <v>97000</v>
      </c>
      <c r="J81" s="4" t="n"/>
      <c r="K81" s="4">
        <f>IF(AND(ISNUMBER(J81),ISNUMBER(I81)),J81-I81,"")</f>
        <v/>
      </c>
      <c r="L81" s="5">
        <f>IF(AND(ISNUMBER(J81),ISNUMBER(I81),I81&gt;0),(J81-I81)/I81,"")</f>
        <v/>
      </c>
      <c r="M81" s="2">
        <f>IF(L81="","",IF(L81&lt;-0.05,"Bán phá giá",IF(L81&gt;0.05,"Bán cao hơn","Đúng giá niêm yết")))</f>
        <v/>
      </c>
      <c r="N81" s="2" t="n"/>
      <c r="O81" s="3" t="n"/>
      <c r="P81" s="3" t="n"/>
    </row>
    <row r="82">
      <c r="A82" s="2" t="n">
        <v>81</v>
      </c>
      <c r="B82" s="2" t="inlineStr">
        <is>
          <t>KH001</t>
        </is>
      </c>
      <c r="C82" s="3" t="inlineStr">
        <is>
          <t>Điện nước Nhật (Shop) HCM</t>
        </is>
      </c>
      <c r="D82" s="2" t="inlineStr">
        <is>
          <t>HCM</t>
        </is>
      </c>
      <c r="E82" s="2" t="inlineStr">
        <is>
          <t>BẢO TRÂM</t>
        </is>
      </c>
      <c r="F82" s="2" t="inlineStr">
        <is>
          <t>Shopee</t>
        </is>
      </c>
      <c r="G82" s="2" t="inlineStr">
        <is>
          <t>KC1-08</t>
        </is>
      </c>
      <c r="H82" s="3" t="inlineStr">
        <is>
          <t>Kìm điện KC1-08</t>
        </is>
      </c>
      <c r="I82" s="4" t="n">
        <v>120000</v>
      </c>
      <c r="J82" s="4" t="n"/>
      <c r="K82" s="4">
        <f>IF(AND(ISNUMBER(J82),ISNUMBER(I82)),J82-I82,"")</f>
        <v/>
      </c>
      <c r="L82" s="5">
        <f>IF(AND(ISNUMBER(J82),ISNUMBER(I82),I82&gt;0),(J82-I82)/I82,"")</f>
        <v/>
      </c>
      <c r="M82" s="2">
        <f>IF(L82="","",IF(L82&lt;-0.05,"Bán phá giá",IF(L82&gt;0.05,"Bán cao hơn","Đúng giá niêm yết")))</f>
        <v/>
      </c>
      <c r="N82" s="2" t="n"/>
      <c r="O82" s="3" t="n"/>
      <c r="P82" s="3" t="n"/>
    </row>
    <row r="83">
      <c r="A83" s="2" t="n">
        <v>82</v>
      </c>
      <c r="B83" s="2" t="inlineStr">
        <is>
          <t>KH001</t>
        </is>
      </c>
      <c r="C83" s="3" t="inlineStr">
        <is>
          <t>Điện nước Nhật (Shop) HCM</t>
        </is>
      </c>
      <c r="D83" s="2" t="inlineStr">
        <is>
          <t>HCM</t>
        </is>
      </c>
      <c r="E83" s="2" t="inlineStr">
        <is>
          <t>BẢO TRÂM</t>
        </is>
      </c>
      <c r="F83" s="2" t="inlineStr">
        <is>
          <t>Shopee</t>
        </is>
      </c>
      <c r="G83" s="2" t="inlineStr">
        <is>
          <t>300-500A</t>
        </is>
      </c>
      <c r="H83" s="3" t="inlineStr">
        <is>
          <t>Kìm hàn  KCH-300  (300-500A)</t>
        </is>
      </c>
      <c r="I83" s="4" t="n">
        <v>77000</v>
      </c>
      <c r="J83" s="4" t="n"/>
      <c r="K83" s="4">
        <f>IF(AND(ISNUMBER(J83),ISNUMBER(I83)),J83-I83,"")</f>
        <v/>
      </c>
      <c r="L83" s="5">
        <f>IF(AND(ISNUMBER(J83),ISNUMBER(I83),I83&gt;0),(J83-I83)/I83,"")</f>
        <v/>
      </c>
      <c r="M83" s="2">
        <f>IF(L83="","",IF(L83&lt;-0.05,"Bán phá giá",IF(L83&gt;0.05,"Bán cao hơn","Đúng giá niêm yết")))</f>
        <v/>
      </c>
      <c r="N83" s="2" t="n"/>
      <c r="O83" s="3" t="n"/>
      <c r="P83" s="3" t="n"/>
    </row>
    <row r="84">
      <c r="A84" s="2" t="n">
        <v>83</v>
      </c>
      <c r="B84" s="2" t="inlineStr">
        <is>
          <t>KH001</t>
        </is>
      </c>
      <c r="C84" s="3" t="inlineStr">
        <is>
          <t>Điện nước Nhật (Shop) HCM</t>
        </is>
      </c>
      <c r="D84" s="2" t="inlineStr">
        <is>
          <t>HCM</t>
        </is>
      </c>
      <c r="E84" s="2" t="inlineStr">
        <is>
          <t>BẢO TRÂM</t>
        </is>
      </c>
      <c r="F84" s="2" t="inlineStr">
        <is>
          <t>Shopee</t>
        </is>
      </c>
      <c r="G84" s="2" t="inlineStr">
        <is>
          <t>KC2-09</t>
        </is>
      </c>
      <c r="H84" s="3" t="inlineStr">
        <is>
          <t>Kìm mỏ nhọn đa năng KC2-09</t>
        </is>
      </c>
      <c r="I84" s="4" t="n">
        <v>167000</v>
      </c>
      <c r="J84" s="4" t="n"/>
      <c r="K84" s="4">
        <f>IF(AND(ISNUMBER(J84),ISNUMBER(I84)),J84-I84,"")</f>
        <v/>
      </c>
      <c r="L84" s="5">
        <f>IF(AND(ISNUMBER(J84),ISNUMBER(I84),I84&gt;0),(J84-I84)/I84,"")</f>
        <v/>
      </c>
      <c r="M84" s="2">
        <f>IF(L84="","",IF(L84&lt;-0.05,"Bán phá giá",IF(L84&gt;0.05,"Bán cao hơn","Đúng giá niêm yết")))</f>
        <v/>
      </c>
      <c r="N84" s="2" t="n"/>
      <c r="O84" s="3" t="n"/>
      <c r="P84" s="3" t="n"/>
    </row>
    <row r="85">
      <c r="A85" s="2" t="n">
        <v>84</v>
      </c>
      <c r="B85" s="2" t="inlineStr">
        <is>
          <t>KH001</t>
        </is>
      </c>
      <c r="C85" s="3" t="inlineStr">
        <is>
          <t>Điện nước Nhật (Shop) HCM</t>
        </is>
      </c>
      <c r="D85" s="2" t="inlineStr">
        <is>
          <t>HCM</t>
        </is>
      </c>
      <c r="E85" s="2" t="inlineStr">
        <is>
          <t>BẢO TRÂM</t>
        </is>
      </c>
      <c r="F85" s="2" t="inlineStr">
        <is>
          <t>Shopee</t>
        </is>
      </c>
      <c r="G85" s="2" t="inlineStr">
        <is>
          <t>KC2-150</t>
        </is>
      </c>
      <c r="H85" s="3" t="inlineStr">
        <is>
          <t>Kìm nhọn KC2-150</t>
        </is>
      </c>
      <c r="I85" s="4" t="n">
        <v>114000</v>
      </c>
      <c r="J85" s="4" t="n"/>
      <c r="K85" s="4">
        <f>IF(AND(ISNUMBER(J85),ISNUMBER(I85)),J85-I85,"")</f>
        <v/>
      </c>
      <c r="L85" s="5">
        <f>IF(AND(ISNUMBER(J85),ISNUMBER(I85),I85&gt;0),(J85-I85)/I85,"")</f>
        <v/>
      </c>
      <c r="M85" s="2">
        <f>IF(L85="","",IF(L85&lt;-0.05,"Bán phá giá",IF(L85&gt;0.05,"Bán cao hơn","Đúng giá niêm yết")))</f>
        <v/>
      </c>
      <c r="N85" s="2" t="n"/>
      <c r="O85" s="3" t="n"/>
      <c r="P85" s="3" t="n"/>
    </row>
    <row r="86">
      <c r="A86" s="2" t="n">
        <v>85</v>
      </c>
      <c r="B86" s="2" t="inlineStr">
        <is>
          <t>KH001</t>
        </is>
      </c>
      <c r="C86" s="3" t="inlineStr">
        <is>
          <t>Điện nước Nhật (Shop) HCM</t>
        </is>
      </c>
      <c r="D86" s="2" t="inlineStr">
        <is>
          <t>HCM</t>
        </is>
      </c>
      <c r="E86" s="2" t="inlineStr">
        <is>
          <t>BẢO TRÂM</t>
        </is>
      </c>
      <c r="F86" s="2" t="inlineStr">
        <is>
          <t>Shopee</t>
        </is>
      </c>
      <c r="G86" s="2" t="inlineStr">
        <is>
          <t>KJ-230</t>
        </is>
      </c>
      <c r="H86" s="3" t="inlineStr">
        <is>
          <t>Kìm rút đinh công nghiệp KJ-230</t>
        </is>
      </c>
      <c r="I86" s="4" t="n">
        <v>311000</v>
      </c>
      <c r="J86" s="4" t="n"/>
      <c r="K86" s="4">
        <f>IF(AND(ISNUMBER(J86),ISNUMBER(I86)),J86-I86,"")</f>
        <v/>
      </c>
      <c r="L86" s="5">
        <f>IF(AND(ISNUMBER(J86),ISNUMBER(I86),I86&gt;0),(J86-I86)/I86,"")</f>
        <v/>
      </c>
      <c r="M86" s="2">
        <f>IF(L86="","",IF(L86&lt;-0.05,"Bán phá giá",IF(L86&gt;0.05,"Bán cao hơn","Đúng giá niêm yết")))</f>
        <v/>
      </c>
      <c r="N86" s="2" t="n"/>
      <c r="O86" s="3" t="n"/>
      <c r="P86" s="3" t="n"/>
    </row>
    <row r="87">
      <c r="A87" s="2" t="n">
        <v>86</v>
      </c>
      <c r="B87" s="2" t="inlineStr">
        <is>
          <t>KH001</t>
        </is>
      </c>
      <c r="C87" s="3" t="inlineStr">
        <is>
          <t>Điện nước Nhật (Shop) HCM</t>
        </is>
      </c>
      <c r="D87" s="2" t="inlineStr">
        <is>
          <t>HCM</t>
        </is>
      </c>
      <c r="E87" s="2" t="inlineStr">
        <is>
          <t>BẢO TRÂM</t>
        </is>
      </c>
      <c r="F87" s="2" t="inlineStr">
        <is>
          <t>Shopee</t>
        </is>
      </c>
      <c r="G87" s="2" t="inlineStr">
        <is>
          <t>KJ-103</t>
        </is>
      </c>
      <c r="H87" s="3" t="inlineStr">
        <is>
          <t>Kìm rút đinh KJ-103</t>
        </is>
      </c>
      <c r="I87" s="4" t="n">
        <v>94000</v>
      </c>
      <c r="J87" s="4" t="n"/>
      <c r="K87" s="4">
        <f>IF(AND(ISNUMBER(J87),ISNUMBER(I87)),J87-I87,"")</f>
        <v/>
      </c>
      <c r="L87" s="5">
        <f>IF(AND(ISNUMBER(J87),ISNUMBER(I87),I87&gt;0),(J87-I87)/I87,"")</f>
        <v/>
      </c>
      <c r="M87" s="2">
        <f>IF(L87="","",IF(L87&lt;-0.05,"Bán phá giá",IF(L87&gt;0.05,"Bán cao hơn","Đúng giá niêm yết")))</f>
        <v/>
      </c>
      <c r="N87" s="2" t="n"/>
      <c r="O87" s="3" t="n"/>
      <c r="P87" s="3" t="n"/>
    </row>
    <row r="88">
      <c r="A88" s="2" t="n">
        <v>87</v>
      </c>
      <c r="B88" s="2" t="inlineStr">
        <is>
          <t>KH001</t>
        </is>
      </c>
      <c r="C88" s="3" t="inlineStr">
        <is>
          <t>Điện nước Nhật (Shop) HCM</t>
        </is>
      </c>
      <c r="D88" s="2" t="inlineStr">
        <is>
          <t>HCM</t>
        </is>
      </c>
      <c r="E88" s="2" t="inlineStr">
        <is>
          <t>BẢO TRÂM</t>
        </is>
      </c>
      <c r="F88" s="2" t="inlineStr">
        <is>
          <t>Shopee</t>
        </is>
      </c>
      <c r="G88" s="2" t="inlineStr">
        <is>
          <t>KND180</t>
        </is>
      </c>
      <c r="H88" s="3" t="inlineStr">
        <is>
          <t>Kìm tuốt dây điện đa năng KND180</t>
        </is>
      </c>
      <c r="I88" s="4" t="n">
        <v>158000</v>
      </c>
      <c r="J88" s="4" t="n"/>
      <c r="K88" s="4">
        <f>IF(AND(ISNUMBER(J88),ISNUMBER(I88)),J88-I88,"")</f>
        <v/>
      </c>
      <c r="L88" s="5">
        <f>IF(AND(ISNUMBER(J88),ISNUMBER(I88),I88&gt;0),(J88-I88)/I88,"")</f>
        <v/>
      </c>
      <c r="M88" s="2">
        <f>IF(L88="","",IF(L88&lt;-0.05,"Bán phá giá",IF(L88&gt;0.05,"Bán cao hơn","Đúng giá niêm yết")))</f>
        <v/>
      </c>
      <c r="N88" s="2" t="n"/>
      <c r="O88" s="3" t="n"/>
      <c r="P88" s="3" t="n"/>
    </row>
    <row r="89">
      <c r="A89" s="2" t="n">
        <v>88</v>
      </c>
      <c r="B89" s="2" t="inlineStr">
        <is>
          <t>KH001</t>
        </is>
      </c>
      <c r="C89" s="3" t="inlineStr">
        <is>
          <t>Điện nước Nhật (Shop) HCM</t>
        </is>
      </c>
      <c r="D89" s="2" t="inlineStr">
        <is>
          <t>HCM</t>
        </is>
      </c>
      <c r="E89" s="2" t="inlineStr">
        <is>
          <t>BẢO TRÂM</t>
        </is>
      </c>
      <c r="F89" s="2" t="inlineStr">
        <is>
          <t>Shopee</t>
        </is>
      </c>
      <c r="G89" s="2" t="inlineStr">
        <is>
          <t>KND205</t>
        </is>
      </c>
      <c r="H89" s="3" t="inlineStr">
        <is>
          <t>Kìm tuốt dây điện đa năng KND205</t>
        </is>
      </c>
      <c r="I89" s="4" t="n">
        <v>199000</v>
      </c>
      <c r="J89" s="4" t="n"/>
      <c r="K89" s="4">
        <f>IF(AND(ISNUMBER(J89),ISNUMBER(I89)),J89-I89,"")</f>
        <v/>
      </c>
      <c r="L89" s="5">
        <f>IF(AND(ISNUMBER(J89),ISNUMBER(I89),I89&gt;0),(J89-I89)/I89,"")</f>
        <v/>
      </c>
      <c r="M89" s="2">
        <f>IF(L89="","",IF(L89&lt;-0.05,"Bán phá giá",IF(L89&gt;0.05,"Bán cao hơn","Đúng giá niêm yết")))</f>
        <v/>
      </c>
      <c r="N89" s="2" t="n"/>
      <c r="O89" s="3" t="n"/>
      <c r="P89" s="3" t="n"/>
    </row>
    <row r="90">
      <c r="A90" s="2" t="n">
        <v>89</v>
      </c>
      <c r="B90" s="2" t="inlineStr">
        <is>
          <t>KH001</t>
        </is>
      </c>
      <c r="C90" s="3" t="inlineStr">
        <is>
          <t>Điện nước Nhật (Shop) HCM</t>
        </is>
      </c>
      <c r="D90" s="2" t="inlineStr">
        <is>
          <t>HCM</t>
        </is>
      </c>
      <c r="E90" s="2" t="inlineStr">
        <is>
          <t>BẢO TRÂM</t>
        </is>
      </c>
      <c r="F90" s="2" t="inlineStr">
        <is>
          <t>Shopee</t>
        </is>
      </c>
      <c r="G90" s="2" t="inlineStr">
        <is>
          <t>KBM2-06*160</t>
        </is>
      </c>
      <c r="H90" s="3" t="inlineStr">
        <is>
          <t>Khoan bê tông chuôi lục giác KBM2-06*160</t>
        </is>
      </c>
      <c r="I90" s="4" t="n">
        <v>29000</v>
      </c>
      <c r="J90" s="4" t="n"/>
      <c r="K90" s="4">
        <f>IF(AND(ISNUMBER(J90),ISNUMBER(I90)),J90-I90,"")</f>
        <v/>
      </c>
      <c r="L90" s="5">
        <f>IF(AND(ISNUMBER(J90),ISNUMBER(I90),I90&gt;0),(J90-I90)/I90,"")</f>
        <v/>
      </c>
      <c r="M90" s="2">
        <f>IF(L90="","",IF(L90&lt;-0.05,"Bán phá giá",IF(L90&gt;0.05,"Bán cao hơn","Đúng giá niêm yết")))</f>
        <v/>
      </c>
      <c r="N90" s="2" t="n"/>
      <c r="O90" s="3" t="n"/>
      <c r="P90" s="3" t="n"/>
    </row>
    <row r="91">
      <c r="A91" s="2" t="n">
        <v>90</v>
      </c>
      <c r="B91" s="2" t="inlineStr">
        <is>
          <t>KH001</t>
        </is>
      </c>
      <c r="C91" s="3" t="inlineStr">
        <is>
          <t>Điện nước Nhật (Shop) HCM</t>
        </is>
      </c>
      <c r="D91" s="2" t="inlineStr">
        <is>
          <t>HCM</t>
        </is>
      </c>
      <c r="E91" s="2" t="inlineStr">
        <is>
          <t>BẢO TRÂM</t>
        </is>
      </c>
      <c r="F91" s="2" t="inlineStr">
        <is>
          <t>Shopee</t>
        </is>
      </c>
      <c r="G91" s="2" t="inlineStr">
        <is>
          <t>KBM2-08*160</t>
        </is>
      </c>
      <c r="H91" s="3" t="inlineStr">
        <is>
          <t>Khoan bê tông chuôi lục giác KBM2-08*160</t>
        </is>
      </c>
      <c r="I91" s="4" t="n">
        <v>32000</v>
      </c>
      <c r="J91" s="4" t="n"/>
      <c r="K91" s="4">
        <f>IF(AND(ISNUMBER(J91),ISNUMBER(I91)),J91-I91,"")</f>
        <v/>
      </c>
      <c r="L91" s="5">
        <f>IF(AND(ISNUMBER(J91),ISNUMBER(I91),I91&gt;0),(J91-I91)/I91,"")</f>
        <v/>
      </c>
      <c r="M91" s="2">
        <f>IF(L91="","",IF(L91&lt;-0.05,"Bán phá giá",IF(L91&gt;0.05,"Bán cao hơn","Đúng giá niêm yết")))</f>
        <v/>
      </c>
      <c r="N91" s="2" t="n"/>
      <c r="O91" s="3" t="n"/>
      <c r="P91" s="3" t="n"/>
    </row>
    <row r="92">
      <c r="A92" s="2" t="n">
        <v>91</v>
      </c>
      <c r="B92" s="2" t="inlineStr">
        <is>
          <t>KH001</t>
        </is>
      </c>
      <c r="C92" s="3" t="inlineStr">
        <is>
          <t>Điện nước Nhật (Shop) HCM</t>
        </is>
      </c>
      <c r="D92" s="2" t="inlineStr">
        <is>
          <t>HCM</t>
        </is>
      </c>
      <c r="E92" s="2" t="inlineStr">
        <is>
          <t>BẢO TRÂM</t>
        </is>
      </c>
      <c r="F92" s="2" t="inlineStr">
        <is>
          <t>Shopee</t>
        </is>
      </c>
      <c r="G92" s="2" t="inlineStr">
        <is>
          <t>KBY3-020CO</t>
        </is>
      </c>
      <c r="H92" s="3" t="inlineStr">
        <is>
          <t>Khoan inox chuôi lục KBY3-020CO</t>
        </is>
      </c>
      <c r="I92" s="4" t="n">
        <v>18000</v>
      </c>
      <c r="J92" s="4" t="n"/>
      <c r="K92" s="4">
        <f>IF(AND(ISNUMBER(J92),ISNUMBER(I92)),J92-I92,"")</f>
        <v/>
      </c>
      <c r="L92" s="5">
        <f>IF(AND(ISNUMBER(J92),ISNUMBER(I92),I92&gt;0),(J92-I92)/I92,"")</f>
        <v/>
      </c>
      <c r="M92" s="2">
        <f>IF(L92="","",IF(L92&lt;-0.05,"Bán phá giá",IF(L92&gt;0.05,"Bán cao hơn","Đúng giá niêm yết")))</f>
        <v/>
      </c>
      <c r="N92" s="2" t="n"/>
      <c r="O92" s="3" t="n"/>
      <c r="P92" s="3" t="n"/>
    </row>
    <row r="93">
      <c r="A93" s="2" t="n">
        <v>92</v>
      </c>
      <c r="B93" s="2" t="inlineStr">
        <is>
          <t>KH001</t>
        </is>
      </c>
      <c r="C93" s="3" t="inlineStr">
        <is>
          <t>Điện nước Nhật (Shop) HCM</t>
        </is>
      </c>
      <c r="D93" s="2" t="inlineStr">
        <is>
          <t>HCM</t>
        </is>
      </c>
      <c r="E93" s="2" t="inlineStr">
        <is>
          <t>BẢO TRÂM</t>
        </is>
      </c>
      <c r="F93" s="2" t="inlineStr">
        <is>
          <t>Shopee</t>
        </is>
      </c>
      <c r="G93" s="2" t="inlineStr">
        <is>
          <t>KBY3-030CO</t>
        </is>
      </c>
      <c r="H93" s="3" t="inlineStr">
        <is>
          <t>Khoan inox chuôi lục KBY3-030CO</t>
        </is>
      </c>
      <c r="I93" s="4" t="n">
        <v>28500</v>
      </c>
      <c r="J93" s="4" t="n"/>
      <c r="K93" s="4">
        <f>IF(AND(ISNUMBER(J93),ISNUMBER(I93)),J93-I93,"")</f>
        <v/>
      </c>
      <c r="L93" s="5">
        <f>IF(AND(ISNUMBER(J93),ISNUMBER(I93),I93&gt;0),(J93-I93)/I93,"")</f>
        <v/>
      </c>
      <c r="M93" s="2">
        <f>IF(L93="","",IF(L93&lt;-0.05,"Bán phá giá",IF(L93&gt;0.05,"Bán cao hơn","Đúng giá niêm yết")))</f>
        <v/>
      </c>
      <c r="N93" s="2" t="n"/>
      <c r="O93" s="3" t="n"/>
      <c r="P93" s="3" t="n"/>
    </row>
    <row r="94">
      <c r="A94" s="2" t="n">
        <v>93</v>
      </c>
      <c r="B94" s="2" t="inlineStr">
        <is>
          <t>KH001</t>
        </is>
      </c>
      <c r="C94" s="3" t="inlineStr">
        <is>
          <t>Điện nước Nhật (Shop) HCM</t>
        </is>
      </c>
      <c r="D94" s="2" t="inlineStr">
        <is>
          <t>HCM</t>
        </is>
      </c>
      <c r="E94" s="2" t="inlineStr">
        <is>
          <t>BẢO TRÂM</t>
        </is>
      </c>
      <c r="F94" s="2" t="inlineStr">
        <is>
          <t>Shopee</t>
        </is>
      </c>
      <c r="G94" s="2" t="inlineStr">
        <is>
          <t>KBY3-032CO</t>
        </is>
      </c>
      <c r="H94" s="3" t="inlineStr">
        <is>
          <t>Khoan inox chuôi lục KBY3-032CO</t>
        </is>
      </c>
      <c r="I94" s="4" t="n">
        <v>32000</v>
      </c>
      <c r="J94" s="4" t="n"/>
      <c r="K94" s="4">
        <f>IF(AND(ISNUMBER(J94),ISNUMBER(I94)),J94-I94,"")</f>
        <v/>
      </c>
      <c r="L94" s="5">
        <f>IF(AND(ISNUMBER(J94),ISNUMBER(I94),I94&gt;0),(J94-I94)/I94,"")</f>
        <v/>
      </c>
      <c r="M94" s="2">
        <f>IF(L94="","",IF(L94&lt;-0.05,"Bán phá giá",IF(L94&gt;0.05,"Bán cao hơn","Đúng giá niêm yết")))</f>
        <v/>
      </c>
      <c r="N94" s="2" t="n"/>
      <c r="O94" s="3" t="n"/>
      <c r="P94" s="3" t="n"/>
    </row>
    <row r="95">
      <c r="A95" s="2" t="n">
        <v>94</v>
      </c>
      <c r="B95" s="2" t="inlineStr">
        <is>
          <t>KH001</t>
        </is>
      </c>
      <c r="C95" s="3" t="inlineStr">
        <is>
          <t>Điện nước Nhật (Shop) HCM</t>
        </is>
      </c>
      <c r="D95" s="2" t="inlineStr">
        <is>
          <t>HCM</t>
        </is>
      </c>
      <c r="E95" s="2" t="inlineStr">
        <is>
          <t>BẢO TRÂM</t>
        </is>
      </c>
      <c r="F95" s="2" t="inlineStr">
        <is>
          <t>Shopee</t>
        </is>
      </c>
      <c r="G95" s="2" t="inlineStr">
        <is>
          <t>KBY3-035CO</t>
        </is>
      </c>
      <c r="H95" s="3" t="inlineStr">
        <is>
          <t>Khoan inox chuôi lục KBY3-035CO</t>
        </is>
      </c>
      <c r="I95" s="4" t="n">
        <v>33000</v>
      </c>
      <c r="J95" s="4" t="n"/>
      <c r="K95" s="4">
        <f>IF(AND(ISNUMBER(J95),ISNUMBER(I95)),J95-I95,"")</f>
        <v/>
      </c>
      <c r="L95" s="5">
        <f>IF(AND(ISNUMBER(J95),ISNUMBER(I95),I95&gt;0),(J95-I95)/I95,"")</f>
        <v/>
      </c>
      <c r="M95" s="2">
        <f>IF(L95="","",IF(L95&lt;-0.05,"Bán phá giá",IF(L95&gt;0.05,"Bán cao hơn","Đúng giá niêm yết")))</f>
        <v/>
      </c>
      <c r="N95" s="2" t="n"/>
      <c r="O95" s="3" t="n"/>
      <c r="P95" s="3" t="n"/>
    </row>
    <row r="96">
      <c r="A96" s="2" t="n">
        <v>95</v>
      </c>
      <c r="B96" s="2" t="inlineStr">
        <is>
          <t>KH001</t>
        </is>
      </c>
      <c r="C96" s="3" t="inlineStr">
        <is>
          <t>Điện nước Nhật (Shop) HCM</t>
        </is>
      </c>
      <c r="D96" s="2" t="inlineStr">
        <is>
          <t>HCM</t>
        </is>
      </c>
      <c r="E96" s="2" t="inlineStr">
        <is>
          <t>BẢO TRÂM</t>
        </is>
      </c>
      <c r="F96" s="2" t="inlineStr">
        <is>
          <t>Shopee</t>
        </is>
      </c>
      <c r="G96" s="2" t="inlineStr">
        <is>
          <t>KBY3-040CO</t>
        </is>
      </c>
      <c r="H96" s="3" t="inlineStr">
        <is>
          <t>Khoan inox chuôi lục KBY3-040CO</t>
        </is>
      </c>
      <c r="I96" s="4" t="n">
        <v>36000</v>
      </c>
      <c r="J96" s="4" t="n"/>
      <c r="K96" s="4">
        <f>IF(AND(ISNUMBER(J96),ISNUMBER(I96)),J96-I96,"")</f>
        <v/>
      </c>
      <c r="L96" s="5">
        <f>IF(AND(ISNUMBER(J96),ISNUMBER(I96),I96&gt;0),(J96-I96)/I96,"")</f>
        <v/>
      </c>
      <c r="M96" s="2">
        <f>IF(L96="","",IF(L96&lt;-0.05,"Bán phá giá",IF(L96&gt;0.05,"Bán cao hơn","Đúng giá niêm yết")))</f>
        <v/>
      </c>
      <c r="N96" s="2" t="n"/>
      <c r="O96" s="3" t="n"/>
      <c r="P96" s="3" t="n"/>
    </row>
    <row r="97">
      <c r="A97" s="2" t="n">
        <v>96</v>
      </c>
      <c r="B97" s="2" t="inlineStr">
        <is>
          <t>KH001</t>
        </is>
      </c>
      <c r="C97" s="3" t="inlineStr">
        <is>
          <t>Điện nước Nhật (Shop) HCM</t>
        </is>
      </c>
      <c r="D97" s="2" t="inlineStr">
        <is>
          <t>HCM</t>
        </is>
      </c>
      <c r="E97" s="2" t="inlineStr">
        <is>
          <t>BẢO TRÂM</t>
        </is>
      </c>
      <c r="F97" s="2" t="inlineStr">
        <is>
          <t>Shopee</t>
        </is>
      </c>
      <c r="G97" s="2" t="inlineStr">
        <is>
          <t>KBY3-042CO</t>
        </is>
      </c>
      <c r="H97" s="3" t="inlineStr">
        <is>
          <t>Khoan inox chuôi lục KBY3-042CO</t>
        </is>
      </c>
      <c r="I97" s="4" t="n">
        <v>41000</v>
      </c>
      <c r="J97" s="4" t="n"/>
      <c r="K97" s="4">
        <f>IF(AND(ISNUMBER(J97),ISNUMBER(I97)),J97-I97,"")</f>
        <v/>
      </c>
      <c r="L97" s="5">
        <f>IF(AND(ISNUMBER(J97),ISNUMBER(I97),I97&gt;0),(J97-I97)/I97,"")</f>
        <v/>
      </c>
      <c r="M97" s="2">
        <f>IF(L97="","",IF(L97&lt;-0.05,"Bán phá giá",IF(L97&gt;0.05,"Bán cao hơn","Đúng giá niêm yết")))</f>
        <v/>
      </c>
      <c r="N97" s="2" t="n"/>
      <c r="O97" s="3" t="n"/>
      <c r="P97" s="3" t="n"/>
    </row>
    <row r="98">
      <c r="A98" s="2" t="n">
        <v>97</v>
      </c>
      <c r="B98" s="2" t="inlineStr">
        <is>
          <t>KH001</t>
        </is>
      </c>
      <c r="C98" s="3" t="inlineStr">
        <is>
          <t>Điện nước Nhật (Shop) HCM</t>
        </is>
      </c>
      <c r="D98" s="2" t="inlineStr">
        <is>
          <t>HCM</t>
        </is>
      </c>
      <c r="E98" s="2" t="inlineStr">
        <is>
          <t>BẢO TRÂM</t>
        </is>
      </c>
      <c r="F98" s="2" t="inlineStr">
        <is>
          <t>Shopee</t>
        </is>
      </c>
      <c r="G98" s="2" t="inlineStr">
        <is>
          <t>KBY3-045CO</t>
        </is>
      </c>
      <c r="H98" s="3" t="inlineStr">
        <is>
          <t>Khoan inox chuôi lục KBY3-045CO</t>
        </is>
      </c>
      <c r="I98" s="4" t="n">
        <v>29500</v>
      </c>
      <c r="J98" s="4" t="n"/>
      <c r="K98" s="4">
        <f>IF(AND(ISNUMBER(J98),ISNUMBER(I98)),J98-I98,"")</f>
        <v/>
      </c>
      <c r="L98" s="5">
        <f>IF(AND(ISNUMBER(J98),ISNUMBER(I98),I98&gt;0),(J98-I98)/I98,"")</f>
        <v/>
      </c>
      <c r="M98" s="2">
        <f>IF(L98="","",IF(L98&lt;-0.05,"Bán phá giá",IF(L98&gt;0.05,"Bán cao hơn","Đúng giá niêm yết")))</f>
        <v/>
      </c>
      <c r="N98" s="2" t="n"/>
      <c r="O98" s="3" t="n"/>
      <c r="P98" s="3" t="n"/>
    </row>
    <row r="99">
      <c r="A99" s="2" t="n">
        <v>98</v>
      </c>
      <c r="B99" s="2" t="inlineStr">
        <is>
          <t>KH001</t>
        </is>
      </c>
      <c r="C99" s="3" t="inlineStr">
        <is>
          <t>Điện nước Nhật (Shop) HCM</t>
        </is>
      </c>
      <c r="D99" s="2" t="inlineStr">
        <is>
          <t>HCM</t>
        </is>
      </c>
      <c r="E99" s="2" t="inlineStr">
        <is>
          <t>BẢO TRÂM</t>
        </is>
      </c>
      <c r="F99" s="2" t="inlineStr">
        <is>
          <t>Shopee</t>
        </is>
      </c>
      <c r="G99" s="2" t="inlineStr">
        <is>
          <t>KBY3-050CO</t>
        </is>
      </c>
      <c r="H99" s="3" t="inlineStr">
        <is>
          <t>Khoan inox chuôi lục KBY3-050CO</t>
        </is>
      </c>
      <c r="I99" s="4" t="n">
        <v>48000</v>
      </c>
      <c r="J99" s="4" t="n"/>
      <c r="K99" s="4">
        <f>IF(AND(ISNUMBER(J99),ISNUMBER(I99)),J99-I99,"")</f>
        <v/>
      </c>
      <c r="L99" s="5">
        <f>IF(AND(ISNUMBER(J99),ISNUMBER(I99),I99&gt;0),(J99-I99)/I99,"")</f>
        <v/>
      </c>
      <c r="M99" s="2">
        <f>IF(L99="","",IF(L99&lt;-0.05,"Bán phá giá",IF(L99&gt;0.05,"Bán cao hơn","Đúng giá niêm yết")))</f>
        <v/>
      </c>
      <c r="N99" s="2" t="n"/>
      <c r="O99" s="3" t="n"/>
      <c r="P99" s="3" t="n"/>
    </row>
    <row r="100">
      <c r="A100" s="2" t="n">
        <v>99</v>
      </c>
      <c r="B100" s="2" t="inlineStr">
        <is>
          <t>KH001</t>
        </is>
      </c>
      <c r="C100" s="3" t="inlineStr">
        <is>
          <t>Điện nước Nhật (Shop) HCM</t>
        </is>
      </c>
      <c r="D100" s="2" t="inlineStr">
        <is>
          <t>HCM</t>
        </is>
      </c>
      <c r="E100" s="2" t="inlineStr">
        <is>
          <t>BẢO TRÂM</t>
        </is>
      </c>
      <c r="F100" s="2" t="inlineStr">
        <is>
          <t>Shopee</t>
        </is>
      </c>
      <c r="G100" s="2" t="inlineStr">
        <is>
          <t>KBY3-060CO</t>
        </is>
      </c>
      <c r="H100" s="3" t="inlineStr">
        <is>
          <t>Khoan inox chuôi lục KBY3-060CO</t>
        </is>
      </c>
      <c r="I100" s="4" t="n">
        <v>59000</v>
      </c>
      <c r="J100" s="4" t="n"/>
      <c r="K100" s="4">
        <f>IF(AND(ISNUMBER(J100),ISNUMBER(I100)),J100-I100,"")</f>
        <v/>
      </c>
      <c r="L100" s="5">
        <f>IF(AND(ISNUMBER(J100),ISNUMBER(I100),I100&gt;0),(J100-I100)/I100,"")</f>
        <v/>
      </c>
      <c r="M100" s="2">
        <f>IF(L100="","",IF(L100&lt;-0.05,"Bán phá giá",IF(L100&gt;0.05,"Bán cao hơn","Đúng giá niêm yết")))</f>
        <v/>
      </c>
      <c r="N100" s="2" t="n"/>
      <c r="O100" s="3" t="n"/>
      <c r="P100" s="3" t="n"/>
    </row>
    <row r="101">
      <c r="A101" s="2" t="n">
        <v>100</v>
      </c>
      <c r="B101" s="2" t="inlineStr">
        <is>
          <t>KH001</t>
        </is>
      </c>
      <c r="C101" s="3" t="inlineStr">
        <is>
          <t>Điện nước Nhật (Shop) HCM</t>
        </is>
      </c>
      <c r="D101" s="2" t="inlineStr">
        <is>
          <t>HCM</t>
        </is>
      </c>
      <c r="E101" s="2" t="inlineStr">
        <is>
          <t>BẢO TRÂM</t>
        </is>
      </c>
      <c r="F101" s="2" t="inlineStr">
        <is>
          <t>Shopee</t>
        </is>
      </c>
      <c r="G101" s="2" t="inlineStr">
        <is>
          <t>KBY3-065CO</t>
        </is>
      </c>
      <c r="H101" s="3" t="inlineStr">
        <is>
          <t>Khoan inox chuôi lục KBY3-065CO</t>
        </is>
      </c>
      <c r="I101" s="4" t="n">
        <v>38000</v>
      </c>
      <c r="J101" s="4" t="n"/>
      <c r="K101" s="4">
        <f>IF(AND(ISNUMBER(J101),ISNUMBER(I101)),J101-I101,"")</f>
        <v/>
      </c>
      <c r="L101" s="5">
        <f>IF(AND(ISNUMBER(J101),ISNUMBER(I101),I101&gt;0),(J101-I101)/I101,"")</f>
        <v/>
      </c>
      <c r="M101" s="2">
        <f>IF(L101="","",IF(L101&lt;-0.05,"Bán phá giá",IF(L101&gt;0.05,"Bán cao hơn","Đúng giá niêm yết")))</f>
        <v/>
      </c>
      <c r="N101" s="2" t="n"/>
      <c r="O101" s="3" t="n"/>
      <c r="P101" s="3" t="n"/>
    </row>
    <row r="102">
      <c r="A102" s="2" t="n">
        <v>101</v>
      </c>
      <c r="B102" s="2" t="inlineStr">
        <is>
          <t>KH001</t>
        </is>
      </c>
      <c r="C102" s="3" t="inlineStr">
        <is>
          <t>Điện nước Nhật (Shop) HCM</t>
        </is>
      </c>
      <c r="D102" s="2" t="inlineStr">
        <is>
          <t>HCM</t>
        </is>
      </c>
      <c r="E102" s="2" t="inlineStr">
        <is>
          <t>BẢO TRÂM</t>
        </is>
      </c>
      <c r="F102" s="2" t="inlineStr">
        <is>
          <t>Shopee</t>
        </is>
      </c>
      <c r="G102" s="2" t="inlineStr">
        <is>
          <t>KBY3-070CO</t>
        </is>
      </c>
      <c r="H102" s="3" t="inlineStr">
        <is>
          <t>Khoan inox chuôi lục KBY3-070CO</t>
        </is>
      </c>
      <c r="I102" s="4" t="n">
        <v>57000</v>
      </c>
      <c r="J102" s="4" t="n"/>
      <c r="K102" s="4">
        <f>IF(AND(ISNUMBER(J102),ISNUMBER(I102)),J102-I102,"")</f>
        <v/>
      </c>
      <c r="L102" s="5">
        <f>IF(AND(ISNUMBER(J102),ISNUMBER(I102),I102&gt;0),(J102-I102)/I102,"")</f>
        <v/>
      </c>
      <c r="M102" s="2">
        <f>IF(L102="","",IF(L102&lt;-0.05,"Bán phá giá",IF(L102&gt;0.05,"Bán cao hơn","Đúng giá niêm yết")))</f>
        <v/>
      </c>
      <c r="N102" s="2" t="n"/>
      <c r="O102" s="3" t="n"/>
      <c r="P102" s="3" t="n"/>
    </row>
    <row r="103">
      <c r="A103" s="2" t="n">
        <v>102</v>
      </c>
      <c r="B103" s="2" t="inlineStr">
        <is>
          <t>KH001</t>
        </is>
      </c>
      <c r="C103" s="3" t="inlineStr">
        <is>
          <t>Điện nước Nhật (Shop) HCM</t>
        </is>
      </c>
      <c r="D103" s="2" t="inlineStr">
        <is>
          <t>HCM</t>
        </is>
      </c>
      <c r="E103" s="2" t="inlineStr">
        <is>
          <t>BẢO TRÂM</t>
        </is>
      </c>
      <c r="F103" s="2" t="inlineStr">
        <is>
          <t>Shopee</t>
        </is>
      </c>
      <c r="G103" s="2" t="inlineStr">
        <is>
          <t>KBY3-080CO</t>
        </is>
      </c>
      <c r="H103" s="3" t="inlineStr">
        <is>
          <t>Khoan inox chuôi lục KBY3-080CO</t>
        </is>
      </c>
      <c r="I103" s="4" t="n">
        <v>75000</v>
      </c>
      <c r="J103" s="4" t="n"/>
      <c r="K103" s="4">
        <f>IF(AND(ISNUMBER(J103),ISNUMBER(I103)),J103-I103,"")</f>
        <v/>
      </c>
      <c r="L103" s="5">
        <f>IF(AND(ISNUMBER(J103),ISNUMBER(I103),I103&gt;0),(J103-I103)/I103,"")</f>
        <v/>
      </c>
      <c r="M103" s="2">
        <f>IF(L103="","",IF(L103&lt;-0.05,"Bán phá giá",IF(L103&gt;0.05,"Bán cao hơn","Đúng giá niêm yết")))</f>
        <v/>
      </c>
      <c r="N103" s="2" t="n"/>
      <c r="O103" s="3" t="n"/>
      <c r="P103" s="3" t="n"/>
    </row>
    <row r="104">
      <c r="A104" s="2" t="n">
        <v>103</v>
      </c>
      <c r="B104" s="2" t="inlineStr">
        <is>
          <t>KH001</t>
        </is>
      </c>
      <c r="C104" s="3" t="inlineStr">
        <is>
          <t>Điện nước Nhật (Shop) HCM</t>
        </is>
      </c>
      <c r="D104" s="2" t="inlineStr">
        <is>
          <t>HCM</t>
        </is>
      </c>
      <c r="E104" s="2" t="inlineStr">
        <is>
          <t>BẢO TRÂM</t>
        </is>
      </c>
      <c r="F104" s="2" t="inlineStr">
        <is>
          <t>Shopee</t>
        </is>
      </c>
      <c r="G104" s="2" t="inlineStr">
        <is>
          <t>KBY2-025CO</t>
        </is>
      </c>
      <c r="H104" s="3" t="inlineStr">
        <is>
          <t>Khoan inox KingBlue KBY2-025CO</t>
        </is>
      </c>
      <c r="I104" s="4" t="n">
        <v>8600</v>
      </c>
      <c r="J104" s="4" t="n"/>
      <c r="K104" s="4">
        <f>IF(AND(ISNUMBER(J104),ISNUMBER(I104)),J104-I104,"")</f>
        <v/>
      </c>
      <c r="L104" s="5">
        <f>IF(AND(ISNUMBER(J104),ISNUMBER(I104),I104&gt;0),(J104-I104)/I104,"")</f>
        <v/>
      </c>
      <c r="M104" s="2">
        <f>IF(L104="","",IF(L104&lt;-0.05,"Bán phá giá",IF(L104&gt;0.05,"Bán cao hơn","Đúng giá niêm yết")))</f>
        <v/>
      </c>
      <c r="N104" s="2" t="n"/>
      <c r="O104" s="3" t="n"/>
      <c r="P104" s="3" t="n"/>
    </row>
    <row r="105">
      <c r="A105" s="2" t="n">
        <v>104</v>
      </c>
      <c r="B105" s="2" t="inlineStr">
        <is>
          <t>KH001</t>
        </is>
      </c>
      <c r="C105" s="3" t="inlineStr">
        <is>
          <t>Điện nước Nhật (Shop) HCM</t>
        </is>
      </c>
      <c r="D105" s="2" t="inlineStr">
        <is>
          <t>HCM</t>
        </is>
      </c>
      <c r="E105" s="2" t="inlineStr">
        <is>
          <t>BẢO TRÂM</t>
        </is>
      </c>
      <c r="F105" s="2" t="inlineStr">
        <is>
          <t>Shopee</t>
        </is>
      </c>
      <c r="G105" s="2" t="inlineStr">
        <is>
          <t>KBY2-032CO</t>
        </is>
      </c>
      <c r="H105" s="3" t="inlineStr">
        <is>
          <t>Khoan inox KingBlue KBY2-032CO</t>
        </is>
      </c>
      <c r="I105" s="4" t="n">
        <v>10900</v>
      </c>
      <c r="J105" s="4" t="n"/>
      <c r="K105" s="4">
        <f>IF(AND(ISNUMBER(J105),ISNUMBER(I105)),J105-I105,"")</f>
        <v/>
      </c>
      <c r="L105" s="5">
        <f>IF(AND(ISNUMBER(J105),ISNUMBER(I105),I105&gt;0),(J105-I105)/I105,"")</f>
        <v/>
      </c>
      <c r="M105" s="2">
        <f>IF(L105="","",IF(L105&lt;-0.05,"Bán phá giá",IF(L105&gt;0.05,"Bán cao hơn","Đúng giá niêm yết")))</f>
        <v/>
      </c>
      <c r="N105" s="2" t="n"/>
      <c r="O105" s="3" t="n"/>
      <c r="P105" s="3" t="n"/>
    </row>
    <row r="106">
      <c r="A106" s="2" t="n">
        <v>105</v>
      </c>
      <c r="B106" s="2" t="inlineStr">
        <is>
          <t>KH001</t>
        </is>
      </c>
      <c r="C106" s="3" t="inlineStr">
        <is>
          <t>Điện nước Nhật (Shop) HCM</t>
        </is>
      </c>
      <c r="D106" s="2" t="inlineStr">
        <is>
          <t>HCM</t>
        </is>
      </c>
      <c r="E106" s="2" t="inlineStr">
        <is>
          <t>BẢO TRÂM</t>
        </is>
      </c>
      <c r="F106" s="2" t="inlineStr">
        <is>
          <t>Shopee</t>
        </is>
      </c>
      <c r="G106" s="2" t="inlineStr">
        <is>
          <t>KBY2-040CO</t>
        </is>
      </c>
      <c r="H106" s="3" t="inlineStr">
        <is>
          <t>Khoan inox KingBlue KBY2-040CO</t>
        </is>
      </c>
      <c r="I106" s="4" t="n">
        <v>15000</v>
      </c>
      <c r="J106" s="4" t="n"/>
      <c r="K106" s="4">
        <f>IF(AND(ISNUMBER(J106),ISNUMBER(I106)),J106-I106,"")</f>
        <v/>
      </c>
      <c r="L106" s="5">
        <f>IF(AND(ISNUMBER(J106),ISNUMBER(I106),I106&gt;0),(J106-I106)/I106,"")</f>
        <v/>
      </c>
      <c r="M106" s="2">
        <f>IF(L106="","",IF(L106&lt;-0.05,"Bán phá giá",IF(L106&gt;0.05,"Bán cao hơn","Đúng giá niêm yết")))</f>
        <v/>
      </c>
      <c r="N106" s="2" t="n"/>
      <c r="O106" s="3" t="n"/>
      <c r="P106" s="3" t="n"/>
    </row>
    <row r="107">
      <c r="A107" s="2" t="n">
        <v>106</v>
      </c>
      <c r="B107" s="2" t="inlineStr">
        <is>
          <t>KH001</t>
        </is>
      </c>
      <c r="C107" s="3" t="inlineStr">
        <is>
          <t>Điện nước Nhật (Shop) HCM</t>
        </is>
      </c>
      <c r="D107" s="2" t="inlineStr">
        <is>
          <t>HCM</t>
        </is>
      </c>
      <c r="E107" s="2" t="inlineStr">
        <is>
          <t>BẢO TRÂM</t>
        </is>
      </c>
      <c r="F107" s="2" t="inlineStr">
        <is>
          <t>Shopee</t>
        </is>
      </c>
      <c r="G107" s="2" t="inlineStr">
        <is>
          <t>KBY2-042CO</t>
        </is>
      </c>
      <c r="H107" s="3" t="inlineStr">
        <is>
          <t>Khoan inox KingBlue KBY2-042CO</t>
        </is>
      </c>
      <c r="I107" s="4" t="n">
        <v>17500</v>
      </c>
      <c r="J107" s="4" t="n"/>
      <c r="K107" s="4">
        <f>IF(AND(ISNUMBER(J107),ISNUMBER(I107)),J107-I107,"")</f>
        <v/>
      </c>
      <c r="L107" s="5">
        <f>IF(AND(ISNUMBER(J107),ISNUMBER(I107),I107&gt;0),(J107-I107)/I107,"")</f>
        <v/>
      </c>
      <c r="M107" s="2">
        <f>IF(L107="","",IF(L107&lt;-0.05,"Bán phá giá",IF(L107&gt;0.05,"Bán cao hơn","Đúng giá niêm yết")))</f>
        <v/>
      </c>
      <c r="N107" s="2" t="n"/>
      <c r="O107" s="3" t="n"/>
      <c r="P107" s="3" t="n"/>
    </row>
    <row r="108">
      <c r="A108" s="2" t="n">
        <v>107</v>
      </c>
      <c r="B108" s="2" t="inlineStr">
        <is>
          <t>KH001</t>
        </is>
      </c>
      <c r="C108" s="3" t="inlineStr">
        <is>
          <t>Điện nước Nhật (Shop) HCM</t>
        </is>
      </c>
      <c r="D108" s="2" t="inlineStr">
        <is>
          <t>HCM</t>
        </is>
      </c>
      <c r="E108" s="2" t="inlineStr">
        <is>
          <t>BẢO TRÂM</t>
        </is>
      </c>
      <c r="F108" s="2" t="inlineStr">
        <is>
          <t>Shopee</t>
        </is>
      </c>
      <c r="G108" s="2" t="inlineStr">
        <is>
          <t>KBY2-045CO</t>
        </is>
      </c>
      <c r="H108" s="3" t="inlineStr">
        <is>
          <t>Khoan inox KingBlue KBY2-045CO</t>
        </is>
      </c>
      <c r="I108" s="4" t="n">
        <v>19000</v>
      </c>
      <c r="J108" s="4" t="n"/>
      <c r="K108" s="4">
        <f>IF(AND(ISNUMBER(J108),ISNUMBER(I108)),J108-I108,"")</f>
        <v/>
      </c>
      <c r="L108" s="5">
        <f>IF(AND(ISNUMBER(J108),ISNUMBER(I108),I108&gt;0),(J108-I108)/I108,"")</f>
        <v/>
      </c>
      <c r="M108" s="2">
        <f>IF(L108="","",IF(L108&lt;-0.05,"Bán phá giá",IF(L108&gt;0.05,"Bán cao hơn","Đúng giá niêm yết")))</f>
        <v/>
      </c>
      <c r="N108" s="2" t="n"/>
      <c r="O108" s="3" t="n"/>
      <c r="P108" s="3" t="n"/>
    </row>
    <row r="109">
      <c r="A109" s="2" t="n">
        <v>108</v>
      </c>
      <c r="B109" s="2" t="inlineStr">
        <is>
          <t>KH001</t>
        </is>
      </c>
      <c r="C109" s="3" t="inlineStr">
        <is>
          <t>Điện nước Nhật (Shop) HCM</t>
        </is>
      </c>
      <c r="D109" s="2" t="inlineStr">
        <is>
          <t>HCM</t>
        </is>
      </c>
      <c r="E109" s="2" t="inlineStr">
        <is>
          <t>BẢO TRÂM</t>
        </is>
      </c>
      <c r="F109" s="2" t="inlineStr">
        <is>
          <t>Shopee</t>
        </is>
      </c>
      <c r="G109" s="2" t="inlineStr">
        <is>
          <t>KBY2-050CO</t>
        </is>
      </c>
      <c r="H109" s="3" t="inlineStr">
        <is>
          <t>Khoan inox KingBlue KBY2-050CO</t>
        </is>
      </c>
      <c r="I109" s="4" t="n">
        <v>23000</v>
      </c>
      <c r="J109" s="4" t="n"/>
      <c r="K109" s="4">
        <f>IF(AND(ISNUMBER(J109),ISNUMBER(I109)),J109-I109,"")</f>
        <v/>
      </c>
      <c r="L109" s="5">
        <f>IF(AND(ISNUMBER(J109),ISNUMBER(I109),I109&gt;0),(J109-I109)/I109,"")</f>
        <v/>
      </c>
      <c r="M109" s="2">
        <f>IF(L109="","",IF(L109&lt;-0.05,"Bán phá giá",IF(L109&gt;0.05,"Bán cao hơn","Đúng giá niêm yết")))</f>
        <v/>
      </c>
      <c r="N109" s="2" t="n"/>
      <c r="O109" s="3" t="n"/>
      <c r="P109" s="3" t="n"/>
    </row>
    <row r="110">
      <c r="A110" s="2" t="n">
        <v>109</v>
      </c>
      <c r="B110" s="2" t="inlineStr">
        <is>
          <t>KH001</t>
        </is>
      </c>
      <c r="C110" s="3" t="inlineStr">
        <is>
          <t>Điện nước Nhật (Shop) HCM</t>
        </is>
      </c>
      <c r="D110" s="2" t="inlineStr">
        <is>
          <t>HCM</t>
        </is>
      </c>
      <c r="E110" s="2" t="inlineStr">
        <is>
          <t>BẢO TRÂM</t>
        </is>
      </c>
      <c r="F110" s="2" t="inlineStr">
        <is>
          <t>Shopee</t>
        </is>
      </c>
      <c r="G110" s="2" t="inlineStr">
        <is>
          <t>KBY2-130CO</t>
        </is>
      </c>
      <c r="H110" s="3" t="inlineStr">
        <is>
          <t>Khoan inox KingBlue KBY2-130CO</t>
        </is>
      </c>
      <c r="I110" s="4" t="n">
        <v>158000</v>
      </c>
      <c r="J110" s="4" t="n"/>
      <c r="K110" s="4">
        <f>IF(AND(ISNUMBER(J110),ISNUMBER(I110)),J110-I110,"")</f>
        <v/>
      </c>
      <c r="L110" s="5">
        <f>IF(AND(ISNUMBER(J110),ISNUMBER(I110),I110&gt;0),(J110-I110)/I110,"")</f>
        <v/>
      </c>
      <c r="M110" s="2">
        <f>IF(L110="","",IF(L110&lt;-0.05,"Bán phá giá",IF(L110&gt;0.05,"Bán cao hơn","Đúng giá niêm yết")))</f>
        <v/>
      </c>
      <c r="N110" s="2" t="n"/>
      <c r="O110" s="3" t="n"/>
      <c r="P110" s="3" t="n"/>
    </row>
    <row r="111">
      <c r="A111" s="2" t="n">
        <v>110</v>
      </c>
      <c r="B111" s="2" t="inlineStr">
        <is>
          <t>KH001</t>
        </is>
      </c>
      <c r="C111" s="3" t="inlineStr">
        <is>
          <t>Điện nước Nhật (Shop) HCM</t>
        </is>
      </c>
      <c r="D111" s="2" t="inlineStr">
        <is>
          <t>HCM</t>
        </is>
      </c>
      <c r="E111" s="2" t="inlineStr">
        <is>
          <t>BẢO TRÂM</t>
        </is>
      </c>
      <c r="F111" s="2" t="inlineStr">
        <is>
          <t>Shopee</t>
        </is>
      </c>
      <c r="G111" s="2" t="inlineStr">
        <is>
          <t>E2-110X20</t>
        </is>
      </c>
      <c r="H111" s="3" t="inlineStr">
        <is>
          <t>Lưỡi cắt KingBlue E2-110X20</t>
        </is>
      </c>
      <c r="I111" s="4" t="n">
        <v>65000</v>
      </c>
      <c r="J111" s="4" t="n"/>
      <c r="K111" s="4">
        <f>IF(AND(ISNUMBER(J111),ISNUMBER(I111)),J111-I111,"")</f>
        <v/>
      </c>
      <c r="L111" s="5">
        <f>IF(AND(ISNUMBER(J111),ISNUMBER(I111),I111&gt;0),(J111-I111)/I111,"")</f>
        <v/>
      </c>
      <c r="M111" s="2">
        <f>IF(L111="","",IF(L111&lt;-0.05,"Bán phá giá",IF(L111&gt;0.05,"Bán cao hơn","Đúng giá niêm yết")))</f>
        <v/>
      </c>
      <c r="N111" s="2" t="n"/>
      <c r="O111" s="3" t="n"/>
      <c r="P111" s="3" t="n"/>
    </row>
    <row r="112">
      <c r="A112" s="2" t="n">
        <v>111</v>
      </c>
      <c r="B112" s="2" t="inlineStr">
        <is>
          <t>KH001</t>
        </is>
      </c>
      <c r="C112" s="3" t="inlineStr">
        <is>
          <t>Điện nước Nhật (Shop) HCM</t>
        </is>
      </c>
      <c r="D112" s="2" t="inlineStr">
        <is>
          <t>HCM</t>
        </is>
      </c>
      <c r="E112" s="2" t="inlineStr">
        <is>
          <t>BẢO TRÂM</t>
        </is>
      </c>
      <c r="F112" s="2" t="inlineStr">
        <is>
          <t>Shopee</t>
        </is>
      </c>
      <c r="G112" s="2" t="inlineStr">
        <is>
          <t>E3-105DN</t>
        </is>
      </c>
      <c r="H112" s="3" t="inlineStr">
        <is>
          <t>Lưỡi cắt KingBlue E3-105DN</t>
        </is>
      </c>
      <c r="I112" s="4" t="n">
        <v>90000</v>
      </c>
      <c r="J112" s="4" t="n"/>
      <c r="K112" s="4">
        <f>IF(AND(ISNUMBER(J112),ISNUMBER(I112)),J112-I112,"")</f>
        <v/>
      </c>
      <c r="L112" s="5">
        <f>IF(AND(ISNUMBER(J112),ISNUMBER(I112),I112&gt;0),(J112-I112)/I112,"")</f>
        <v/>
      </c>
      <c r="M112" s="2">
        <f>IF(L112="","",IF(L112&lt;-0.05,"Bán phá giá",IF(L112&gt;0.05,"Bán cao hơn","Đúng giá niêm yết")))</f>
        <v/>
      </c>
      <c r="N112" s="2" t="n"/>
      <c r="O112" s="3" t="n"/>
      <c r="P112" s="3" t="n"/>
    </row>
    <row r="113">
      <c r="A113" s="2" t="n">
        <v>112</v>
      </c>
      <c r="B113" s="2" t="inlineStr">
        <is>
          <t>KH001</t>
        </is>
      </c>
      <c r="C113" s="3" t="inlineStr">
        <is>
          <t>Điện nước Nhật (Shop) HCM</t>
        </is>
      </c>
      <c r="D113" s="2" t="inlineStr">
        <is>
          <t>HCM</t>
        </is>
      </c>
      <c r="E113" s="2" t="inlineStr">
        <is>
          <t>BẢO TRÂM</t>
        </is>
      </c>
      <c r="F113" s="2" t="inlineStr">
        <is>
          <t>Shopee</t>
        </is>
      </c>
      <c r="G113" s="2" t="inlineStr">
        <is>
          <t>E3-125DN</t>
        </is>
      </c>
      <c r="H113" s="3" t="inlineStr">
        <is>
          <t>Lưỡi cắt KingBlue E3-125DN</t>
        </is>
      </c>
      <c r="I113" s="4" t="n">
        <v>112000</v>
      </c>
      <c r="J113" s="4" t="n"/>
      <c r="K113" s="4">
        <f>IF(AND(ISNUMBER(J113),ISNUMBER(I113)),J113-I113,"")</f>
        <v/>
      </c>
      <c r="L113" s="5">
        <f>IF(AND(ISNUMBER(J113),ISNUMBER(I113),I113&gt;0),(J113-I113)/I113,"")</f>
        <v/>
      </c>
      <c r="M113" s="2">
        <f>IF(L113="","",IF(L113&lt;-0.05,"Bán phá giá",IF(L113&gt;0.05,"Bán cao hơn","Đúng giá niêm yết")))</f>
        <v/>
      </c>
      <c r="N113" s="2" t="n"/>
      <c r="O113" s="3" t="n"/>
      <c r="P113" s="3" t="n"/>
    </row>
    <row r="114">
      <c r="A114" s="2" t="n">
        <v>113</v>
      </c>
      <c r="B114" s="2" t="inlineStr">
        <is>
          <t>KH001</t>
        </is>
      </c>
      <c r="C114" s="3" t="inlineStr">
        <is>
          <t>Điện nước Nhật (Shop) HCM</t>
        </is>
      </c>
      <c r="D114" s="2" t="inlineStr">
        <is>
          <t>HCM</t>
        </is>
      </c>
      <c r="E114" s="2" t="inlineStr">
        <is>
          <t>BẢO TRÂM</t>
        </is>
      </c>
      <c r="F114" s="2" t="inlineStr">
        <is>
          <t>Shopee</t>
        </is>
      </c>
      <c r="G114" s="2" t="inlineStr">
        <is>
          <t>F1</t>
        </is>
      </c>
      <c r="H114" s="3" t="inlineStr">
        <is>
          <t>Lưỡi cắt Kingblue F1 110DN (vàng)</t>
        </is>
      </c>
      <c r="I114" s="4" t="n">
        <v>123000</v>
      </c>
      <c r="J114" s="4" t="n"/>
      <c r="K114" s="4">
        <f>IF(AND(ISNUMBER(J114),ISNUMBER(I114)),J114-I114,"")</f>
        <v/>
      </c>
      <c r="L114" s="5">
        <f>IF(AND(ISNUMBER(J114),ISNUMBER(I114),I114&gt;0),(J114-I114)/I114,"")</f>
        <v/>
      </c>
      <c r="M114" s="2">
        <f>IF(L114="","",IF(L114&lt;-0.05,"Bán phá giá",IF(L114&gt;0.05,"Bán cao hơn","Đúng giá niêm yết")))</f>
        <v/>
      </c>
      <c r="N114" s="2" t="n"/>
      <c r="O114" s="3" t="n"/>
      <c r="P114" s="3" t="n"/>
    </row>
    <row r="115">
      <c r="A115" s="2" t="n">
        <v>114</v>
      </c>
      <c r="B115" s="2" t="inlineStr">
        <is>
          <t>KH001</t>
        </is>
      </c>
      <c r="C115" s="3" t="inlineStr">
        <is>
          <t>Điện nước Nhật (Shop) HCM</t>
        </is>
      </c>
      <c r="D115" s="2" t="inlineStr">
        <is>
          <t>HCM</t>
        </is>
      </c>
      <c r="E115" s="2" t="inlineStr">
        <is>
          <t>BẢO TRÂM</t>
        </is>
      </c>
      <c r="F115" s="2" t="inlineStr">
        <is>
          <t>Shopee</t>
        </is>
      </c>
      <c r="G115" s="2" t="inlineStr">
        <is>
          <t>F1-125DN</t>
        </is>
      </c>
      <c r="H115" s="3" t="inlineStr">
        <is>
          <t>Lưỡi cắt KingBlue F1-125DN (Vàng)</t>
        </is>
      </c>
      <c r="I115" s="4" t="n">
        <v>102000</v>
      </c>
      <c r="J115" s="4" t="n"/>
      <c r="K115" s="4">
        <f>IF(AND(ISNUMBER(J115),ISNUMBER(I115)),J115-I115,"")</f>
        <v/>
      </c>
      <c r="L115" s="5">
        <f>IF(AND(ISNUMBER(J115),ISNUMBER(I115),I115&gt;0),(J115-I115)/I115,"")</f>
        <v/>
      </c>
      <c r="M115" s="2">
        <f>IF(L115="","",IF(L115&lt;-0.05,"Bán phá giá",IF(L115&gt;0.05,"Bán cao hơn","Đúng giá niêm yết")))</f>
        <v/>
      </c>
      <c r="N115" s="2" t="n"/>
      <c r="O115" s="3" t="n"/>
      <c r="P115" s="3" t="n"/>
    </row>
    <row r="116">
      <c r="A116" s="2" t="n">
        <v>115</v>
      </c>
      <c r="B116" s="2" t="inlineStr">
        <is>
          <t>KH001</t>
        </is>
      </c>
      <c r="C116" s="3" t="inlineStr">
        <is>
          <t>Điện nước Nhật (Shop) HCM</t>
        </is>
      </c>
      <c r="D116" s="2" t="inlineStr">
        <is>
          <t>HCM</t>
        </is>
      </c>
      <c r="E116" s="2" t="inlineStr">
        <is>
          <t>BẢO TRÂM</t>
        </is>
      </c>
      <c r="F116" s="2" t="inlineStr">
        <is>
          <t>Shopee</t>
        </is>
      </c>
      <c r="G116" s="2" t="inlineStr">
        <is>
          <t>S1-105DN</t>
        </is>
      </c>
      <c r="H116" s="3" t="inlineStr">
        <is>
          <t>Lưỡi cắt KingBlue S1-105DN</t>
        </is>
      </c>
      <c r="I116" s="4" t="n">
        <v>80000</v>
      </c>
      <c r="J116" s="4" t="n"/>
      <c r="K116" s="4">
        <f>IF(AND(ISNUMBER(J116),ISNUMBER(I116)),J116-I116,"")</f>
        <v/>
      </c>
      <c r="L116" s="5">
        <f>IF(AND(ISNUMBER(J116),ISNUMBER(I116),I116&gt;0),(J116-I116)/I116,"")</f>
        <v/>
      </c>
      <c r="M116" s="2">
        <f>IF(L116="","",IF(L116&lt;-0.05,"Bán phá giá",IF(L116&gt;0.05,"Bán cao hơn","Đúng giá niêm yết")))</f>
        <v/>
      </c>
      <c r="N116" s="2" t="n"/>
      <c r="O116" s="3" t="n"/>
      <c r="P116" s="3" t="n"/>
    </row>
    <row r="117">
      <c r="A117" s="2" t="n">
        <v>116</v>
      </c>
      <c r="B117" s="2" t="inlineStr">
        <is>
          <t>KH001</t>
        </is>
      </c>
      <c r="C117" s="3" t="inlineStr">
        <is>
          <t>Điện nước Nhật (Shop) HCM</t>
        </is>
      </c>
      <c r="D117" s="2" t="inlineStr">
        <is>
          <t>HCM</t>
        </is>
      </c>
      <c r="E117" s="2" t="inlineStr">
        <is>
          <t>BẢO TRÂM</t>
        </is>
      </c>
      <c r="F117" s="2" t="inlineStr">
        <is>
          <t>Shopee</t>
        </is>
      </c>
      <c r="G117" s="2" t="inlineStr">
        <is>
          <t>S1-125DN</t>
        </is>
      </c>
      <c r="H117" s="3" t="inlineStr">
        <is>
          <t>Lưỡi cắt KingBlue S1-125DN</t>
        </is>
      </c>
      <c r="I117" s="4" t="n">
        <v>107000</v>
      </c>
      <c r="J117" s="4" t="n"/>
      <c r="K117" s="4">
        <f>IF(AND(ISNUMBER(J117),ISNUMBER(I117)),J117-I117,"")</f>
        <v/>
      </c>
      <c r="L117" s="5">
        <f>IF(AND(ISNUMBER(J117),ISNUMBER(I117),I117&gt;0),(J117-I117)/I117,"")</f>
        <v/>
      </c>
      <c r="M117" s="2">
        <f>IF(L117="","",IF(L117&lt;-0.05,"Bán phá giá",IF(L117&gt;0.05,"Bán cao hơn","Đúng giá niêm yết")))</f>
        <v/>
      </c>
      <c r="N117" s="2" t="n"/>
      <c r="O117" s="3" t="n"/>
      <c r="P117" s="3" t="n"/>
    </row>
    <row r="118">
      <c r="A118" s="2" t="n">
        <v>117</v>
      </c>
      <c r="B118" s="2" t="inlineStr">
        <is>
          <t>KH001</t>
        </is>
      </c>
      <c r="C118" s="3" t="inlineStr">
        <is>
          <t>Điện nước Nhật (Shop) HCM</t>
        </is>
      </c>
      <c r="D118" s="2" t="inlineStr">
        <is>
          <t>HCM</t>
        </is>
      </c>
      <c r="E118" s="2" t="inlineStr">
        <is>
          <t>BẢO TRÂM</t>
        </is>
      </c>
      <c r="F118" s="2" t="inlineStr">
        <is>
          <t>Shopee</t>
        </is>
      </c>
      <c r="G118" s="2" t="inlineStr">
        <is>
          <t>TS-114R</t>
        </is>
      </c>
      <c r="H118" s="3" t="inlineStr">
        <is>
          <t>Lưỡi cắt KingBlue TS-114R</t>
        </is>
      </c>
      <c r="I118" s="4" t="n">
        <v>63000</v>
      </c>
      <c r="J118" s="4" t="n"/>
      <c r="K118" s="4">
        <f>IF(AND(ISNUMBER(J118),ISNUMBER(I118)),J118-I118,"")</f>
        <v/>
      </c>
      <c r="L118" s="5">
        <f>IF(AND(ISNUMBER(J118),ISNUMBER(I118),I118&gt;0),(J118-I118)/I118,"")</f>
        <v/>
      </c>
      <c r="M118" s="2">
        <f>IF(L118="","",IF(L118&lt;-0.05,"Bán phá giá",IF(L118&gt;0.05,"Bán cao hơn","Đúng giá niêm yết")))</f>
        <v/>
      </c>
      <c r="N118" s="2" t="n"/>
      <c r="O118" s="3" t="n"/>
      <c r="P118" s="3" t="n"/>
    </row>
    <row r="119">
      <c r="A119" s="2" t="n">
        <v>118</v>
      </c>
      <c r="B119" s="2" t="inlineStr">
        <is>
          <t>KH001</t>
        </is>
      </c>
      <c r="C119" s="3" t="inlineStr">
        <is>
          <t>Điện nước Nhật (Shop) HCM</t>
        </is>
      </c>
      <c r="D119" s="2" t="inlineStr">
        <is>
          <t>HCM</t>
        </is>
      </c>
      <c r="E119" s="2" t="inlineStr">
        <is>
          <t>BẢO TRÂM</t>
        </is>
      </c>
      <c r="F119" s="2" t="inlineStr">
        <is>
          <t>Shopee</t>
        </is>
      </c>
      <c r="G119" s="2" t="inlineStr">
        <is>
          <t>JH-06</t>
        </is>
      </c>
      <c r="H119" s="3" t="inlineStr">
        <is>
          <t>Lưỡi dao rọc cáp đa năng JH-06</t>
        </is>
      </c>
      <c r="I119" s="4" t="n">
        <v>400000</v>
      </c>
      <c r="J119" s="4" t="n"/>
      <c r="K119" s="4">
        <f>IF(AND(ISNUMBER(J119),ISNUMBER(I119)),J119-I119,"")</f>
        <v/>
      </c>
      <c r="L119" s="5">
        <f>IF(AND(ISNUMBER(J119),ISNUMBER(I119),I119&gt;0),(J119-I119)/I119,"")</f>
        <v/>
      </c>
      <c r="M119" s="2">
        <f>IF(L119="","",IF(L119&lt;-0.05,"Bán phá giá",IF(L119&gt;0.05,"Bán cao hơn","Đúng giá niêm yết")))</f>
        <v/>
      </c>
      <c r="N119" s="2" t="n"/>
      <c r="O119" s="3" t="n"/>
      <c r="P119" s="3" t="n"/>
    </row>
    <row r="120">
      <c r="A120" s="2" t="n">
        <v>119</v>
      </c>
      <c r="B120" s="2" t="inlineStr">
        <is>
          <t>KH001</t>
        </is>
      </c>
      <c r="C120" s="3" t="inlineStr">
        <is>
          <t>Điện nước Nhật (Shop) HCM</t>
        </is>
      </c>
      <c r="D120" s="2" t="inlineStr">
        <is>
          <t>HCM</t>
        </is>
      </c>
      <c r="E120" s="2" t="inlineStr">
        <is>
          <t>BẢO TRÂM</t>
        </is>
      </c>
      <c r="F120" s="2" t="inlineStr">
        <is>
          <t>Shopee</t>
        </is>
      </c>
      <c r="G120" s="2" t="inlineStr">
        <is>
          <t>KUC60</t>
        </is>
      </c>
      <c r="H120" s="3" t="inlineStr">
        <is>
          <t>Mỏ hàn thiếc KUC60</t>
        </is>
      </c>
      <c r="I120" s="4" t="n">
        <v>172000</v>
      </c>
      <c r="J120" s="4" t="n"/>
      <c r="K120" s="4">
        <f>IF(AND(ISNUMBER(J120),ISNUMBER(I120)),J120-I120,"")</f>
        <v/>
      </c>
      <c r="L120" s="5">
        <f>IF(AND(ISNUMBER(J120),ISNUMBER(I120),I120&gt;0),(J120-I120)/I120,"")</f>
        <v/>
      </c>
      <c r="M120" s="2">
        <f>IF(L120="","",IF(L120&lt;-0.05,"Bán phá giá",IF(L120&gt;0.05,"Bán cao hơn","Đúng giá niêm yết")))</f>
        <v/>
      </c>
      <c r="N120" s="2" t="n"/>
      <c r="O120" s="3" t="n"/>
      <c r="P120" s="3" t="n"/>
    </row>
    <row r="121">
      <c r="A121" s="2" t="n">
        <v>120</v>
      </c>
      <c r="B121" s="2" t="inlineStr">
        <is>
          <t>KH001</t>
        </is>
      </c>
      <c r="C121" s="3" t="inlineStr">
        <is>
          <t>Điện nước Nhật (Shop) HCM</t>
        </is>
      </c>
      <c r="D121" s="2" t="inlineStr">
        <is>
          <t>HCM</t>
        </is>
      </c>
      <c r="E121" s="2" t="inlineStr">
        <is>
          <t>BẢO TRÂM</t>
        </is>
      </c>
      <c r="F121" s="2" t="inlineStr">
        <is>
          <t>Shopee</t>
        </is>
      </c>
      <c r="G121" s="2" t="inlineStr">
        <is>
          <t>KD3</t>
        </is>
      </c>
      <c r="H121" s="3" t="inlineStr">
        <is>
          <t>Mỏ lết đa năng cán bọc KD3 200</t>
        </is>
      </c>
      <c r="I121" s="4" t="n">
        <v>135000</v>
      </c>
      <c r="J121" s="4" t="n"/>
      <c r="K121" s="4">
        <f>IF(AND(ISNUMBER(J121),ISNUMBER(I121)),J121-I121,"")</f>
        <v/>
      </c>
      <c r="L121" s="5">
        <f>IF(AND(ISNUMBER(J121),ISNUMBER(I121),I121&gt;0),(J121-I121)/I121,"")</f>
        <v/>
      </c>
      <c r="M121" s="2">
        <f>IF(L121="","",IF(L121&lt;-0.05,"Bán phá giá",IF(L121&gt;0.05,"Bán cao hơn","Đúng giá niêm yết")))</f>
        <v/>
      </c>
      <c r="N121" s="2" t="n"/>
      <c r="O121" s="3" t="n"/>
      <c r="P121" s="3" t="n"/>
    </row>
    <row r="122">
      <c r="A122" s="2" t="n">
        <v>121</v>
      </c>
      <c r="B122" s="2" t="inlineStr">
        <is>
          <t>KH001</t>
        </is>
      </c>
      <c r="C122" s="3" t="inlineStr">
        <is>
          <t>Điện nước Nhật (Shop) HCM</t>
        </is>
      </c>
      <c r="D122" s="2" t="inlineStr">
        <is>
          <t>HCM</t>
        </is>
      </c>
      <c r="E122" s="2" t="inlineStr">
        <is>
          <t>BẢO TRÂM</t>
        </is>
      </c>
      <c r="F122" s="2" t="inlineStr">
        <is>
          <t>Shopee</t>
        </is>
      </c>
      <c r="G122" s="2" t="inlineStr">
        <is>
          <t>KD3</t>
        </is>
      </c>
      <c r="H122" s="3" t="inlineStr">
        <is>
          <t>Mỏ lết đa năng cán bọc KD3 250</t>
        </is>
      </c>
      <c r="I122" s="4" t="n">
        <v>204000</v>
      </c>
      <c r="J122" s="4" t="n"/>
      <c r="K122" s="4">
        <f>IF(AND(ISNUMBER(J122),ISNUMBER(I122)),J122-I122,"")</f>
        <v/>
      </c>
      <c r="L122" s="5">
        <f>IF(AND(ISNUMBER(J122),ISNUMBER(I122),I122&gt;0),(J122-I122)/I122,"")</f>
        <v/>
      </c>
      <c r="M122" s="2">
        <f>IF(L122="","",IF(L122&lt;-0.05,"Bán phá giá",IF(L122&gt;0.05,"Bán cao hơn","Đúng giá niêm yết")))</f>
        <v/>
      </c>
      <c r="N122" s="2" t="n"/>
      <c r="O122" s="3" t="n"/>
      <c r="P122" s="3" t="n"/>
    </row>
    <row r="123">
      <c r="A123" s="2" t="n">
        <v>122</v>
      </c>
      <c r="B123" s="2" t="inlineStr">
        <is>
          <t>KH001</t>
        </is>
      </c>
      <c r="C123" s="3" t="inlineStr">
        <is>
          <t>Điện nước Nhật (Shop) HCM</t>
        </is>
      </c>
      <c r="D123" s="2" t="inlineStr">
        <is>
          <t>HCM</t>
        </is>
      </c>
      <c r="E123" s="2" t="inlineStr">
        <is>
          <t>BẢO TRÂM</t>
        </is>
      </c>
      <c r="F123" s="2" t="inlineStr">
        <is>
          <t>Shopee</t>
        </is>
      </c>
      <c r="G123" s="2" t="inlineStr">
        <is>
          <t>KD3</t>
        </is>
      </c>
      <c r="H123" s="3" t="inlineStr">
        <is>
          <t>Mỏ lết đa năng cán bọc KD3 300</t>
        </is>
      </c>
      <c r="I123" s="4" t="n">
        <v>254000</v>
      </c>
      <c r="J123" s="4" t="n"/>
      <c r="K123" s="4">
        <f>IF(AND(ISNUMBER(J123),ISNUMBER(I123)),J123-I123,"")</f>
        <v/>
      </c>
      <c r="L123" s="5">
        <f>IF(AND(ISNUMBER(J123),ISNUMBER(I123),I123&gt;0),(J123-I123)/I123,"")</f>
        <v/>
      </c>
      <c r="M123" s="2">
        <f>IF(L123="","",IF(L123&lt;-0.05,"Bán phá giá",IF(L123&gt;0.05,"Bán cao hơn","Đúng giá niêm yết")))</f>
        <v/>
      </c>
      <c r="N123" s="2" t="n"/>
      <c r="O123" s="3" t="n"/>
      <c r="P123" s="3" t="n"/>
    </row>
    <row r="124">
      <c r="A124" s="2" t="n">
        <v>123</v>
      </c>
      <c r="B124" s="2" t="inlineStr">
        <is>
          <t>KH001</t>
        </is>
      </c>
      <c r="C124" s="3" t="inlineStr">
        <is>
          <t>Điện nước Nhật (Shop) HCM</t>
        </is>
      </c>
      <c r="D124" s="2" t="inlineStr">
        <is>
          <t>HCM</t>
        </is>
      </c>
      <c r="E124" s="2" t="inlineStr">
        <is>
          <t>BẢO TRÂM</t>
        </is>
      </c>
      <c r="F124" s="2" t="inlineStr">
        <is>
          <t>Shopee</t>
        </is>
      </c>
      <c r="G124" s="2" t="inlineStr">
        <is>
          <t>KD5-150</t>
        </is>
      </c>
      <c r="H124" s="3" t="inlineStr">
        <is>
          <t>Mỏ lết KD5-150</t>
        </is>
      </c>
      <c r="I124" s="4" t="n">
        <v>186000</v>
      </c>
      <c r="J124" s="4" t="n"/>
      <c r="K124" s="4">
        <f>IF(AND(ISNUMBER(J124),ISNUMBER(I124)),J124-I124,"")</f>
        <v/>
      </c>
      <c r="L124" s="5">
        <f>IF(AND(ISNUMBER(J124),ISNUMBER(I124),I124&gt;0),(J124-I124)/I124,"")</f>
        <v/>
      </c>
      <c r="M124" s="2">
        <f>IF(L124="","",IF(L124&lt;-0.05,"Bán phá giá",IF(L124&gt;0.05,"Bán cao hơn","Đúng giá niêm yết")))</f>
        <v/>
      </c>
      <c r="N124" s="2" t="n"/>
      <c r="O124" s="3" t="n"/>
      <c r="P124" s="3" t="n"/>
    </row>
    <row r="125">
      <c r="A125" s="2" t="n">
        <v>124</v>
      </c>
      <c r="B125" s="2" t="inlineStr">
        <is>
          <t>KH001</t>
        </is>
      </c>
      <c r="C125" s="3" t="inlineStr">
        <is>
          <t>Điện nước Nhật (Shop) HCM</t>
        </is>
      </c>
      <c r="D125" s="2" t="inlineStr">
        <is>
          <t>HCM</t>
        </is>
      </c>
      <c r="E125" s="2" t="inlineStr">
        <is>
          <t>BẢO TRÂM</t>
        </is>
      </c>
      <c r="F125" s="2" t="inlineStr">
        <is>
          <t>Shopee</t>
        </is>
      </c>
      <c r="G125" s="2" t="inlineStr">
        <is>
          <t>KD5-200</t>
        </is>
      </c>
      <c r="H125" s="3" t="inlineStr">
        <is>
          <t>Mỏ lết KD5-200</t>
        </is>
      </c>
      <c r="I125" s="4" t="n">
        <v>241000</v>
      </c>
      <c r="J125" s="4" t="n"/>
      <c r="K125" s="4">
        <f>IF(AND(ISNUMBER(J125),ISNUMBER(I125)),J125-I125,"")</f>
        <v/>
      </c>
      <c r="L125" s="5">
        <f>IF(AND(ISNUMBER(J125),ISNUMBER(I125),I125&gt;0),(J125-I125)/I125,"")</f>
        <v/>
      </c>
      <c r="M125" s="2">
        <f>IF(L125="","",IF(L125&lt;-0.05,"Bán phá giá",IF(L125&gt;0.05,"Bán cao hơn","Đúng giá niêm yết")))</f>
        <v/>
      </c>
      <c r="N125" s="2" t="n"/>
      <c r="O125" s="3" t="n"/>
      <c r="P125" s="3" t="n"/>
    </row>
    <row r="126">
      <c r="A126" s="2" t="n">
        <v>125</v>
      </c>
      <c r="B126" s="2" t="inlineStr">
        <is>
          <t>KH001</t>
        </is>
      </c>
      <c r="C126" s="3" t="inlineStr">
        <is>
          <t>Điện nước Nhật (Shop) HCM</t>
        </is>
      </c>
      <c r="D126" s="2" t="inlineStr">
        <is>
          <t>HCM</t>
        </is>
      </c>
      <c r="E126" s="2" t="inlineStr">
        <is>
          <t>BẢO TRÂM</t>
        </is>
      </c>
      <c r="F126" s="2" t="inlineStr">
        <is>
          <t>Shopee</t>
        </is>
      </c>
      <c r="G126" s="2" t="inlineStr">
        <is>
          <t>KD5-250</t>
        </is>
      </c>
      <c r="H126" s="3" t="inlineStr">
        <is>
          <t>Mỏ lết KD5-250</t>
        </is>
      </c>
      <c r="I126" s="4" t="n">
        <v>364000</v>
      </c>
      <c r="J126" s="4" t="n"/>
      <c r="K126" s="4">
        <f>IF(AND(ISNUMBER(J126),ISNUMBER(I126)),J126-I126,"")</f>
        <v/>
      </c>
      <c r="L126" s="5">
        <f>IF(AND(ISNUMBER(J126),ISNUMBER(I126),I126&gt;0),(J126-I126)/I126,"")</f>
        <v/>
      </c>
      <c r="M126" s="2">
        <f>IF(L126="","",IF(L126&lt;-0.05,"Bán phá giá",IF(L126&gt;0.05,"Bán cao hơn","Đúng giá niêm yết")))</f>
        <v/>
      </c>
      <c r="N126" s="2" t="n"/>
      <c r="O126" s="3" t="n"/>
      <c r="P126" s="3" t="n"/>
    </row>
    <row r="127">
      <c r="A127" s="2" t="n">
        <v>126</v>
      </c>
      <c r="B127" s="2" t="inlineStr">
        <is>
          <t>KH001</t>
        </is>
      </c>
      <c r="C127" s="3" t="inlineStr">
        <is>
          <t>Điện nước Nhật (Shop) HCM</t>
        </is>
      </c>
      <c r="D127" s="2" t="inlineStr">
        <is>
          <t>HCM</t>
        </is>
      </c>
      <c r="E127" s="2" t="inlineStr">
        <is>
          <t>BẢO TRÂM</t>
        </is>
      </c>
      <c r="F127" s="2" t="inlineStr">
        <is>
          <t>Shopee</t>
        </is>
      </c>
      <c r="G127" s="2" t="inlineStr">
        <is>
          <t>V100R</t>
        </is>
      </c>
      <c r="H127" s="3" t="inlineStr">
        <is>
          <t>Mũi bắn vít chống trượt KingBlue V100R</t>
        </is>
      </c>
      <c r="I127" s="4" t="n">
        <v>42000</v>
      </c>
      <c r="J127" s="4" t="n"/>
      <c r="K127" s="4">
        <f>IF(AND(ISNUMBER(J127),ISNUMBER(I127)),J127-I127,"")</f>
        <v/>
      </c>
      <c r="L127" s="5">
        <f>IF(AND(ISNUMBER(J127),ISNUMBER(I127),I127&gt;0),(J127-I127)/I127,"")</f>
        <v/>
      </c>
      <c r="M127" s="2">
        <f>IF(L127="","",IF(L127&lt;-0.05,"Bán phá giá",IF(L127&gt;0.05,"Bán cao hơn","Đúng giá niêm yết")))</f>
        <v/>
      </c>
      <c r="N127" s="2" t="n"/>
      <c r="O127" s="3" t="n"/>
      <c r="P127" s="3" t="n"/>
    </row>
    <row r="128">
      <c r="A128" s="2" t="n">
        <v>127</v>
      </c>
      <c r="B128" s="2" t="inlineStr">
        <is>
          <t>KH001</t>
        </is>
      </c>
      <c r="C128" s="3" t="inlineStr">
        <is>
          <t>Điện nước Nhật (Shop) HCM</t>
        </is>
      </c>
      <c r="D128" s="2" t="inlineStr">
        <is>
          <t>HCM</t>
        </is>
      </c>
      <c r="E128" s="2" t="inlineStr">
        <is>
          <t>BẢO TRÂM</t>
        </is>
      </c>
      <c r="F128" s="2" t="inlineStr">
        <is>
          <t>Shopee</t>
        </is>
      </c>
      <c r="G128" s="2" t="inlineStr">
        <is>
          <t>V150R</t>
        </is>
      </c>
      <c r="H128" s="3" t="inlineStr">
        <is>
          <t>Mũi bắn vít chống trượt KingBlue V150R</t>
        </is>
      </c>
      <c r="I128" s="4" t="n">
        <v>40000</v>
      </c>
      <c r="J128" s="4" t="n"/>
      <c r="K128" s="4">
        <f>IF(AND(ISNUMBER(J128),ISNUMBER(I128)),J128-I128,"")</f>
        <v/>
      </c>
      <c r="L128" s="5">
        <f>IF(AND(ISNUMBER(J128),ISNUMBER(I128),I128&gt;0),(J128-I128)/I128,"")</f>
        <v/>
      </c>
      <c r="M128" s="2">
        <f>IF(L128="","",IF(L128&lt;-0.05,"Bán phá giá",IF(L128&gt;0.05,"Bán cao hơn","Đúng giá niêm yết")))</f>
        <v/>
      </c>
      <c r="N128" s="2" t="n"/>
      <c r="O128" s="3" t="n"/>
      <c r="P128" s="3" t="n"/>
    </row>
    <row r="129">
      <c r="A129" s="2" t="n">
        <v>128</v>
      </c>
      <c r="B129" s="2" t="inlineStr">
        <is>
          <t>KH001</t>
        </is>
      </c>
      <c r="C129" s="3" t="inlineStr">
        <is>
          <t>Điện nước Nhật (Shop) HCM</t>
        </is>
      </c>
      <c r="D129" s="2" t="inlineStr">
        <is>
          <t>HCM</t>
        </is>
      </c>
      <c r="E129" s="2" t="inlineStr">
        <is>
          <t>BẢO TRÂM</t>
        </is>
      </c>
      <c r="F129" s="2" t="inlineStr">
        <is>
          <t>Shopee</t>
        </is>
      </c>
      <c r="G129" s="2" t="inlineStr">
        <is>
          <t>V65R</t>
        </is>
      </c>
      <c r="H129" s="3" t="inlineStr">
        <is>
          <t>Mũi bắn vít chống trượt KingBlue V65R</t>
        </is>
      </c>
      <c r="I129" s="4" t="n">
        <v>31000</v>
      </c>
      <c r="J129" s="4" t="n"/>
      <c r="K129" s="4">
        <f>IF(AND(ISNUMBER(J129),ISNUMBER(I129)),J129-I129,"")</f>
        <v/>
      </c>
      <c r="L129" s="5">
        <f>IF(AND(ISNUMBER(J129),ISNUMBER(I129),I129&gt;0),(J129-I129)/I129,"")</f>
        <v/>
      </c>
      <c r="M129" s="2">
        <f>IF(L129="","",IF(L129&lt;-0.05,"Bán phá giá",IF(L129&gt;0.05,"Bán cao hơn","Đúng giá niêm yết")))</f>
        <v/>
      </c>
      <c r="N129" s="2" t="n"/>
      <c r="O129" s="3" t="n"/>
      <c r="P129" s="3" t="n"/>
    </row>
    <row r="130">
      <c r="A130" s="2" t="n">
        <v>129</v>
      </c>
      <c r="B130" s="2" t="inlineStr">
        <is>
          <t>KH001</t>
        </is>
      </c>
      <c r="C130" s="3" t="inlineStr">
        <is>
          <t>Điện nước Nhật (Shop) HCM</t>
        </is>
      </c>
      <c r="D130" s="2" t="inlineStr">
        <is>
          <t>HCM</t>
        </is>
      </c>
      <c r="E130" s="2" t="inlineStr">
        <is>
          <t>BẢO TRÂM</t>
        </is>
      </c>
      <c r="F130" s="2" t="inlineStr">
        <is>
          <t>Shopee</t>
        </is>
      </c>
      <c r="G130" s="2" t="inlineStr">
        <is>
          <t>V100S</t>
        </is>
      </c>
      <c r="H130" s="3" t="inlineStr">
        <is>
          <t>Mũi bắn vít PH2 V100S</t>
        </is>
      </c>
      <c r="I130" s="4" t="n">
        <v>69000</v>
      </c>
      <c r="J130" s="4" t="n"/>
      <c r="K130" s="4">
        <f>IF(AND(ISNUMBER(J130),ISNUMBER(I130)),J130-I130,"")</f>
        <v/>
      </c>
      <c r="L130" s="5">
        <f>IF(AND(ISNUMBER(J130),ISNUMBER(I130),I130&gt;0),(J130-I130)/I130,"")</f>
        <v/>
      </c>
      <c r="M130" s="2">
        <f>IF(L130="","",IF(L130&lt;-0.05,"Bán phá giá",IF(L130&gt;0.05,"Bán cao hơn","Đúng giá niêm yết")))</f>
        <v/>
      </c>
      <c r="N130" s="2" t="n"/>
      <c r="O130" s="3" t="n"/>
      <c r="P130" s="3" t="n"/>
    </row>
    <row r="131">
      <c r="A131" s="2" t="n">
        <v>130</v>
      </c>
      <c r="B131" s="2" t="inlineStr">
        <is>
          <t>KH001</t>
        </is>
      </c>
      <c r="C131" s="3" t="inlineStr">
        <is>
          <t>Điện nước Nhật (Shop) HCM</t>
        </is>
      </c>
      <c r="D131" s="2" t="inlineStr">
        <is>
          <t>HCM</t>
        </is>
      </c>
      <c r="E131" s="2" t="inlineStr">
        <is>
          <t>BẢO TRÂM</t>
        </is>
      </c>
      <c r="F131" s="2" t="inlineStr">
        <is>
          <t>Shopee</t>
        </is>
      </c>
      <c r="G131" s="2" t="inlineStr">
        <is>
          <t>V150S</t>
        </is>
      </c>
      <c r="H131" s="3" t="inlineStr">
        <is>
          <t>Mũi bắn vít PH2 V150S</t>
        </is>
      </c>
      <c r="I131" s="4" t="n">
        <v>39500</v>
      </c>
      <c r="J131" s="4" t="n"/>
      <c r="K131" s="4">
        <f>IF(AND(ISNUMBER(J131),ISNUMBER(I131)),J131-I131,"")</f>
        <v/>
      </c>
      <c r="L131" s="5">
        <f>IF(AND(ISNUMBER(J131),ISNUMBER(I131),I131&gt;0),(J131-I131)/I131,"")</f>
        <v/>
      </c>
      <c r="M131" s="2">
        <f>IF(L131="","",IF(L131&lt;-0.05,"Bán phá giá",IF(L131&gt;0.05,"Bán cao hơn","Đúng giá niêm yết")))</f>
        <v/>
      </c>
      <c r="N131" s="2" t="n"/>
      <c r="O131" s="3" t="n"/>
      <c r="P131" s="3" t="n"/>
    </row>
    <row r="132">
      <c r="A132" s="2" t="n">
        <v>131</v>
      </c>
      <c r="B132" s="2" t="inlineStr">
        <is>
          <t>KH001</t>
        </is>
      </c>
      <c r="C132" s="3" t="inlineStr">
        <is>
          <t>Điện nước Nhật (Shop) HCM</t>
        </is>
      </c>
      <c r="D132" s="2" t="inlineStr">
        <is>
          <t>HCM</t>
        </is>
      </c>
      <c r="E132" s="2" t="inlineStr">
        <is>
          <t>BẢO TRÂM</t>
        </is>
      </c>
      <c r="F132" s="2" t="inlineStr">
        <is>
          <t>Shopee</t>
        </is>
      </c>
      <c r="G132" s="2" t="inlineStr">
        <is>
          <t>V65S</t>
        </is>
      </c>
      <c r="H132" s="3" t="inlineStr">
        <is>
          <t>Mũi bắn vít PH2 V65S</t>
        </is>
      </c>
      <c r="I132" s="4" t="n">
        <v>24000</v>
      </c>
      <c r="J132" s="4" t="n"/>
      <c r="K132" s="4">
        <f>IF(AND(ISNUMBER(J132),ISNUMBER(I132)),J132-I132,"")</f>
        <v/>
      </c>
      <c r="L132" s="5">
        <f>IF(AND(ISNUMBER(J132),ISNUMBER(I132),I132&gt;0),(J132-I132)/I132,"")</f>
        <v/>
      </c>
      <c r="M132" s="2">
        <f>IF(L132="","",IF(L132&lt;-0.05,"Bán phá giá",IF(L132&gt;0.05,"Bán cao hơn","Đúng giá niêm yết")))</f>
        <v/>
      </c>
      <c r="N132" s="2" t="n"/>
      <c r="O132" s="3" t="n"/>
      <c r="P132" s="3" t="n"/>
    </row>
    <row r="133">
      <c r="A133" s="2" t="n">
        <v>132</v>
      </c>
      <c r="B133" s="2" t="inlineStr">
        <is>
          <t>KH001</t>
        </is>
      </c>
      <c r="C133" s="3" t="inlineStr">
        <is>
          <t>Điện nước Nhật (Shop) HCM</t>
        </is>
      </c>
      <c r="D133" s="2" t="inlineStr">
        <is>
          <t>HCM</t>
        </is>
      </c>
      <c r="E133" s="2" t="inlineStr">
        <is>
          <t>BẢO TRÂM</t>
        </is>
      </c>
      <c r="F133" s="2" t="inlineStr">
        <is>
          <t>Shopee</t>
        </is>
      </c>
      <c r="G133" s="2" t="inlineStr"/>
      <c r="H133" s="3" t="inlineStr">
        <is>
          <t>Mũi đục bê tông KBVd-14*250*22</t>
        </is>
      </c>
      <c r="I133" s="4" t="n">
        <v>63000</v>
      </c>
      <c r="J133" s="4" t="n"/>
      <c r="K133" s="4">
        <f>IF(AND(ISNUMBER(J133),ISNUMBER(I133)),J133-I133,"")</f>
        <v/>
      </c>
      <c r="L133" s="5">
        <f>IF(AND(ISNUMBER(J133),ISNUMBER(I133),I133&gt;0),(J133-I133)/I133,"")</f>
        <v/>
      </c>
      <c r="M133" s="2">
        <f>IF(L133="","",IF(L133&lt;-0.05,"Bán phá giá",IF(L133&gt;0.05,"Bán cao hơn","Đúng giá niêm yết")))</f>
        <v/>
      </c>
      <c r="N133" s="2" t="n"/>
      <c r="O133" s="3" t="n"/>
      <c r="P133" s="3" t="n"/>
    </row>
    <row r="134">
      <c r="A134" s="2" t="n">
        <v>133</v>
      </c>
      <c r="B134" s="2" t="inlineStr">
        <is>
          <t>KH001</t>
        </is>
      </c>
      <c r="C134" s="3" t="inlineStr">
        <is>
          <t>Điện nước Nhật (Shop) HCM</t>
        </is>
      </c>
      <c r="D134" s="2" t="inlineStr">
        <is>
          <t>HCM</t>
        </is>
      </c>
      <c r="E134" s="2" t="inlineStr">
        <is>
          <t>BẢO TRÂM</t>
        </is>
      </c>
      <c r="F134" s="2" t="inlineStr">
        <is>
          <t>Shopee</t>
        </is>
      </c>
      <c r="G134" s="2" t="inlineStr"/>
      <c r="H134" s="3" t="inlineStr">
        <is>
          <t>Mũi đục bê tông KBVd-17*280*25</t>
        </is>
      </c>
      <c r="I134" s="4" t="n">
        <v>82000</v>
      </c>
      <c r="J134" s="4" t="n"/>
      <c r="K134" s="4">
        <f>IF(AND(ISNUMBER(J134),ISNUMBER(I134)),J134-I134,"")</f>
        <v/>
      </c>
      <c r="L134" s="5">
        <f>IF(AND(ISNUMBER(J134),ISNUMBER(I134),I134&gt;0),(J134-I134)/I134,"")</f>
        <v/>
      </c>
      <c r="M134" s="2">
        <f>IF(L134="","",IF(L134&lt;-0.05,"Bán phá giá",IF(L134&gt;0.05,"Bán cao hơn","Đúng giá niêm yết")))</f>
        <v/>
      </c>
      <c r="N134" s="2" t="n"/>
      <c r="O134" s="3" t="n"/>
      <c r="P134" s="3" t="n"/>
    </row>
    <row r="135">
      <c r="A135" s="2" t="n">
        <v>134</v>
      </c>
      <c r="B135" s="2" t="inlineStr">
        <is>
          <t>KH001</t>
        </is>
      </c>
      <c r="C135" s="3" t="inlineStr">
        <is>
          <t>Điện nước Nhật (Shop) HCM</t>
        </is>
      </c>
      <c r="D135" s="2" t="inlineStr">
        <is>
          <t>HCM</t>
        </is>
      </c>
      <c r="E135" s="2" t="inlineStr">
        <is>
          <t>BẢO TRÂM</t>
        </is>
      </c>
      <c r="F135" s="2" t="inlineStr">
        <is>
          <t>Shopee</t>
        </is>
      </c>
      <c r="G135" s="2" t="inlineStr"/>
      <c r="H135" s="3" t="inlineStr">
        <is>
          <t>Mũi đục bê tông KBVn-14*250</t>
        </is>
      </c>
      <c r="I135" s="4" t="n">
        <v>63000</v>
      </c>
      <c r="J135" s="4" t="n"/>
      <c r="K135" s="4">
        <f>IF(AND(ISNUMBER(J135),ISNUMBER(I135)),J135-I135,"")</f>
        <v/>
      </c>
      <c r="L135" s="5">
        <f>IF(AND(ISNUMBER(J135),ISNUMBER(I135),I135&gt;0),(J135-I135)/I135,"")</f>
        <v/>
      </c>
      <c r="M135" s="2">
        <f>IF(L135="","",IF(L135&lt;-0.05,"Bán phá giá",IF(L135&gt;0.05,"Bán cao hơn","Đúng giá niêm yết")))</f>
        <v/>
      </c>
      <c r="N135" s="2" t="n"/>
      <c r="O135" s="3" t="n"/>
      <c r="P135" s="3" t="n"/>
    </row>
    <row r="136">
      <c r="A136" s="2" t="n">
        <v>135</v>
      </c>
      <c r="B136" s="2" t="inlineStr">
        <is>
          <t>KH001</t>
        </is>
      </c>
      <c r="C136" s="3" t="inlineStr">
        <is>
          <t>Điện nước Nhật (Shop) HCM</t>
        </is>
      </c>
      <c r="D136" s="2" t="inlineStr">
        <is>
          <t>HCM</t>
        </is>
      </c>
      <c r="E136" s="2" t="inlineStr">
        <is>
          <t>BẢO TRÂM</t>
        </is>
      </c>
      <c r="F136" s="2" t="inlineStr">
        <is>
          <t>Shopee</t>
        </is>
      </c>
      <c r="G136" s="2" t="inlineStr"/>
      <c r="H136" s="3" t="inlineStr">
        <is>
          <t>Mũi đục bê tông KBVn-17*280</t>
        </is>
      </c>
      <c r="I136" s="4" t="n">
        <v>82000</v>
      </c>
      <c r="J136" s="4" t="n"/>
      <c r="K136" s="4">
        <f>IF(AND(ISNUMBER(J136),ISNUMBER(I136)),J136-I136,"")</f>
        <v/>
      </c>
      <c r="L136" s="5">
        <f>IF(AND(ISNUMBER(J136),ISNUMBER(I136),I136&gt;0),(J136-I136)/I136,"")</f>
        <v/>
      </c>
      <c r="M136" s="2">
        <f>IF(L136="","",IF(L136&lt;-0.05,"Bán phá giá",IF(L136&gt;0.05,"Bán cao hơn","Đúng giá niêm yết")))</f>
        <v/>
      </c>
      <c r="N136" s="2" t="n"/>
      <c r="O136" s="3" t="n"/>
      <c r="P136" s="3" t="n"/>
    </row>
    <row r="137">
      <c r="A137" s="2" t="n">
        <v>136</v>
      </c>
      <c r="B137" s="2" t="inlineStr">
        <is>
          <t>KH001</t>
        </is>
      </c>
      <c r="C137" s="3" t="inlineStr">
        <is>
          <t>Điện nước Nhật (Shop) HCM</t>
        </is>
      </c>
      <c r="D137" s="2" t="inlineStr">
        <is>
          <t>HCM</t>
        </is>
      </c>
      <c r="E137" s="2" t="inlineStr">
        <is>
          <t>BẢO TRÂM</t>
        </is>
      </c>
      <c r="F137" s="2" t="inlineStr">
        <is>
          <t>Shopee</t>
        </is>
      </c>
      <c r="G137" s="2" t="inlineStr">
        <is>
          <t>KBL-06*210</t>
        </is>
      </c>
      <c r="H137" s="3" t="inlineStr">
        <is>
          <t>Mũi khoan bê tông 2 cạnh KBL-06*210</t>
        </is>
      </c>
      <c r="I137" s="4" t="n"/>
      <c r="J137" s="4" t="n"/>
      <c r="K137" s="4">
        <f>IF(AND(ISNUMBER(J137),ISNUMBER(I137)),J137-I137,"")</f>
        <v/>
      </c>
      <c r="L137" s="5">
        <f>IF(AND(ISNUMBER(J137),ISNUMBER(I137),I137&gt;0),(J137-I137)/I137,"")</f>
        <v/>
      </c>
      <c r="M137" s="2">
        <f>IF(L137="","",IF(L137&lt;-0.05,"Bán phá giá",IF(L137&gt;0.05,"Bán cao hơn","Đúng giá niêm yết")))</f>
        <v/>
      </c>
      <c r="N137" s="2" t="n"/>
      <c r="O137" s="3" t="n"/>
      <c r="P137" s="3" t="n"/>
    </row>
    <row r="138">
      <c r="A138" s="2" t="n">
        <v>137</v>
      </c>
      <c r="B138" s="2" t="inlineStr">
        <is>
          <t>KH001</t>
        </is>
      </c>
      <c r="C138" s="3" t="inlineStr">
        <is>
          <t>Điện nước Nhật (Shop) HCM</t>
        </is>
      </c>
      <c r="D138" s="2" t="inlineStr">
        <is>
          <t>HCM</t>
        </is>
      </c>
      <c r="E138" s="2" t="inlineStr">
        <is>
          <t>BẢO TRÂM</t>
        </is>
      </c>
      <c r="F138" s="2" t="inlineStr">
        <is>
          <t>Shopee</t>
        </is>
      </c>
      <c r="G138" s="2" t="inlineStr">
        <is>
          <t>KBL-08*210</t>
        </is>
      </c>
      <c r="H138" s="3" t="inlineStr">
        <is>
          <t>Mũi khoan bê tông 2 cạnh KBL-08*210</t>
        </is>
      </c>
      <c r="I138" s="4" t="n"/>
      <c r="J138" s="4" t="n"/>
      <c r="K138" s="4">
        <f>IF(AND(ISNUMBER(J138),ISNUMBER(I138)),J138-I138,"")</f>
        <v/>
      </c>
      <c r="L138" s="5">
        <f>IF(AND(ISNUMBER(J138),ISNUMBER(I138),I138&gt;0),(J138-I138)/I138,"")</f>
        <v/>
      </c>
      <c r="M138" s="2">
        <f>IF(L138="","",IF(L138&lt;-0.05,"Bán phá giá",IF(L138&gt;0.05,"Bán cao hơn","Đúng giá niêm yết")))</f>
        <v/>
      </c>
      <c r="N138" s="2" t="n"/>
      <c r="O138" s="3" t="n"/>
      <c r="P138" s="3" t="n"/>
    </row>
    <row r="139">
      <c r="A139" s="2" t="n">
        <v>138</v>
      </c>
      <c r="B139" s="2" t="inlineStr">
        <is>
          <t>KH001</t>
        </is>
      </c>
      <c r="C139" s="3" t="inlineStr">
        <is>
          <t>Điện nước Nhật (Shop) HCM</t>
        </is>
      </c>
      <c r="D139" s="2" t="inlineStr">
        <is>
          <t>HCM</t>
        </is>
      </c>
      <c r="E139" s="2" t="inlineStr">
        <is>
          <t>BẢO TRÂM</t>
        </is>
      </c>
      <c r="F139" s="2" t="inlineStr">
        <is>
          <t>Shopee</t>
        </is>
      </c>
      <c r="G139" s="2" t="inlineStr">
        <is>
          <t>KBL-08*260</t>
        </is>
      </c>
      <c r="H139" s="3" t="inlineStr">
        <is>
          <t>Mũi khoan bê tông 2 cạnh KBL-08*260</t>
        </is>
      </c>
      <c r="I139" s="4" t="n"/>
      <c r="J139" s="4" t="n"/>
      <c r="K139" s="4">
        <f>IF(AND(ISNUMBER(J139),ISNUMBER(I139)),J139-I139,"")</f>
        <v/>
      </c>
      <c r="L139" s="5">
        <f>IF(AND(ISNUMBER(J139),ISNUMBER(I139),I139&gt;0),(J139-I139)/I139,"")</f>
        <v/>
      </c>
      <c r="M139" s="2">
        <f>IF(L139="","",IF(L139&lt;-0.05,"Bán phá giá",IF(L139&gt;0.05,"Bán cao hơn","Đúng giá niêm yết")))</f>
        <v/>
      </c>
      <c r="N139" s="2" t="n"/>
      <c r="O139" s="3" t="n"/>
      <c r="P139" s="3" t="n"/>
    </row>
    <row r="140">
      <c r="A140" s="2" t="n">
        <v>139</v>
      </c>
      <c r="B140" s="2" t="inlineStr">
        <is>
          <t>KH001</t>
        </is>
      </c>
      <c r="C140" s="3" t="inlineStr">
        <is>
          <t>Điện nước Nhật (Shop) HCM</t>
        </is>
      </c>
      <c r="D140" s="2" t="inlineStr">
        <is>
          <t>HCM</t>
        </is>
      </c>
      <c r="E140" s="2" t="inlineStr">
        <is>
          <t>BẢO TRÂM</t>
        </is>
      </c>
      <c r="F140" s="2" t="inlineStr">
        <is>
          <t>Shopee</t>
        </is>
      </c>
      <c r="G140" s="2" t="inlineStr">
        <is>
          <t>KBL-12*260</t>
        </is>
      </c>
      <c r="H140" s="3" t="inlineStr">
        <is>
          <t>Mũi khoan bê tông 2 cạnh KBL-12*260</t>
        </is>
      </c>
      <c r="I140" s="4" t="n"/>
      <c r="J140" s="4" t="n"/>
      <c r="K140" s="4">
        <f>IF(AND(ISNUMBER(J140),ISNUMBER(I140)),J140-I140,"")</f>
        <v/>
      </c>
      <c r="L140" s="5">
        <f>IF(AND(ISNUMBER(J140),ISNUMBER(I140),I140&gt;0),(J140-I140)/I140,"")</f>
        <v/>
      </c>
      <c r="M140" s="2">
        <f>IF(L140="","",IF(L140&lt;-0.05,"Bán phá giá",IF(L140&gt;0.05,"Bán cao hơn","Đúng giá niêm yết")))</f>
        <v/>
      </c>
      <c r="N140" s="2" t="n"/>
      <c r="O140" s="3" t="n"/>
      <c r="P140" s="3" t="n"/>
    </row>
    <row r="141">
      <c r="A141" s="2" t="n">
        <v>140</v>
      </c>
      <c r="B141" s="2" t="inlineStr">
        <is>
          <t>KH001</t>
        </is>
      </c>
      <c r="C141" s="3" t="inlineStr">
        <is>
          <t>Điện nước Nhật (Shop) HCM</t>
        </is>
      </c>
      <c r="D141" s="2" t="inlineStr">
        <is>
          <t>HCM</t>
        </is>
      </c>
      <c r="E141" s="2" t="inlineStr">
        <is>
          <t>BẢO TRÂM</t>
        </is>
      </c>
      <c r="F141" s="2" t="inlineStr">
        <is>
          <t>Shopee</t>
        </is>
      </c>
      <c r="G141" s="2" t="inlineStr">
        <is>
          <t>KBL4-06*160</t>
        </is>
      </c>
      <c r="H141" s="3" t="inlineStr">
        <is>
          <t>Mũi khoan bê tông 4 cạnh KBL4-06*160</t>
        </is>
      </c>
      <c r="I141" s="4" t="n">
        <v>31000</v>
      </c>
      <c r="J141" s="4" t="n"/>
      <c r="K141" s="4">
        <f>IF(AND(ISNUMBER(J141),ISNUMBER(I141)),J141-I141,"")</f>
        <v/>
      </c>
      <c r="L141" s="5">
        <f>IF(AND(ISNUMBER(J141),ISNUMBER(I141),I141&gt;0),(J141-I141)/I141,"")</f>
        <v/>
      </c>
      <c r="M141" s="2">
        <f>IF(L141="","",IF(L141&lt;-0.05,"Bán phá giá",IF(L141&gt;0.05,"Bán cao hơn","Đúng giá niêm yết")))</f>
        <v/>
      </c>
      <c r="N141" s="2" t="n"/>
      <c r="O141" s="3" t="n"/>
      <c r="P141" s="3" t="n"/>
    </row>
    <row r="142">
      <c r="A142" s="2" t="n">
        <v>141</v>
      </c>
      <c r="B142" s="2" t="inlineStr">
        <is>
          <t>KH001</t>
        </is>
      </c>
      <c r="C142" s="3" t="inlineStr">
        <is>
          <t>Điện nước Nhật (Shop) HCM</t>
        </is>
      </c>
      <c r="D142" s="2" t="inlineStr">
        <is>
          <t>HCM</t>
        </is>
      </c>
      <c r="E142" s="2" t="inlineStr">
        <is>
          <t>BẢO TRÂM</t>
        </is>
      </c>
      <c r="F142" s="2" t="inlineStr">
        <is>
          <t>Shopee</t>
        </is>
      </c>
      <c r="G142" s="2" t="inlineStr">
        <is>
          <t>KBL4-08*160</t>
        </is>
      </c>
      <c r="H142" s="3" t="inlineStr">
        <is>
          <t>Mũi khoan bê tông 4 cạnh KBL4-08*160</t>
        </is>
      </c>
      <c r="I142" s="4" t="n">
        <v>35000</v>
      </c>
      <c r="J142" s="4" t="n"/>
      <c r="K142" s="4">
        <f>IF(AND(ISNUMBER(J142),ISNUMBER(I142)),J142-I142,"")</f>
        <v/>
      </c>
      <c r="L142" s="5">
        <f>IF(AND(ISNUMBER(J142),ISNUMBER(I142),I142&gt;0),(J142-I142)/I142,"")</f>
        <v/>
      </c>
      <c r="M142" s="2">
        <f>IF(L142="","",IF(L142&lt;-0.05,"Bán phá giá",IF(L142&gt;0.05,"Bán cao hơn","Đúng giá niêm yết")))</f>
        <v/>
      </c>
      <c r="N142" s="2" t="n"/>
      <c r="O142" s="3" t="n"/>
      <c r="P142" s="3" t="n"/>
    </row>
    <row r="143">
      <c r="A143" s="2" t="n">
        <v>142</v>
      </c>
      <c r="B143" s="2" t="inlineStr">
        <is>
          <t>KH001</t>
        </is>
      </c>
      <c r="C143" s="3" t="inlineStr">
        <is>
          <t>Điện nước Nhật (Shop) HCM</t>
        </is>
      </c>
      <c r="D143" s="2" t="inlineStr">
        <is>
          <t>HCM</t>
        </is>
      </c>
      <c r="E143" s="2" t="inlineStr">
        <is>
          <t>BẢO TRÂM</t>
        </is>
      </c>
      <c r="F143" s="2" t="inlineStr">
        <is>
          <t>Shopee</t>
        </is>
      </c>
      <c r="G143" s="2" t="inlineStr">
        <is>
          <t>KBL4-10*160</t>
        </is>
      </c>
      <c r="H143" s="3" t="inlineStr">
        <is>
          <t>Mũi khoan bê tông 4 cạnh KBL4-10*160</t>
        </is>
      </c>
      <c r="I143" s="4" t="n">
        <v>39000</v>
      </c>
      <c r="J143" s="4" t="n"/>
      <c r="K143" s="4">
        <f>IF(AND(ISNUMBER(J143),ISNUMBER(I143)),J143-I143,"")</f>
        <v/>
      </c>
      <c r="L143" s="5">
        <f>IF(AND(ISNUMBER(J143),ISNUMBER(I143),I143&gt;0),(J143-I143)/I143,"")</f>
        <v/>
      </c>
      <c r="M143" s="2">
        <f>IF(L143="","",IF(L143&lt;-0.05,"Bán phá giá",IF(L143&gt;0.05,"Bán cao hơn","Đúng giá niêm yết")))</f>
        <v/>
      </c>
      <c r="N143" s="2" t="n"/>
      <c r="O143" s="3" t="n"/>
      <c r="P143" s="3" t="n"/>
    </row>
    <row r="144">
      <c r="A144" s="2" t="n">
        <v>143</v>
      </c>
      <c r="B144" s="2" t="inlineStr">
        <is>
          <t>KH001</t>
        </is>
      </c>
      <c r="C144" s="3" t="inlineStr">
        <is>
          <t>Điện nước Nhật (Shop) HCM</t>
        </is>
      </c>
      <c r="D144" s="2" t="inlineStr">
        <is>
          <t>HCM</t>
        </is>
      </c>
      <c r="E144" s="2" t="inlineStr">
        <is>
          <t>BẢO TRÂM</t>
        </is>
      </c>
      <c r="F144" s="2" t="inlineStr">
        <is>
          <t>Shopee</t>
        </is>
      </c>
      <c r="G144" s="2" t="inlineStr">
        <is>
          <t>KBL4-12*160</t>
        </is>
      </c>
      <c r="H144" s="3" t="inlineStr">
        <is>
          <t>Mũi khoan bê tông 4 cạnh KBL4-12*160</t>
        </is>
      </c>
      <c r="I144" s="4" t="n">
        <v>43000</v>
      </c>
      <c r="J144" s="4" t="n"/>
      <c r="K144" s="4">
        <f>IF(AND(ISNUMBER(J144),ISNUMBER(I144)),J144-I144,"")</f>
        <v/>
      </c>
      <c r="L144" s="5">
        <f>IF(AND(ISNUMBER(J144),ISNUMBER(I144),I144&gt;0),(J144-I144)/I144,"")</f>
        <v/>
      </c>
      <c r="M144" s="2">
        <f>IF(L144="","",IF(L144&lt;-0.05,"Bán phá giá",IF(L144&gt;0.05,"Bán cao hơn","Đúng giá niêm yết")))</f>
        <v/>
      </c>
      <c r="N144" s="2" t="n"/>
      <c r="O144" s="3" t="n"/>
      <c r="P144" s="3" t="n"/>
    </row>
    <row r="145">
      <c r="A145" s="2" t="n">
        <v>144</v>
      </c>
      <c r="B145" s="2" t="inlineStr">
        <is>
          <t>KH001</t>
        </is>
      </c>
      <c r="C145" s="3" t="inlineStr">
        <is>
          <t>Điện nước Nhật (Shop) HCM</t>
        </is>
      </c>
      <c r="D145" s="2" t="inlineStr">
        <is>
          <t>HCM</t>
        </is>
      </c>
      <c r="E145" s="2" t="inlineStr">
        <is>
          <t>BẢO TRÂM</t>
        </is>
      </c>
      <c r="F145" s="2" t="inlineStr">
        <is>
          <t>Shopee</t>
        </is>
      </c>
      <c r="G145" s="2" t="inlineStr">
        <is>
          <t>KBL2-06*160</t>
        </is>
      </c>
      <c r="H145" s="3" t="inlineStr">
        <is>
          <t>Mũi khoan bê tông gài 2 cạnh KBL2-06*160</t>
        </is>
      </c>
      <c r="I145" s="4" t="n">
        <v>27500</v>
      </c>
      <c r="J145" s="4" t="n"/>
      <c r="K145" s="4">
        <f>IF(AND(ISNUMBER(J145),ISNUMBER(I145)),J145-I145,"")</f>
        <v/>
      </c>
      <c r="L145" s="5">
        <f>IF(AND(ISNUMBER(J145),ISNUMBER(I145),I145&gt;0),(J145-I145)/I145,"")</f>
        <v/>
      </c>
      <c r="M145" s="2">
        <f>IF(L145="","",IF(L145&lt;-0.05,"Bán phá giá",IF(L145&gt;0.05,"Bán cao hơn","Đúng giá niêm yết")))</f>
        <v/>
      </c>
      <c r="N145" s="2" t="n"/>
      <c r="O145" s="3" t="n"/>
      <c r="P145" s="3" t="n"/>
    </row>
    <row r="146">
      <c r="A146" s="2" t="n">
        <v>145</v>
      </c>
      <c r="B146" s="2" t="inlineStr">
        <is>
          <t>KH001</t>
        </is>
      </c>
      <c r="C146" s="3" t="inlineStr">
        <is>
          <t>Điện nước Nhật (Shop) HCM</t>
        </is>
      </c>
      <c r="D146" s="2" t="inlineStr">
        <is>
          <t>HCM</t>
        </is>
      </c>
      <c r="E146" s="2" t="inlineStr">
        <is>
          <t>BẢO TRÂM</t>
        </is>
      </c>
      <c r="F146" s="2" t="inlineStr">
        <is>
          <t>Shopee</t>
        </is>
      </c>
      <c r="G146" s="2" t="inlineStr">
        <is>
          <t>KBL2-08*160</t>
        </is>
      </c>
      <c r="H146" s="3" t="inlineStr">
        <is>
          <t>Mũi khoan bê tông gài 2 cạnh KBL2-08*160</t>
        </is>
      </c>
      <c r="I146" s="4" t="n">
        <v>29000</v>
      </c>
      <c r="J146" s="4" t="n"/>
      <c r="K146" s="4">
        <f>IF(AND(ISNUMBER(J146),ISNUMBER(I146)),J146-I146,"")</f>
        <v/>
      </c>
      <c r="L146" s="5">
        <f>IF(AND(ISNUMBER(J146),ISNUMBER(I146),I146&gt;0),(J146-I146)/I146,"")</f>
        <v/>
      </c>
      <c r="M146" s="2">
        <f>IF(L146="","",IF(L146&lt;-0.05,"Bán phá giá",IF(L146&gt;0.05,"Bán cao hơn","Đúng giá niêm yết")))</f>
        <v/>
      </c>
      <c r="N146" s="2" t="n"/>
      <c r="O146" s="3" t="n"/>
      <c r="P146" s="3" t="n"/>
    </row>
    <row r="147">
      <c r="A147" s="2" t="n">
        <v>146</v>
      </c>
      <c r="B147" s="2" t="inlineStr">
        <is>
          <t>KH001</t>
        </is>
      </c>
      <c r="C147" s="3" t="inlineStr">
        <is>
          <t>Điện nước Nhật (Shop) HCM</t>
        </is>
      </c>
      <c r="D147" s="2" t="inlineStr">
        <is>
          <t>HCM</t>
        </is>
      </c>
      <c r="E147" s="2" t="inlineStr">
        <is>
          <t>BẢO TRÂM</t>
        </is>
      </c>
      <c r="F147" s="2" t="inlineStr">
        <is>
          <t>Shopee</t>
        </is>
      </c>
      <c r="G147" s="2" t="inlineStr">
        <is>
          <t>KBL2-10*160</t>
        </is>
      </c>
      <c r="H147" s="3" t="inlineStr">
        <is>
          <t>Mũi khoan bê tông gài 2 cạnh KBL2-10*160</t>
        </is>
      </c>
      <c r="I147" s="4" t="n">
        <v>32000</v>
      </c>
      <c r="J147" s="4" t="n"/>
      <c r="K147" s="4">
        <f>IF(AND(ISNUMBER(J147),ISNUMBER(I147)),J147-I147,"")</f>
        <v/>
      </c>
      <c r="L147" s="5">
        <f>IF(AND(ISNUMBER(J147),ISNUMBER(I147),I147&gt;0),(J147-I147)/I147,"")</f>
        <v/>
      </c>
      <c r="M147" s="2">
        <f>IF(L147="","",IF(L147&lt;-0.05,"Bán phá giá",IF(L147&gt;0.05,"Bán cao hơn","Đúng giá niêm yết")))</f>
        <v/>
      </c>
      <c r="N147" s="2" t="n"/>
      <c r="O147" s="3" t="n"/>
      <c r="P147" s="3" t="n"/>
    </row>
    <row r="148">
      <c r="A148" s="2" t="n">
        <v>147</v>
      </c>
      <c r="B148" s="2" t="inlineStr">
        <is>
          <t>KH001</t>
        </is>
      </c>
      <c r="C148" s="3" t="inlineStr">
        <is>
          <t>Điện nước Nhật (Shop) HCM</t>
        </is>
      </c>
      <c r="D148" s="2" t="inlineStr">
        <is>
          <t>HCM</t>
        </is>
      </c>
      <c r="E148" s="2" t="inlineStr">
        <is>
          <t>BẢO TRÂM</t>
        </is>
      </c>
      <c r="F148" s="2" t="inlineStr">
        <is>
          <t>Shopee</t>
        </is>
      </c>
      <c r="G148" s="2" t="inlineStr">
        <is>
          <t>KBL2-12*160</t>
        </is>
      </c>
      <c r="H148" s="3" t="inlineStr">
        <is>
          <t>Mũi khoan bê tông gài 2 cạnh KBL2-12*160</t>
        </is>
      </c>
      <c r="I148" s="4" t="n">
        <v>36000</v>
      </c>
      <c r="J148" s="4" t="n"/>
      <c r="K148" s="4">
        <f>IF(AND(ISNUMBER(J148),ISNUMBER(I148)),J148-I148,"")</f>
        <v/>
      </c>
      <c r="L148" s="5">
        <f>IF(AND(ISNUMBER(J148),ISNUMBER(I148),I148&gt;0),(J148-I148)/I148,"")</f>
        <v/>
      </c>
      <c r="M148" s="2">
        <f>IF(L148="","",IF(L148&lt;-0.05,"Bán phá giá",IF(L148&gt;0.05,"Bán cao hơn","Đúng giá niêm yết")))</f>
        <v/>
      </c>
      <c r="N148" s="2" t="n"/>
      <c r="O148" s="3" t="n"/>
      <c r="P148" s="3" t="n"/>
    </row>
    <row r="149">
      <c r="A149" s="2" t="n">
        <v>148</v>
      </c>
      <c r="B149" s="2" t="inlineStr">
        <is>
          <t>KH001</t>
        </is>
      </c>
      <c r="C149" s="3" t="inlineStr">
        <is>
          <t>Điện nước Nhật (Shop) HCM</t>
        </is>
      </c>
      <c r="D149" s="2" t="inlineStr">
        <is>
          <t>HCM</t>
        </is>
      </c>
      <c r="E149" s="2" t="inlineStr">
        <is>
          <t>BẢO TRÂM</t>
        </is>
      </c>
      <c r="F149" s="2" t="inlineStr">
        <is>
          <t>Shopee</t>
        </is>
      </c>
      <c r="G149" s="2" t="inlineStr">
        <is>
          <t>KBL2-14*160</t>
        </is>
      </c>
      <c r="H149" s="3" t="inlineStr">
        <is>
          <t>Mũi khoan bê tông gài 2 cạnh KBL2-14*160</t>
        </is>
      </c>
      <c r="I149" s="4" t="n">
        <v>45000</v>
      </c>
      <c r="J149" s="4" t="n"/>
      <c r="K149" s="4">
        <f>IF(AND(ISNUMBER(J149),ISNUMBER(I149)),J149-I149,"")</f>
        <v/>
      </c>
      <c r="L149" s="5">
        <f>IF(AND(ISNUMBER(J149),ISNUMBER(I149),I149&gt;0),(J149-I149)/I149,"")</f>
        <v/>
      </c>
      <c r="M149" s="2">
        <f>IF(L149="","",IF(L149&lt;-0.05,"Bán phá giá",IF(L149&gt;0.05,"Bán cao hơn","Đúng giá niêm yết")))</f>
        <v/>
      </c>
      <c r="N149" s="2" t="n"/>
      <c r="O149" s="3" t="n"/>
      <c r="P149" s="3" t="n"/>
    </row>
    <row r="150">
      <c r="A150" s="2" t="n">
        <v>149</v>
      </c>
      <c r="B150" s="2" t="inlineStr">
        <is>
          <t>KH001</t>
        </is>
      </c>
      <c r="C150" s="3" t="inlineStr">
        <is>
          <t>Điện nước Nhật (Shop) HCM</t>
        </is>
      </c>
      <c r="D150" s="2" t="inlineStr">
        <is>
          <t>HCM</t>
        </is>
      </c>
      <c r="E150" s="2" t="inlineStr">
        <is>
          <t>BẢO TRÂM</t>
        </is>
      </c>
      <c r="F150" s="2" t="inlineStr">
        <is>
          <t>Shopee</t>
        </is>
      </c>
      <c r="G150" s="2" t="inlineStr">
        <is>
          <t>KBL2-16*160</t>
        </is>
      </c>
      <c r="H150" s="3" t="inlineStr">
        <is>
          <t>Mũi khoan bê tông gài 2 cạnh KBL2-16*160</t>
        </is>
      </c>
      <c r="I150" s="4" t="n">
        <v>33000</v>
      </c>
      <c r="J150" s="4" t="n"/>
      <c r="K150" s="4">
        <f>IF(AND(ISNUMBER(J150),ISNUMBER(I150)),J150-I150,"")</f>
        <v/>
      </c>
      <c r="L150" s="5">
        <f>IF(AND(ISNUMBER(J150),ISNUMBER(I150),I150&gt;0),(J150-I150)/I150,"")</f>
        <v/>
      </c>
      <c r="M150" s="2">
        <f>IF(L150="","",IF(L150&lt;-0.05,"Bán phá giá",IF(L150&gt;0.05,"Bán cao hơn","Đúng giá niêm yết")))</f>
        <v/>
      </c>
      <c r="N150" s="2" t="n"/>
      <c r="O150" s="3" t="n"/>
      <c r="P150" s="3" t="n"/>
    </row>
    <row r="151">
      <c r="A151" s="2" t="n">
        <v>150</v>
      </c>
      <c r="B151" s="2" t="inlineStr">
        <is>
          <t>KH001</t>
        </is>
      </c>
      <c r="C151" s="3" t="inlineStr">
        <is>
          <t>Điện nước Nhật (Shop) HCM</t>
        </is>
      </c>
      <c r="D151" s="2" t="inlineStr">
        <is>
          <t>HCM</t>
        </is>
      </c>
      <c r="E151" s="2" t="inlineStr">
        <is>
          <t>BẢO TRÂM</t>
        </is>
      </c>
      <c r="F151" s="2" t="inlineStr">
        <is>
          <t>Shopee</t>
        </is>
      </c>
      <c r="G151" s="2" t="inlineStr">
        <is>
          <t>KBL4-14*160</t>
        </is>
      </c>
      <c r="H151" s="3" t="inlineStr">
        <is>
          <t>Mũi khoan bê tông gài 4 cạnh KBL4-14*160</t>
        </is>
      </c>
      <c r="I151" s="4" t="n">
        <v>56000</v>
      </c>
      <c r="J151" s="4" t="n"/>
      <c r="K151" s="4">
        <f>IF(AND(ISNUMBER(J151),ISNUMBER(I151)),J151-I151,"")</f>
        <v/>
      </c>
      <c r="L151" s="5">
        <f>IF(AND(ISNUMBER(J151),ISNUMBER(I151),I151&gt;0),(J151-I151)/I151,"")</f>
        <v/>
      </c>
      <c r="M151" s="2">
        <f>IF(L151="","",IF(L151&lt;-0.05,"Bán phá giá",IF(L151&gt;0.05,"Bán cao hơn","Đúng giá niêm yết")))</f>
        <v/>
      </c>
      <c r="N151" s="2" t="n"/>
      <c r="O151" s="3" t="n"/>
      <c r="P151" s="3" t="n"/>
    </row>
    <row r="152">
      <c r="A152" s="2" t="n">
        <v>151</v>
      </c>
      <c r="B152" s="2" t="inlineStr">
        <is>
          <t>KH001</t>
        </is>
      </c>
      <c r="C152" s="3" t="inlineStr">
        <is>
          <t>Điện nước Nhật (Shop) HCM</t>
        </is>
      </c>
      <c r="D152" s="2" t="inlineStr">
        <is>
          <t>HCM</t>
        </is>
      </c>
      <c r="E152" s="2" t="inlineStr">
        <is>
          <t>BẢO TRÂM</t>
        </is>
      </c>
      <c r="F152" s="2" t="inlineStr">
        <is>
          <t>Shopee</t>
        </is>
      </c>
      <c r="G152" s="2" t="inlineStr">
        <is>
          <t>KBL4-16*160</t>
        </is>
      </c>
      <c r="H152" s="3" t="inlineStr">
        <is>
          <t>Mũi khoan bê tông gài 4 cạnh KBL4-16*160</t>
        </is>
      </c>
      <c r="I152" s="4" t="n">
        <v>54000</v>
      </c>
      <c r="J152" s="4" t="n"/>
      <c r="K152" s="4">
        <f>IF(AND(ISNUMBER(J152),ISNUMBER(I152)),J152-I152,"")</f>
        <v/>
      </c>
      <c r="L152" s="5">
        <f>IF(AND(ISNUMBER(J152),ISNUMBER(I152),I152&gt;0),(J152-I152)/I152,"")</f>
        <v/>
      </c>
      <c r="M152" s="2">
        <f>IF(L152="","",IF(L152&lt;-0.05,"Bán phá giá",IF(L152&gt;0.05,"Bán cao hơn","Đúng giá niêm yết")))</f>
        <v/>
      </c>
      <c r="N152" s="2" t="n"/>
      <c r="O152" s="3" t="n"/>
      <c r="P152" s="3" t="n"/>
    </row>
    <row r="153">
      <c r="A153" s="2" t="n">
        <v>152</v>
      </c>
      <c r="B153" s="2" t="inlineStr">
        <is>
          <t>KH001</t>
        </is>
      </c>
      <c r="C153" s="3" t="inlineStr">
        <is>
          <t>Điện nước Nhật (Shop) HCM</t>
        </is>
      </c>
      <c r="D153" s="2" t="inlineStr">
        <is>
          <t>HCM</t>
        </is>
      </c>
      <c r="E153" s="2" t="inlineStr">
        <is>
          <t>BẢO TRÂM</t>
        </is>
      </c>
      <c r="F153" s="2" t="inlineStr">
        <is>
          <t>Shopee</t>
        </is>
      </c>
      <c r="G153" s="2" t="inlineStr">
        <is>
          <t>KBL2-08*310</t>
        </is>
      </c>
      <c r="H153" s="3" t="inlineStr">
        <is>
          <t>Mũi khoan bê tông gài xuyên tường 2 cạnh KBL2-08*310</t>
        </is>
      </c>
      <c r="I153" s="4" t="n">
        <v>49000</v>
      </c>
      <c r="J153" s="4" t="n"/>
      <c r="K153" s="4">
        <f>IF(AND(ISNUMBER(J153),ISNUMBER(I153)),J153-I153,"")</f>
        <v/>
      </c>
      <c r="L153" s="5">
        <f>IF(AND(ISNUMBER(J153),ISNUMBER(I153),I153&gt;0),(J153-I153)/I153,"")</f>
        <v/>
      </c>
      <c r="M153" s="2">
        <f>IF(L153="","",IF(L153&lt;-0.05,"Bán phá giá",IF(L153&gt;0.05,"Bán cao hơn","Đúng giá niêm yết")))</f>
        <v/>
      </c>
      <c r="N153" s="2" t="n"/>
      <c r="O153" s="3" t="n"/>
      <c r="P153" s="3" t="n"/>
    </row>
    <row r="154">
      <c r="A154" s="2" t="n">
        <v>153</v>
      </c>
      <c r="B154" s="2" t="inlineStr">
        <is>
          <t>KH001</t>
        </is>
      </c>
      <c r="C154" s="3" t="inlineStr">
        <is>
          <t>Điện nước Nhật (Shop) HCM</t>
        </is>
      </c>
      <c r="D154" s="2" t="inlineStr">
        <is>
          <t>HCM</t>
        </is>
      </c>
      <c r="E154" s="2" t="inlineStr">
        <is>
          <t>BẢO TRÂM</t>
        </is>
      </c>
      <c r="F154" s="2" t="inlineStr">
        <is>
          <t>Shopee</t>
        </is>
      </c>
      <c r="G154" s="2" t="inlineStr">
        <is>
          <t>KBL2-10*310</t>
        </is>
      </c>
      <c r="H154" s="3" t="inlineStr">
        <is>
          <t>Mũi khoan bê tông gài xuyên tường 2 cạnh KBL2-10*310</t>
        </is>
      </c>
      <c r="I154" s="4" t="n">
        <v>56000</v>
      </c>
      <c r="J154" s="4" t="n"/>
      <c r="K154" s="4">
        <f>IF(AND(ISNUMBER(J154),ISNUMBER(I154)),J154-I154,"")</f>
        <v/>
      </c>
      <c r="L154" s="5">
        <f>IF(AND(ISNUMBER(J154),ISNUMBER(I154),I154&gt;0),(J154-I154)/I154,"")</f>
        <v/>
      </c>
      <c r="M154" s="2">
        <f>IF(L154="","",IF(L154&lt;-0.05,"Bán phá giá",IF(L154&gt;0.05,"Bán cao hơn","Đúng giá niêm yết")))</f>
        <v/>
      </c>
      <c r="N154" s="2" t="n"/>
      <c r="O154" s="3" t="n"/>
      <c r="P154" s="3" t="n"/>
    </row>
    <row r="155">
      <c r="A155" s="2" t="n">
        <v>154</v>
      </c>
      <c r="B155" s="2" t="inlineStr">
        <is>
          <t>KH001</t>
        </is>
      </c>
      <c r="C155" s="3" t="inlineStr">
        <is>
          <t>Điện nước Nhật (Shop) HCM</t>
        </is>
      </c>
      <c r="D155" s="2" t="inlineStr">
        <is>
          <t>HCM</t>
        </is>
      </c>
      <c r="E155" s="2" t="inlineStr">
        <is>
          <t>BẢO TRÂM</t>
        </is>
      </c>
      <c r="F155" s="2" t="inlineStr">
        <is>
          <t>Shopee</t>
        </is>
      </c>
      <c r="G155" s="2" t="inlineStr">
        <is>
          <t>KBL2-12*310</t>
        </is>
      </c>
      <c r="H155" s="3" t="inlineStr">
        <is>
          <t>Mũi khoan bê tông gài xuyên tường 2 cạnh KBL2-12*310</t>
        </is>
      </c>
      <c r="I155" s="4" t="n">
        <v>57000</v>
      </c>
      <c r="J155" s="4" t="n"/>
      <c r="K155" s="4">
        <f>IF(AND(ISNUMBER(J155),ISNUMBER(I155)),J155-I155,"")</f>
        <v/>
      </c>
      <c r="L155" s="5">
        <f>IF(AND(ISNUMBER(J155),ISNUMBER(I155),I155&gt;0),(J155-I155)/I155,"")</f>
        <v/>
      </c>
      <c r="M155" s="2">
        <f>IF(L155="","",IF(L155&lt;-0.05,"Bán phá giá",IF(L155&gt;0.05,"Bán cao hơn","Đúng giá niêm yết")))</f>
        <v/>
      </c>
      <c r="N155" s="2" t="n"/>
      <c r="O155" s="3" t="n"/>
      <c r="P155" s="3" t="n"/>
    </row>
    <row r="156">
      <c r="A156" s="2" t="n">
        <v>155</v>
      </c>
      <c r="B156" s="2" t="inlineStr">
        <is>
          <t>KH001</t>
        </is>
      </c>
      <c r="C156" s="3" t="inlineStr">
        <is>
          <t>Điện nước Nhật (Shop) HCM</t>
        </is>
      </c>
      <c r="D156" s="2" t="inlineStr">
        <is>
          <t>HCM</t>
        </is>
      </c>
      <c r="E156" s="2" t="inlineStr">
        <is>
          <t>BẢO TRÂM</t>
        </is>
      </c>
      <c r="F156" s="2" t="inlineStr">
        <is>
          <t>Shopee</t>
        </is>
      </c>
      <c r="G156" s="2" t="inlineStr">
        <is>
          <t>KBL2-14*310</t>
        </is>
      </c>
      <c r="H156" s="3" t="inlineStr">
        <is>
          <t>Mũi khoan bê tông gài xuyên tường 2 cạnh KBL2-14*310</t>
        </is>
      </c>
      <c r="I156" s="4" t="n">
        <v>68000</v>
      </c>
      <c r="J156" s="4" t="n"/>
      <c r="K156" s="4">
        <f>IF(AND(ISNUMBER(J156),ISNUMBER(I156)),J156-I156,"")</f>
        <v/>
      </c>
      <c r="L156" s="5">
        <f>IF(AND(ISNUMBER(J156),ISNUMBER(I156),I156&gt;0),(J156-I156)/I156,"")</f>
        <v/>
      </c>
      <c r="M156" s="2">
        <f>IF(L156="","",IF(L156&lt;-0.05,"Bán phá giá",IF(L156&gt;0.05,"Bán cao hơn","Đúng giá niêm yết")))</f>
        <v/>
      </c>
      <c r="N156" s="2" t="n"/>
      <c r="O156" s="3" t="n"/>
      <c r="P156" s="3" t="n"/>
    </row>
    <row r="157">
      <c r="A157" s="2" t="n">
        <v>156</v>
      </c>
      <c r="B157" s="2" t="inlineStr">
        <is>
          <t>KH001</t>
        </is>
      </c>
      <c r="C157" s="3" t="inlineStr">
        <is>
          <t>Điện nước Nhật (Shop) HCM</t>
        </is>
      </c>
      <c r="D157" s="2" t="inlineStr">
        <is>
          <t>HCM</t>
        </is>
      </c>
      <c r="E157" s="2" t="inlineStr">
        <is>
          <t>BẢO TRÂM</t>
        </is>
      </c>
      <c r="F157" s="2" t="inlineStr">
        <is>
          <t>Shopee</t>
        </is>
      </c>
      <c r="G157" s="2" t="inlineStr">
        <is>
          <t>KBL2-16*310</t>
        </is>
      </c>
      <c r="H157" s="3" t="inlineStr">
        <is>
          <t>Mũi khoan bê tông gài xuyên tường 2 cạnh KBL2-16*310</t>
        </is>
      </c>
      <c r="I157" s="4" t="n">
        <v>85000</v>
      </c>
      <c r="J157" s="4" t="n"/>
      <c r="K157" s="4">
        <f>IF(AND(ISNUMBER(J157),ISNUMBER(I157)),J157-I157,"")</f>
        <v/>
      </c>
      <c r="L157" s="5">
        <f>IF(AND(ISNUMBER(J157),ISNUMBER(I157),I157&gt;0),(J157-I157)/I157,"")</f>
        <v/>
      </c>
      <c r="M157" s="2">
        <f>IF(L157="","",IF(L157&lt;-0.05,"Bán phá giá",IF(L157&gt;0.05,"Bán cao hơn","Đúng giá niêm yết")))</f>
        <v/>
      </c>
      <c r="N157" s="2" t="n"/>
      <c r="O157" s="3" t="n"/>
      <c r="P157" s="3" t="n"/>
    </row>
    <row r="158">
      <c r="A158" s="2" t="n">
        <v>157</v>
      </c>
      <c r="B158" s="2" t="inlineStr">
        <is>
          <t>KH001</t>
        </is>
      </c>
      <c r="C158" s="3" t="inlineStr">
        <is>
          <t>Điện nước Nhật (Shop) HCM</t>
        </is>
      </c>
      <c r="D158" s="2" t="inlineStr">
        <is>
          <t>HCM</t>
        </is>
      </c>
      <c r="E158" s="2" t="inlineStr">
        <is>
          <t>BẢO TRÂM</t>
        </is>
      </c>
      <c r="F158" s="2" t="inlineStr">
        <is>
          <t>Shopee</t>
        </is>
      </c>
      <c r="G158" s="2" t="inlineStr">
        <is>
          <t>KBL2-18*310</t>
        </is>
      </c>
      <c r="H158" s="3" t="inlineStr">
        <is>
          <t>Mũi khoan bê tông gài xuyên tường 2 cạnh KBL2-18*310</t>
        </is>
      </c>
      <c r="I158" s="4" t="n">
        <v>76000</v>
      </c>
      <c r="J158" s="4" t="n"/>
      <c r="K158" s="4">
        <f>IF(AND(ISNUMBER(J158),ISNUMBER(I158)),J158-I158,"")</f>
        <v/>
      </c>
      <c r="L158" s="5">
        <f>IF(AND(ISNUMBER(J158),ISNUMBER(I158),I158&gt;0),(J158-I158)/I158,"")</f>
        <v/>
      </c>
      <c r="M158" s="2">
        <f>IF(L158="","",IF(L158&lt;-0.05,"Bán phá giá",IF(L158&gt;0.05,"Bán cao hơn","Đúng giá niêm yết")))</f>
        <v/>
      </c>
      <c r="N158" s="2" t="n"/>
      <c r="O158" s="3" t="n"/>
      <c r="P158" s="3" t="n"/>
    </row>
    <row r="159">
      <c r="A159" s="2" t="n">
        <v>158</v>
      </c>
      <c r="B159" s="2" t="inlineStr">
        <is>
          <t>KH001</t>
        </is>
      </c>
      <c r="C159" s="3" t="inlineStr">
        <is>
          <t>Điện nước Nhật (Shop) HCM</t>
        </is>
      </c>
      <c r="D159" s="2" t="inlineStr">
        <is>
          <t>HCM</t>
        </is>
      </c>
      <c r="E159" s="2" t="inlineStr">
        <is>
          <t>BẢO TRÂM</t>
        </is>
      </c>
      <c r="F159" s="2" t="inlineStr">
        <is>
          <t>Shopee</t>
        </is>
      </c>
      <c r="G159" s="2" t="inlineStr">
        <is>
          <t>KBL2-20*310</t>
        </is>
      </c>
      <c r="H159" s="3" t="inlineStr">
        <is>
          <t>Mũi khoan bê tông gài xuyên tường 2 cạnh KBL2-20*310</t>
        </is>
      </c>
      <c r="I159" s="4" t="n">
        <v>124000</v>
      </c>
      <c r="J159" s="4" t="n"/>
      <c r="K159" s="4">
        <f>IF(AND(ISNUMBER(J159),ISNUMBER(I159)),J159-I159,"")</f>
        <v/>
      </c>
      <c r="L159" s="5">
        <f>IF(AND(ISNUMBER(J159),ISNUMBER(I159),I159&gt;0),(J159-I159)/I159,"")</f>
        <v/>
      </c>
      <c r="M159" s="2">
        <f>IF(L159="","",IF(L159&lt;-0.05,"Bán phá giá",IF(L159&gt;0.05,"Bán cao hơn","Đúng giá niêm yết")))</f>
        <v/>
      </c>
      <c r="N159" s="2" t="n"/>
      <c r="O159" s="3" t="n"/>
      <c r="P159" s="3" t="n"/>
    </row>
    <row r="160">
      <c r="A160" s="2" t="n">
        <v>159</v>
      </c>
      <c r="B160" s="2" t="inlineStr">
        <is>
          <t>KH001</t>
        </is>
      </c>
      <c r="C160" s="3" t="inlineStr">
        <is>
          <t>Điện nước Nhật (Shop) HCM</t>
        </is>
      </c>
      <c r="D160" s="2" t="inlineStr">
        <is>
          <t>HCM</t>
        </is>
      </c>
      <c r="E160" s="2" t="inlineStr">
        <is>
          <t>BẢO TRÂM</t>
        </is>
      </c>
      <c r="F160" s="2" t="inlineStr">
        <is>
          <t>Shopee</t>
        </is>
      </c>
      <c r="G160" s="2" t="inlineStr">
        <is>
          <t>KBL2-22*310</t>
        </is>
      </c>
      <c r="H160" s="3" t="inlineStr">
        <is>
          <t>Mũi khoan bê tông gài xuyên tường 2 cạnh KBL2-22*310</t>
        </is>
      </c>
      <c r="I160" s="4" t="n">
        <v>109000</v>
      </c>
      <c r="J160" s="4" t="n"/>
      <c r="K160" s="4">
        <f>IF(AND(ISNUMBER(J160),ISNUMBER(I160)),J160-I160,"")</f>
        <v/>
      </c>
      <c r="L160" s="5">
        <f>IF(AND(ISNUMBER(J160),ISNUMBER(I160),I160&gt;0),(J160-I160)/I160,"")</f>
        <v/>
      </c>
      <c r="M160" s="2">
        <f>IF(L160="","",IF(L160&lt;-0.05,"Bán phá giá",IF(L160&gt;0.05,"Bán cao hơn","Đúng giá niêm yết")))</f>
        <v/>
      </c>
      <c r="N160" s="2" t="n"/>
      <c r="O160" s="3" t="n"/>
      <c r="P160" s="3" t="n"/>
    </row>
    <row r="161">
      <c r="A161" s="2" t="n">
        <v>160</v>
      </c>
      <c r="B161" s="2" t="inlineStr">
        <is>
          <t>KH001</t>
        </is>
      </c>
      <c r="C161" s="3" t="inlineStr">
        <is>
          <t>Điện nước Nhật (Shop) HCM</t>
        </is>
      </c>
      <c r="D161" s="2" t="inlineStr">
        <is>
          <t>HCM</t>
        </is>
      </c>
      <c r="E161" s="2" t="inlineStr">
        <is>
          <t>BẢO TRÂM</t>
        </is>
      </c>
      <c r="F161" s="2" t="inlineStr">
        <is>
          <t>Shopee</t>
        </is>
      </c>
      <c r="G161" s="2" t="inlineStr">
        <is>
          <t>KBL2-3.5*110</t>
        </is>
      </c>
      <c r="H161" s="3" t="inlineStr">
        <is>
          <t>Mũi khoan bê tông không tắc kê KBL2-3.5*110</t>
        </is>
      </c>
      <c r="I161" s="4" t="n">
        <v>33000</v>
      </c>
      <c r="J161" s="4" t="n"/>
      <c r="K161" s="4">
        <f>IF(AND(ISNUMBER(J161),ISNUMBER(I161)),J161-I161,"")</f>
        <v/>
      </c>
      <c r="L161" s="5">
        <f>IF(AND(ISNUMBER(J161),ISNUMBER(I161),I161&gt;0),(J161-I161)/I161,"")</f>
        <v/>
      </c>
      <c r="M161" s="2">
        <f>IF(L161="","",IF(L161&lt;-0.05,"Bán phá giá",IF(L161&gt;0.05,"Bán cao hơn","Đúng giá niêm yết")))</f>
        <v/>
      </c>
      <c r="N161" s="2" t="n"/>
      <c r="O161" s="3" t="n"/>
      <c r="P161" s="3" t="n"/>
    </row>
    <row r="162">
      <c r="A162" s="2" t="n">
        <v>161</v>
      </c>
      <c r="B162" s="2" t="inlineStr">
        <is>
          <t>KH001</t>
        </is>
      </c>
      <c r="C162" s="3" t="inlineStr">
        <is>
          <t>Điện nước Nhật (Shop) HCM</t>
        </is>
      </c>
      <c r="D162" s="2" t="inlineStr">
        <is>
          <t>HCM</t>
        </is>
      </c>
      <c r="E162" s="2" t="inlineStr">
        <is>
          <t>BẢO TRÂM</t>
        </is>
      </c>
      <c r="F162" s="2" t="inlineStr">
        <is>
          <t>Shopee</t>
        </is>
      </c>
      <c r="G162" s="2" t="inlineStr">
        <is>
          <t>KBK-06</t>
        </is>
      </c>
      <c r="H162" s="3" t="inlineStr">
        <is>
          <t>Mũi khoan đá KBK-06</t>
        </is>
      </c>
      <c r="I162" s="4" t="n">
        <v>28000</v>
      </c>
      <c r="J162" s="4" t="n"/>
      <c r="K162" s="4">
        <f>IF(AND(ISNUMBER(J162),ISNUMBER(I162)),J162-I162,"")</f>
        <v/>
      </c>
      <c r="L162" s="5">
        <f>IF(AND(ISNUMBER(J162),ISNUMBER(I162),I162&gt;0),(J162-I162)/I162,"")</f>
        <v/>
      </c>
      <c r="M162" s="2">
        <f>IF(L162="","",IF(L162&lt;-0.05,"Bán phá giá",IF(L162&gt;0.05,"Bán cao hơn","Đúng giá niêm yết")))</f>
        <v/>
      </c>
      <c r="N162" s="2" t="n"/>
      <c r="O162" s="3" t="n"/>
      <c r="P162" s="3" t="n"/>
    </row>
    <row r="163">
      <c r="A163" s="2" t="n">
        <v>162</v>
      </c>
      <c r="B163" s="2" t="inlineStr">
        <is>
          <t>KH001</t>
        </is>
      </c>
      <c r="C163" s="3" t="inlineStr">
        <is>
          <t>Điện nước Nhật (Shop) HCM</t>
        </is>
      </c>
      <c r="D163" s="2" t="inlineStr">
        <is>
          <t>HCM</t>
        </is>
      </c>
      <c r="E163" s="2" t="inlineStr">
        <is>
          <t>BẢO TRÂM</t>
        </is>
      </c>
      <c r="F163" s="2" t="inlineStr">
        <is>
          <t>Shopee</t>
        </is>
      </c>
      <c r="G163" s="2" t="inlineStr">
        <is>
          <t>KBK-08</t>
        </is>
      </c>
      <c r="H163" s="3" t="inlineStr">
        <is>
          <t>Mũi khoan đá KBK-08</t>
        </is>
      </c>
      <c r="I163" s="4" t="n">
        <v>31000</v>
      </c>
      <c r="J163" s="4" t="n"/>
      <c r="K163" s="4">
        <f>IF(AND(ISNUMBER(J163),ISNUMBER(I163)),J163-I163,"")</f>
        <v/>
      </c>
      <c r="L163" s="5">
        <f>IF(AND(ISNUMBER(J163),ISNUMBER(I163),I163&gt;0),(J163-I163)/I163,"")</f>
        <v/>
      </c>
      <c r="M163" s="2">
        <f>IF(L163="","",IF(L163&lt;-0.05,"Bán phá giá",IF(L163&gt;0.05,"Bán cao hơn","Đúng giá niêm yết")))</f>
        <v/>
      </c>
      <c r="N163" s="2" t="n"/>
      <c r="O163" s="3" t="n"/>
      <c r="P163" s="3" t="n"/>
    </row>
    <row r="164">
      <c r="A164" s="2" t="n">
        <v>163</v>
      </c>
      <c r="B164" s="2" t="inlineStr">
        <is>
          <t>KH001</t>
        </is>
      </c>
      <c r="C164" s="3" t="inlineStr">
        <is>
          <t>Điện nước Nhật (Shop) HCM</t>
        </is>
      </c>
      <c r="D164" s="2" t="inlineStr">
        <is>
          <t>HCM</t>
        </is>
      </c>
      <c r="E164" s="2" t="inlineStr">
        <is>
          <t>BẢO TRÂM</t>
        </is>
      </c>
      <c r="F164" s="2" t="inlineStr">
        <is>
          <t>Shopee</t>
        </is>
      </c>
      <c r="G164" s="2" t="inlineStr">
        <is>
          <t>KBK-10</t>
        </is>
      </c>
      <c r="H164" s="3" t="inlineStr">
        <is>
          <t>Mũi khoan đá KBK-10</t>
        </is>
      </c>
      <c r="I164" s="4" t="n">
        <v>30000</v>
      </c>
      <c r="J164" s="4" t="n"/>
      <c r="K164" s="4">
        <f>IF(AND(ISNUMBER(J164),ISNUMBER(I164)),J164-I164,"")</f>
        <v/>
      </c>
      <c r="L164" s="5">
        <f>IF(AND(ISNUMBER(J164),ISNUMBER(I164),I164&gt;0),(J164-I164)/I164,"")</f>
        <v/>
      </c>
      <c r="M164" s="2">
        <f>IF(L164="","",IF(L164&lt;-0.05,"Bán phá giá",IF(L164&gt;0.05,"Bán cao hơn","Đúng giá niêm yết")))</f>
        <v/>
      </c>
      <c r="N164" s="2" t="n"/>
      <c r="O164" s="3" t="n"/>
      <c r="P164" s="3" t="n"/>
    </row>
    <row r="165">
      <c r="A165" s="2" t="n">
        <v>164</v>
      </c>
      <c r="B165" s="2" t="inlineStr">
        <is>
          <t>KH001</t>
        </is>
      </c>
      <c r="C165" s="3" t="inlineStr">
        <is>
          <t>Điện nước Nhật (Shop) HCM</t>
        </is>
      </c>
      <c r="D165" s="2" t="inlineStr">
        <is>
          <t>HCM</t>
        </is>
      </c>
      <c r="E165" s="2" t="inlineStr">
        <is>
          <t>BẢO TRÂM</t>
        </is>
      </c>
      <c r="F165" s="2" t="inlineStr">
        <is>
          <t>Shopee</t>
        </is>
      </c>
      <c r="G165" s="2" t="inlineStr">
        <is>
          <t>KBK-16</t>
        </is>
      </c>
      <c r="H165" s="3" t="inlineStr">
        <is>
          <t>Mũi khoan đá KBK-16</t>
        </is>
      </c>
      <c r="I165" s="4" t="n">
        <v>42000</v>
      </c>
      <c r="J165" s="4" t="n"/>
      <c r="K165" s="4">
        <f>IF(AND(ISNUMBER(J165),ISNUMBER(I165)),J165-I165,"")</f>
        <v/>
      </c>
      <c r="L165" s="5">
        <f>IF(AND(ISNUMBER(J165),ISNUMBER(I165),I165&gt;0),(J165-I165)/I165,"")</f>
        <v/>
      </c>
      <c r="M165" s="2">
        <f>IF(L165="","",IF(L165&lt;-0.05,"Bán phá giá",IF(L165&gt;0.05,"Bán cao hơn","Đúng giá niêm yết")))</f>
        <v/>
      </c>
      <c r="N165" s="2" t="n"/>
      <c r="O165" s="3" t="n"/>
      <c r="P165" s="3" t="n"/>
    </row>
    <row r="166">
      <c r="A166" s="2" t="n">
        <v>165</v>
      </c>
      <c r="B166" s="2" t="inlineStr">
        <is>
          <t>KH001</t>
        </is>
      </c>
      <c r="C166" s="3" t="inlineStr">
        <is>
          <t>Điện nước Nhật (Shop) HCM</t>
        </is>
      </c>
      <c r="D166" s="2" t="inlineStr">
        <is>
          <t>HCM</t>
        </is>
      </c>
      <c r="E166" s="2" t="inlineStr">
        <is>
          <t>BẢO TRÂM</t>
        </is>
      </c>
      <c r="F166" s="2" t="inlineStr">
        <is>
          <t>Shopee</t>
        </is>
      </c>
      <c r="G166" s="2" t="inlineStr">
        <is>
          <t>KBK-18</t>
        </is>
      </c>
      <c r="H166" s="3" t="inlineStr">
        <is>
          <t>Mũi khoan đá KBK-18</t>
        </is>
      </c>
      <c r="I166" s="4" t="n">
        <v>54000</v>
      </c>
      <c r="J166" s="4" t="n"/>
      <c r="K166" s="4">
        <f>IF(AND(ISNUMBER(J166),ISNUMBER(I166)),J166-I166,"")</f>
        <v/>
      </c>
      <c r="L166" s="5">
        <f>IF(AND(ISNUMBER(J166),ISNUMBER(I166),I166&gt;0),(J166-I166)/I166,"")</f>
        <v/>
      </c>
      <c r="M166" s="2">
        <f>IF(L166="","",IF(L166&lt;-0.05,"Bán phá giá",IF(L166&gt;0.05,"Bán cao hơn","Đúng giá niêm yết")))</f>
        <v/>
      </c>
      <c r="N166" s="2" t="n"/>
      <c r="O166" s="3" t="n"/>
      <c r="P166" s="3" t="n"/>
    </row>
    <row r="167">
      <c r="A167" s="2" t="n">
        <v>166</v>
      </c>
      <c r="B167" s="2" t="inlineStr">
        <is>
          <t>KH001</t>
        </is>
      </c>
      <c r="C167" s="3" t="inlineStr">
        <is>
          <t>Điện nước Nhật (Shop) HCM</t>
        </is>
      </c>
      <c r="D167" s="2" t="inlineStr">
        <is>
          <t>HCM</t>
        </is>
      </c>
      <c r="E167" s="2" t="inlineStr">
        <is>
          <t>BẢO TRÂM</t>
        </is>
      </c>
      <c r="F167" s="2" t="inlineStr">
        <is>
          <t>Shopee</t>
        </is>
      </c>
      <c r="G167" s="2" t="inlineStr">
        <is>
          <t>KBK-21</t>
        </is>
      </c>
      <c r="H167" s="3" t="inlineStr">
        <is>
          <t>Mũi khoan đá KBK-21</t>
        </is>
      </c>
      <c r="I167" s="4" t="n">
        <v>79000</v>
      </c>
      <c r="J167" s="4" t="n"/>
      <c r="K167" s="4">
        <f>IF(AND(ISNUMBER(J167),ISNUMBER(I167)),J167-I167,"")</f>
        <v/>
      </c>
      <c r="L167" s="5">
        <f>IF(AND(ISNUMBER(J167),ISNUMBER(I167),I167&gt;0),(J167-I167)/I167,"")</f>
        <v/>
      </c>
      <c r="M167" s="2">
        <f>IF(L167="","",IF(L167&lt;-0.05,"Bán phá giá",IF(L167&gt;0.05,"Bán cao hơn","Đúng giá niêm yết")))</f>
        <v/>
      </c>
      <c r="N167" s="2" t="n"/>
      <c r="O167" s="3" t="n"/>
      <c r="P167" s="3" t="n"/>
    </row>
    <row r="168">
      <c r="A168" s="2" t="n">
        <v>167</v>
      </c>
      <c r="B168" s="2" t="inlineStr">
        <is>
          <t>KH001</t>
        </is>
      </c>
      <c r="C168" s="3" t="inlineStr">
        <is>
          <t>Điện nước Nhật (Shop) HCM</t>
        </is>
      </c>
      <c r="D168" s="2" t="inlineStr">
        <is>
          <t>HCM</t>
        </is>
      </c>
      <c r="E168" s="2" t="inlineStr">
        <is>
          <t>BẢO TRÂM</t>
        </is>
      </c>
      <c r="F168" s="2" t="inlineStr">
        <is>
          <t>Shopee</t>
        </is>
      </c>
      <c r="G168" s="2" t="inlineStr">
        <is>
          <t>KBK-25</t>
        </is>
      </c>
      <c r="H168" s="3" t="inlineStr">
        <is>
          <t>Mũi khoan đá KBK-25</t>
        </is>
      </c>
      <c r="I168" s="4" t="n">
        <v>73000</v>
      </c>
      <c r="J168" s="4" t="n"/>
      <c r="K168" s="4">
        <f>IF(AND(ISNUMBER(J168),ISNUMBER(I168)),J168-I168,"")</f>
        <v/>
      </c>
      <c r="L168" s="5">
        <f>IF(AND(ISNUMBER(J168),ISNUMBER(I168),I168&gt;0),(J168-I168)/I168,"")</f>
        <v/>
      </c>
      <c r="M168" s="2">
        <f>IF(L168="","",IF(L168&lt;-0.05,"Bán phá giá",IF(L168&gt;0.05,"Bán cao hơn","Đúng giá niêm yết")))</f>
        <v/>
      </c>
      <c r="N168" s="2" t="n"/>
      <c r="O168" s="3" t="n"/>
      <c r="P168" s="3" t="n"/>
    </row>
    <row r="169">
      <c r="A169" s="2" t="n">
        <v>168</v>
      </c>
      <c r="B169" s="2" t="inlineStr">
        <is>
          <t>KH001</t>
        </is>
      </c>
      <c r="C169" s="3" t="inlineStr">
        <is>
          <t>Điện nước Nhật (Shop) HCM</t>
        </is>
      </c>
      <c r="D169" s="2" t="inlineStr">
        <is>
          <t>HCM</t>
        </is>
      </c>
      <c r="E169" s="2" t="inlineStr">
        <is>
          <t>BẢO TRÂM</t>
        </is>
      </c>
      <c r="F169" s="2" t="inlineStr">
        <is>
          <t>Shopee</t>
        </is>
      </c>
      <c r="G169" s="2" t="inlineStr">
        <is>
          <t>KBK-27</t>
        </is>
      </c>
      <c r="H169" s="3" t="inlineStr">
        <is>
          <t>Mũi khoan đá KBK-27</t>
        </is>
      </c>
      <c r="I169" s="4" t="n">
        <v>80000</v>
      </c>
      <c r="J169" s="4" t="n"/>
      <c r="K169" s="4">
        <f>IF(AND(ISNUMBER(J169),ISNUMBER(I169)),J169-I169,"")</f>
        <v/>
      </c>
      <c r="L169" s="5">
        <f>IF(AND(ISNUMBER(J169),ISNUMBER(I169),I169&gt;0),(J169-I169)/I169,"")</f>
        <v/>
      </c>
      <c r="M169" s="2">
        <f>IF(L169="","",IF(L169&lt;-0.05,"Bán phá giá",IF(L169&gt;0.05,"Bán cao hơn","Đúng giá niêm yết")))</f>
        <v/>
      </c>
      <c r="N169" s="2" t="n"/>
      <c r="O169" s="3" t="n"/>
      <c r="P169" s="3" t="n"/>
    </row>
    <row r="170">
      <c r="A170" s="2" t="n">
        <v>169</v>
      </c>
      <c r="B170" s="2" t="inlineStr">
        <is>
          <t>KH001</t>
        </is>
      </c>
      <c r="C170" s="3" t="inlineStr">
        <is>
          <t>Điện nước Nhật (Shop) HCM</t>
        </is>
      </c>
      <c r="D170" s="2" t="inlineStr">
        <is>
          <t>HCM</t>
        </is>
      </c>
      <c r="E170" s="2" t="inlineStr">
        <is>
          <t>BẢO TRÂM</t>
        </is>
      </c>
      <c r="F170" s="2" t="inlineStr">
        <is>
          <t>Shopee</t>
        </is>
      </c>
      <c r="G170" s="2" t="inlineStr">
        <is>
          <t>KBK-30</t>
        </is>
      </c>
      <c r="H170" s="3" t="inlineStr">
        <is>
          <t>Mũi khoan đá KBK-30</t>
        </is>
      </c>
      <c r="I170" s="4" t="n">
        <v>87000</v>
      </c>
      <c r="J170" s="4" t="n"/>
      <c r="K170" s="4">
        <f>IF(AND(ISNUMBER(J170),ISNUMBER(I170)),J170-I170,"")</f>
        <v/>
      </c>
      <c r="L170" s="5">
        <f>IF(AND(ISNUMBER(J170),ISNUMBER(I170),I170&gt;0),(J170-I170)/I170,"")</f>
        <v/>
      </c>
      <c r="M170" s="2">
        <f>IF(L170="","",IF(L170&lt;-0.05,"Bán phá giá",IF(L170&gt;0.05,"Bán cao hơn","Đúng giá niêm yết")))</f>
        <v/>
      </c>
      <c r="N170" s="2" t="n"/>
      <c r="O170" s="3" t="n"/>
      <c r="P170" s="3" t="n"/>
    </row>
    <row r="171">
      <c r="A171" s="2" t="n">
        <v>170</v>
      </c>
      <c r="B171" s="2" t="inlineStr">
        <is>
          <t>KH001</t>
        </is>
      </c>
      <c r="C171" s="3" t="inlineStr">
        <is>
          <t>Điện nước Nhật (Shop) HCM</t>
        </is>
      </c>
      <c r="D171" s="2" t="inlineStr">
        <is>
          <t>HCM</t>
        </is>
      </c>
      <c r="E171" s="2" t="inlineStr">
        <is>
          <t>BẢO TRÂM</t>
        </is>
      </c>
      <c r="F171" s="2" t="inlineStr">
        <is>
          <t>Shopee</t>
        </is>
      </c>
      <c r="G171" s="2" t="inlineStr">
        <is>
          <t>KBK-32</t>
        </is>
      </c>
      <c r="H171" s="3" t="inlineStr">
        <is>
          <t>Mũi khoan đá KBK-32</t>
        </is>
      </c>
      <c r="I171" s="4" t="n">
        <v>119000</v>
      </c>
      <c r="J171" s="4" t="n"/>
      <c r="K171" s="4">
        <f>IF(AND(ISNUMBER(J171),ISNUMBER(I171)),J171-I171,"")</f>
        <v/>
      </c>
      <c r="L171" s="5">
        <f>IF(AND(ISNUMBER(J171),ISNUMBER(I171),I171&gt;0),(J171-I171)/I171,"")</f>
        <v/>
      </c>
      <c r="M171" s="2">
        <f>IF(L171="","",IF(L171&lt;-0.05,"Bán phá giá",IF(L171&gt;0.05,"Bán cao hơn","Đúng giá niêm yết")))</f>
        <v/>
      </c>
      <c r="N171" s="2" t="n"/>
      <c r="O171" s="3" t="n"/>
      <c r="P171" s="3" t="n"/>
    </row>
    <row r="172">
      <c r="A172" s="2" t="n">
        <v>171</v>
      </c>
      <c r="B172" s="2" t="inlineStr">
        <is>
          <t>KH001</t>
        </is>
      </c>
      <c r="C172" s="3" t="inlineStr">
        <is>
          <t>Điện nước Nhật (Shop) HCM</t>
        </is>
      </c>
      <c r="D172" s="2" t="inlineStr">
        <is>
          <t>HCM</t>
        </is>
      </c>
      <c r="E172" s="2" t="inlineStr">
        <is>
          <t>BẢO TRÂM</t>
        </is>
      </c>
      <c r="F172" s="2" t="inlineStr">
        <is>
          <t>Shopee</t>
        </is>
      </c>
      <c r="G172" s="2" t="inlineStr">
        <is>
          <t>KBK-35</t>
        </is>
      </c>
      <c r="H172" s="3" t="inlineStr">
        <is>
          <t>Mũi khoan đá KBK-35</t>
        </is>
      </c>
      <c r="I172" s="4" t="n">
        <v>99000</v>
      </c>
      <c r="J172" s="4" t="n"/>
      <c r="K172" s="4">
        <f>IF(AND(ISNUMBER(J172),ISNUMBER(I172)),J172-I172,"")</f>
        <v/>
      </c>
      <c r="L172" s="5">
        <f>IF(AND(ISNUMBER(J172),ISNUMBER(I172),I172&gt;0),(J172-I172)/I172,"")</f>
        <v/>
      </c>
      <c r="M172" s="2">
        <f>IF(L172="","",IF(L172&lt;-0.05,"Bán phá giá",IF(L172&gt;0.05,"Bán cao hơn","Đúng giá niêm yết")))</f>
        <v/>
      </c>
      <c r="N172" s="2" t="n"/>
      <c r="O172" s="3" t="n"/>
      <c r="P172" s="3" t="n"/>
    </row>
    <row r="173">
      <c r="A173" s="2" t="n">
        <v>172</v>
      </c>
      <c r="B173" s="2" t="inlineStr">
        <is>
          <t>KH001</t>
        </is>
      </c>
      <c r="C173" s="3" t="inlineStr">
        <is>
          <t>Điện nước Nhật (Shop) HCM</t>
        </is>
      </c>
      <c r="D173" s="2" t="inlineStr">
        <is>
          <t>HCM</t>
        </is>
      </c>
      <c r="E173" s="2" t="inlineStr">
        <is>
          <t>BẢO TRÂM</t>
        </is>
      </c>
      <c r="F173" s="2" t="inlineStr">
        <is>
          <t>Shopee</t>
        </is>
      </c>
      <c r="G173" s="2" t="inlineStr">
        <is>
          <t>KBH2E-06*150</t>
        </is>
      </c>
      <c r="H173" s="3" t="inlineStr">
        <is>
          <t>Mũi khoan ĐN lục giác 2 cạnh KBH2E-06*150</t>
        </is>
      </c>
      <c r="I173" s="4" t="n">
        <v>40000</v>
      </c>
      <c r="J173" s="4" t="n"/>
      <c r="K173" s="4">
        <f>IF(AND(ISNUMBER(J173),ISNUMBER(I173)),J173-I173,"")</f>
        <v/>
      </c>
      <c r="L173" s="5">
        <f>IF(AND(ISNUMBER(J173),ISNUMBER(I173),I173&gt;0),(J173-I173)/I173,"")</f>
        <v/>
      </c>
      <c r="M173" s="2">
        <f>IF(L173="","",IF(L173&lt;-0.05,"Bán phá giá",IF(L173&gt;0.05,"Bán cao hơn","Đúng giá niêm yết")))</f>
        <v/>
      </c>
      <c r="N173" s="2" t="n"/>
      <c r="O173" s="3" t="n"/>
      <c r="P173" s="3" t="n"/>
    </row>
    <row r="174">
      <c r="A174" s="2" t="n">
        <v>173</v>
      </c>
      <c r="B174" s="2" t="inlineStr">
        <is>
          <t>KH001</t>
        </is>
      </c>
      <c r="C174" s="3" t="inlineStr">
        <is>
          <t>Điện nước Nhật (Shop) HCM</t>
        </is>
      </c>
      <c r="D174" s="2" t="inlineStr">
        <is>
          <t>HCM</t>
        </is>
      </c>
      <c r="E174" s="2" t="inlineStr">
        <is>
          <t>BẢO TRÂM</t>
        </is>
      </c>
      <c r="F174" s="2" t="inlineStr">
        <is>
          <t>Shopee</t>
        </is>
      </c>
      <c r="G174" s="2" t="inlineStr">
        <is>
          <t>KBH2F-03*95</t>
        </is>
      </c>
      <c r="H174" s="3" t="inlineStr">
        <is>
          <t>Mũi khoan ĐN lục giác 2 cạnh KBH2F-03*95</t>
        </is>
      </c>
      <c r="I174" s="4" t="n">
        <v>35000</v>
      </c>
      <c r="J174" s="4" t="n"/>
      <c r="K174" s="4">
        <f>IF(AND(ISNUMBER(J174),ISNUMBER(I174)),J174-I174,"")</f>
        <v/>
      </c>
      <c r="L174" s="5">
        <f>IF(AND(ISNUMBER(J174),ISNUMBER(I174),I174&gt;0),(J174-I174)/I174,"")</f>
        <v/>
      </c>
      <c r="M174" s="2">
        <f>IF(L174="","",IF(L174&lt;-0.05,"Bán phá giá",IF(L174&gt;0.05,"Bán cao hơn","Đúng giá niêm yết")))</f>
        <v/>
      </c>
      <c r="N174" s="2" t="n"/>
      <c r="O174" s="3" t="n"/>
      <c r="P174" s="3" t="n"/>
    </row>
    <row r="175">
      <c r="A175" s="2" t="n">
        <v>174</v>
      </c>
      <c r="B175" s="2" t="inlineStr">
        <is>
          <t>KH001</t>
        </is>
      </c>
      <c r="C175" s="3" t="inlineStr">
        <is>
          <t>Điện nước Nhật (Shop) HCM</t>
        </is>
      </c>
      <c r="D175" s="2" t="inlineStr">
        <is>
          <t>HCM</t>
        </is>
      </c>
      <c r="E175" s="2" t="inlineStr">
        <is>
          <t>BẢO TRÂM</t>
        </is>
      </c>
      <c r="F175" s="2" t="inlineStr">
        <is>
          <t>Shopee</t>
        </is>
      </c>
      <c r="G175" s="2" t="inlineStr">
        <is>
          <t>KBH2F-04*95</t>
        </is>
      </c>
      <c r="H175" s="3" t="inlineStr">
        <is>
          <t>Mũi khoan ĐN lục giác 2 cạnh KBH2F-04*95</t>
        </is>
      </c>
      <c r="I175" s="4" t="n">
        <v>35000</v>
      </c>
      <c r="J175" s="4" t="n"/>
      <c r="K175" s="4">
        <f>IF(AND(ISNUMBER(J175),ISNUMBER(I175)),J175-I175,"")</f>
        <v/>
      </c>
      <c r="L175" s="5">
        <f>IF(AND(ISNUMBER(J175),ISNUMBER(I175),I175&gt;0),(J175-I175)/I175,"")</f>
        <v/>
      </c>
      <c r="M175" s="2">
        <f>IF(L175="","",IF(L175&lt;-0.05,"Bán phá giá",IF(L175&gt;0.05,"Bán cao hơn","Đúng giá niêm yết")))</f>
        <v/>
      </c>
      <c r="N175" s="2" t="n"/>
      <c r="O175" s="3" t="n"/>
      <c r="P175" s="3" t="n"/>
    </row>
    <row r="176">
      <c r="A176" s="2" t="n">
        <v>175</v>
      </c>
      <c r="B176" s="2" t="inlineStr">
        <is>
          <t>KH001</t>
        </is>
      </c>
      <c r="C176" s="3" t="inlineStr">
        <is>
          <t>Điện nước Nhật (Shop) HCM</t>
        </is>
      </c>
      <c r="D176" s="2" t="inlineStr">
        <is>
          <t>HCM</t>
        </is>
      </c>
      <c r="E176" s="2" t="inlineStr">
        <is>
          <t>BẢO TRÂM</t>
        </is>
      </c>
      <c r="F176" s="2" t="inlineStr">
        <is>
          <t>Shopee</t>
        </is>
      </c>
      <c r="G176" s="2" t="inlineStr">
        <is>
          <t>KBH2F-05*95</t>
        </is>
      </c>
      <c r="H176" s="3" t="inlineStr">
        <is>
          <t>Mũi khoan ĐN lục giác 2 cạnh KBH2F-05*95</t>
        </is>
      </c>
      <c r="I176" s="4" t="n">
        <v>35000</v>
      </c>
      <c r="J176" s="4" t="n"/>
      <c r="K176" s="4">
        <f>IF(AND(ISNUMBER(J176),ISNUMBER(I176)),J176-I176,"")</f>
        <v/>
      </c>
      <c r="L176" s="5">
        <f>IF(AND(ISNUMBER(J176),ISNUMBER(I176),I176&gt;0),(J176-I176)/I176,"")</f>
        <v/>
      </c>
      <c r="M176" s="2">
        <f>IF(L176="","",IF(L176&lt;-0.05,"Bán phá giá",IF(L176&gt;0.05,"Bán cao hơn","Đúng giá niêm yết")))</f>
        <v/>
      </c>
      <c r="N176" s="2" t="n"/>
      <c r="O176" s="3" t="n"/>
      <c r="P176" s="3" t="n"/>
    </row>
    <row r="177">
      <c r="A177" s="2" t="n">
        <v>176</v>
      </c>
      <c r="B177" s="2" t="inlineStr">
        <is>
          <t>KH001</t>
        </is>
      </c>
      <c r="C177" s="3" t="inlineStr">
        <is>
          <t>Điện nước Nhật (Shop) HCM</t>
        </is>
      </c>
      <c r="D177" s="2" t="inlineStr">
        <is>
          <t>HCM</t>
        </is>
      </c>
      <c r="E177" s="2" t="inlineStr">
        <is>
          <t>BẢO TRÂM</t>
        </is>
      </c>
      <c r="F177" s="2" t="inlineStr">
        <is>
          <t>Shopee</t>
        </is>
      </c>
      <c r="G177" s="2" t="inlineStr">
        <is>
          <t>KBH2F-06*95</t>
        </is>
      </c>
      <c r="H177" s="3" t="inlineStr">
        <is>
          <t>Mũi khoan ĐN lục giác 2 cạnh KBH2F-06*95</t>
        </is>
      </c>
      <c r="I177" s="4" t="n">
        <v>35000</v>
      </c>
      <c r="J177" s="4" t="n"/>
      <c r="K177" s="4">
        <f>IF(AND(ISNUMBER(J177),ISNUMBER(I177)),J177-I177,"")</f>
        <v/>
      </c>
      <c r="L177" s="5">
        <f>IF(AND(ISNUMBER(J177),ISNUMBER(I177),I177&gt;0),(J177-I177)/I177,"")</f>
        <v/>
      </c>
      <c r="M177" s="2">
        <f>IF(L177="","",IF(L177&lt;-0.05,"Bán phá giá",IF(L177&gt;0.05,"Bán cao hơn","Đúng giá niêm yết")))</f>
        <v/>
      </c>
      <c r="N177" s="2" t="n"/>
      <c r="O177" s="3" t="n"/>
      <c r="P177" s="3" t="n"/>
    </row>
    <row r="178">
      <c r="A178" s="2" t="n">
        <v>177</v>
      </c>
      <c r="B178" s="2" t="inlineStr">
        <is>
          <t>KH001</t>
        </is>
      </c>
      <c r="C178" s="3" t="inlineStr">
        <is>
          <t>Điện nước Nhật (Shop) HCM</t>
        </is>
      </c>
      <c r="D178" s="2" t="inlineStr">
        <is>
          <t>HCM</t>
        </is>
      </c>
      <c r="E178" s="2" t="inlineStr">
        <is>
          <t>BẢO TRÂM</t>
        </is>
      </c>
      <c r="F178" s="2" t="inlineStr">
        <is>
          <t>Shopee</t>
        </is>
      </c>
      <c r="G178" s="2" t="inlineStr">
        <is>
          <t>KBH2F-08*95</t>
        </is>
      </c>
      <c r="H178" s="3" t="inlineStr">
        <is>
          <t>Mũi khoan ĐN lục giác 2 cạnh KBH2F-08*95</t>
        </is>
      </c>
      <c r="I178" s="4" t="n">
        <v>43000</v>
      </c>
      <c r="J178" s="4" t="n"/>
      <c r="K178" s="4">
        <f>IF(AND(ISNUMBER(J178),ISNUMBER(I178)),J178-I178,"")</f>
        <v/>
      </c>
      <c r="L178" s="5">
        <f>IF(AND(ISNUMBER(J178),ISNUMBER(I178),I178&gt;0),(J178-I178)/I178,"")</f>
        <v/>
      </c>
      <c r="M178" s="2">
        <f>IF(L178="","",IF(L178&lt;-0.05,"Bán phá giá",IF(L178&gt;0.05,"Bán cao hơn","Đúng giá niêm yết")))</f>
        <v/>
      </c>
      <c r="N178" s="2" t="n"/>
      <c r="O178" s="3" t="n"/>
      <c r="P178" s="3" t="n"/>
    </row>
    <row r="179">
      <c r="A179" s="2" t="n">
        <v>178</v>
      </c>
      <c r="B179" s="2" t="inlineStr">
        <is>
          <t>KH001</t>
        </is>
      </c>
      <c r="C179" s="3" t="inlineStr">
        <is>
          <t>Điện nước Nhật (Shop) HCM</t>
        </is>
      </c>
      <c r="D179" s="2" t="inlineStr">
        <is>
          <t>HCM</t>
        </is>
      </c>
      <c r="E179" s="2" t="inlineStr">
        <is>
          <t>BẢO TRÂM</t>
        </is>
      </c>
      <c r="F179" s="2" t="inlineStr">
        <is>
          <t>Shopee</t>
        </is>
      </c>
      <c r="G179" s="2" t="inlineStr">
        <is>
          <t>KBH4S-08*117</t>
        </is>
      </c>
      <c r="H179" s="3" t="inlineStr">
        <is>
          <t>Mũi khoan ĐN lục giác 4 cạnh KBH4S-08*117</t>
        </is>
      </c>
      <c r="I179" s="4" t="n">
        <v>41000</v>
      </c>
      <c r="J179" s="4" t="n"/>
      <c r="K179" s="4">
        <f>IF(AND(ISNUMBER(J179),ISNUMBER(I179)),J179-I179,"")</f>
        <v/>
      </c>
      <c r="L179" s="5">
        <f>IF(AND(ISNUMBER(J179),ISNUMBER(I179),I179&gt;0),(J179-I179)/I179,"")</f>
        <v/>
      </c>
      <c r="M179" s="2">
        <f>IF(L179="","",IF(L179&lt;-0.05,"Bán phá giá",IF(L179&gt;0.05,"Bán cao hơn","Đúng giá niêm yết")))</f>
        <v/>
      </c>
      <c r="N179" s="2" t="n"/>
      <c r="O179" s="3" t="n"/>
      <c r="P179" s="3" t="n"/>
    </row>
    <row r="180">
      <c r="A180" s="2" t="n">
        <v>179</v>
      </c>
      <c r="B180" s="2" t="inlineStr">
        <is>
          <t>KH001</t>
        </is>
      </c>
      <c r="C180" s="3" t="inlineStr">
        <is>
          <t>Điện nước Nhật (Shop) HCM</t>
        </is>
      </c>
      <c r="D180" s="2" t="inlineStr">
        <is>
          <t>HCM</t>
        </is>
      </c>
      <c r="E180" s="2" t="inlineStr">
        <is>
          <t>BẢO TRÂM</t>
        </is>
      </c>
      <c r="F180" s="2" t="inlineStr">
        <is>
          <t>Shopee</t>
        </is>
      </c>
      <c r="G180" s="2" t="inlineStr">
        <is>
          <t>KBH4S-10*123</t>
        </is>
      </c>
      <c r="H180" s="3" t="inlineStr">
        <is>
          <t>Mũi khoan ĐN lục giác 4 cạnh KBH4S-10*123</t>
        </is>
      </c>
      <c r="I180" s="4" t="n">
        <v>51000</v>
      </c>
      <c r="J180" s="4" t="n"/>
      <c r="K180" s="4">
        <f>IF(AND(ISNUMBER(J180),ISNUMBER(I180)),J180-I180,"")</f>
        <v/>
      </c>
      <c r="L180" s="5">
        <f>IF(AND(ISNUMBER(J180),ISNUMBER(I180),I180&gt;0),(J180-I180)/I180,"")</f>
        <v/>
      </c>
      <c r="M180" s="2">
        <f>IF(L180="","",IF(L180&lt;-0.05,"Bán phá giá",IF(L180&gt;0.05,"Bán cao hơn","Đúng giá niêm yết")))</f>
        <v/>
      </c>
      <c r="N180" s="2" t="n"/>
      <c r="O180" s="3" t="n"/>
      <c r="P180" s="3" t="n"/>
    </row>
    <row r="181">
      <c r="A181" s="2" t="n">
        <v>180</v>
      </c>
      <c r="B181" s="2" t="inlineStr">
        <is>
          <t>KH001</t>
        </is>
      </c>
      <c r="C181" s="3" t="inlineStr">
        <is>
          <t>Điện nước Nhật (Shop) HCM</t>
        </is>
      </c>
      <c r="D181" s="2" t="inlineStr">
        <is>
          <t>HCM</t>
        </is>
      </c>
      <c r="E181" s="2" t="inlineStr">
        <is>
          <t>BẢO TRÂM</t>
        </is>
      </c>
      <c r="F181" s="2" t="inlineStr">
        <is>
          <t>Shopee</t>
        </is>
      </c>
      <c r="G181" s="2" t="inlineStr">
        <is>
          <t>KBH4S-12*123</t>
        </is>
      </c>
      <c r="H181" s="3" t="inlineStr">
        <is>
          <t>Mũi khoan ĐN lục giác 4 cạnh KBH4S-12*123</t>
        </is>
      </c>
      <c r="I181" s="4" t="n">
        <v>62000</v>
      </c>
      <c r="J181" s="4" t="n"/>
      <c r="K181" s="4">
        <f>IF(AND(ISNUMBER(J181),ISNUMBER(I181)),J181-I181,"")</f>
        <v/>
      </c>
      <c r="L181" s="5">
        <f>IF(AND(ISNUMBER(J181),ISNUMBER(I181),I181&gt;0),(J181-I181)/I181,"")</f>
        <v/>
      </c>
      <c r="M181" s="2">
        <f>IF(L181="","",IF(L181&lt;-0.05,"Bán phá giá",IF(L181&gt;0.05,"Bán cao hơn","Đúng giá niêm yết")))</f>
        <v/>
      </c>
      <c r="N181" s="2" t="n"/>
      <c r="O181" s="3" t="n"/>
      <c r="P181" s="3" t="n"/>
    </row>
    <row r="182">
      <c r="A182" s="2" t="n">
        <v>181</v>
      </c>
      <c r="B182" s="2" t="inlineStr">
        <is>
          <t>KH001</t>
        </is>
      </c>
      <c r="C182" s="3" t="inlineStr">
        <is>
          <t>Điện nước Nhật (Shop) HCM</t>
        </is>
      </c>
      <c r="D182" s="2" t="inlineStr">
        <is>
          <t>HCM</t>
        </is>
      </c>
      <c r="E182" s="2" t="inlineStr">
        <is>
          <t>BẢO TRÂM</t>
        </is>
      </c>
      <c r="F182" s="2" t="inlineStr">
        <is>
          <t>Shopee</t>
        </is>
      </c>
      <c r="G182" s="2" t="inlineStr">
        <is>
          <t>KBH4S-3.5*92</t>
        </is>
      </c>
      <c r="H182" s="3" t="inlineStr">
        <is>
          <t>Mũi khoan ĐN lục giác 4 cạnh KBH4S-3.5*92</t>
        </is>
      </c>
      <c r="I182" s="4" t="n">
        <v>32000</v>
      </c>
      <c r="J182" s="4" t="n"/>
      <c r="K182" s="4">
        <f>IF(AND(ISNUMBER(J182),ISNUMBER(I182)),J182-I182,"")</f>
        <v/>
      </c>
      <c r="L182" s="5">
        <f>IF(AND(ISNUMBER(J182),ISNUMBER(I182),I182&gt;0),(J182-I182)/I182,"")</f>
        <v/>
      </c>
      <c r="M182" s="2">
        <f>IF(L182="","",IF(L182&lt;-0.05,"Bán phá giá",IF(L182&gt;0.05,"Bán cao hơn","Đúng giá niêm yết")))</f>
        <v/>
      </c>
      <c r="N182" s="2" t="n"/>
      <c r="O182" s="3" t="n"/>
      <c r="P182" s="3" t="n"/>
    </row>
    <row r="183">
      <c r="A183" s="2" t="n">
        <v>182</v>
      </c>
      <c r="B183" s="2" t="inlineStr">
        <is>
          <t>KH001</t>
        </is>
      </c>
      <c r="C183" s="3" t="inlineStr">
        <is>
          <t>Điện nước Nhật (Shop) HCM</t>
        </is>
      </c>
      <c r="D183" s="2" t="inlineStr">
        <is>
          <t>HCM</t>
        </is>
      </c>
      <c r="E183" s="2" t="inlineStr">
        <is>
          <t>BẢO TRÂM</t>
        </is>
      </c>
      <c r="F183" s="2" t="inlineStr">
        <is>
          <t>Shopee</t>
        </is>
      </c>
      <c r="G183" s="2" t="inlineStr">
        <is>
          <t>KBX1-08*200</t>
        </is>
      </c>
      <c r="H183" s="3" t="inlineStr">
        <is>
          <t>Mũi khoan gỗ chuôi lục KBX1-08*200</t>
        </is>
      </c>
      <c r="I183" s="4" t="n">
        <v>52000</v>
      </c>
      <c r="J183" s="4" t="n"/>
      <c r="K183" s="4">
        <f>IF(AND(ISNUMBER(J183),ISNUMBER(I183)),J183-I183,"")</f>
        <v/>
      </c>
      <c r="L183" s="5">
        <f>IF(AND(ISNUMBER(J183),ISNUMBER(I183),I183&gt;0),(J183-I183)/I183,"")</f>
        <v/>
      </c>
      <c r="M183" s="2">
        <f>IF(L183="","",IF(L183&lt;-0.05,"Bán phá giá",IF(L183&gt;0.05,"Bán cao hơn","Đúng giá niêm yết")))</f>
        <v/>
      </c>
      <c r="N183" s="2" t="n"/>
      <c r="O183" s="3" t="n"/>
      <c r="P183" s="3" t="n"/>
    </row>
    <row r="184">
      <c r="A184" s="2" t="n">
        <v>183</v>
      </c>
      <c r="B184" s="2" t="inlineStr">
        <is>
          <t>KH001</t>
        </is>
      </c>
      <c r="C184" s="3" t="inlineStr">
        <is>
          <t>Điện nước Nhật (Shop) HCM</t>
        </is>
      </c>
      <c r="D184" s="2" t="inlineStr">
        <is>
          <t>HCM</t>
        </is>
      </c>
      <c r="E184" s="2" t="inlineStr">
        <is>
          <t>BẢO TRÂM</t>
        </is>
      </c>
      <c r="F184" s="2" t="inlineStr">
        <is>
          <t>Shopee</t>
        </is>
      </c>
      <c r="G184" s="2" t="inlineStr">
        <is>
          <t>KBX1-12*200</t>
        </is>
      </c>
      <c r="H184" s="3" t="inlineStr">
        <is>
          <t>Mũi khoan gỗ chuôi lục KBX1-12*200</t>
        </is>
      </c>
      <c r="I184" s="4" t="n">
        <v>48000</v>
      </c>
      <c r="J184" s="4" t="n"/>
      <c r="K184" s="4">
        <f>IF(AND(ISNUMBER(J184),ISNUMBER(I184)),J184-I184,"")</f>
        <v/>
      </c>
      <c r="L184" s="5">
        <f>IF(AND(ISNUMBER(J184),ISNUMBER(I184),I184&gt;0),(J184-I184)/I184,"")</f>
        <v/>
      </c>
      <c r="M184" s="2">
        <f>IF(L184="","",IF(L184&lt;-0.05,"Bán phá giá",IF(L184&gt;0.05,"Bán cao hơn","Đúng giá niêm yết")))</f>
        <v/>
      </c>
      <c r="N184" s="2" t="n"/>
      <c r="O184" s="3" t="n"/>
      <c r="P184" s="3" t="n"/>
    </row>
    <row r="185">
      <c r="A185" s="2" t="n">
        <v>184</v>
      </c>
      <c r="B185" s="2" t="inlineStr">
        <is>
          <t>KH001</t>
        </is>
      </c>
      <c r="C185" s="3" t="inlineStr">
        <is>
          <t>Điện nước Nhật (Shop) HCM</t>
        </is>
      </c>
      <c r="D185" s="2" t="inlineStr">
        <is>
          <t>HCM</t>
        </is>
      </c>
      <c r="E185" s="2" t="inlineStr">
        <is>
          <t>BẢO TRÂM</t>
        </is>
      </c>
      <c r="F185" s="2" t="inlineStr">
        <is>
          <t>Shopee</t>
        </is>
      </c>
      <c r="G185" s="2" t="inlineStr"/>
      <c r="H185" s="3" t="inlineStr">
        <is>
          <t>Mũi khoan tường không tắc kê KBLJ - 03*100</t>
        </is>
      </c>
      <c r="I185" s="4" t="n">
        <v>70000</v>
      </c>
      <c r="J185" s="4" t="n"/>
      <c r="K185" s="4">
        <f>IF(AND(ISNUMBER(J185),ISNUMBER(I185)),J185-I185,"")</f>
        <v/>
      </c>
      <c r="L185" s="5">
        <f>IF(AND(ISNUMBER(J185),ISNUMBER(I185),I185&gt;0),(J185-I185)/I185,"")</f>
        <v/>
      </c>
      <c r="M185" s="2">
        <f>IF(L185="","",IF(L185&lt;-0.05,"Bán phá giá",IF(L185&gt;0.05,"Bán cao hơn","Đúng giá niêm yết")))</f>
        <v/>
      </c>
      <c r="N185" s="2" t="n"/>
      <c r="O185" s="3" t="n"/>
      <c r="P185" s="3" t="n"/>
    </row>
    <row r="186">
      <c r="A186" s="2" t="n">
        <v>185</v>
      </c>
      <c r="B186" s="2" t="inlineStr">
        <is>
          <t>KH001</t>
        </is>
      </c>
      <c r="C186" s="3" t="inlineStr">
        <is>
          <t>Điện nước Nhật (Shop) HCM</t>
        </is>
      </c>
      <c r="D186" s="2" t="inlineStr">
        <is>
          <t>HCM</t>
        </is>
      </c>
      <c r="E186" s="2" t="inlineStr">
        <is>
          <t>BẢO TRÂM</t>
        </is>
      </c>
      <c r="F186" s="2" t="inlineStr">
        <is>
          <t>Shopee</t>
        </is>
      </c>
      <c r="G186" s="2" t="inlineStr"/>
      <c r="H186" s="3" t="inlineStr">
        <is>
          <t>Mũi khoan tường không tắc kê KBLJ - 03.2*100</t>
        </is>
      </c>
      <c r="I186" s="4" t="n">
        <v>70000</v>
      </c>
      <c r="J186" s="4" t="n"/>
      <c r="K186" s="4">
        <f>IF(AND(ISNUMBER(J186),ISNUMBER(I186)),J186-I186,"")</f>
        <v/>
      </c>
      <c r="L186" s="5">
        <f>IF(AND(ISNUMBER(J186),ISNUMBER(I186),I186&gt;0),(J186-I186)/I186,"")</f>
        <v/>
      </c>
      <c r="M186" s="2">
        <f>IF(L186="","",IF(L186&lt;-0.05,"Bán phá giá",IF(L186&gt;0.05,"Bán cao hơn","Đúng giá niêm yết")))</f>
        <v/>
      </c>
      <c r="N186" s="2" t="n"/>
      <c r="O186" s="3" t="n"/>
      <c r="P186" s="3" t="n"/>
    </row>
    <row r="187">
      <c r="A187" s="2" t="n">
        <v>186</v>
      </c>
      <c r="B187" s="2" t="inlineStr">
        <is>
          <t>KH001</t>
        </is>
      </c>
      <c r="C187" s="3" t="inlineStr">
        <is>
          <t>Điện nước Nhật (Shop) HCM</t>
        </is>
      </c>
      <c r="D187" s="2" t="inlineStr">
        <is>
          <t>HCM</t>
        </is>
      </c>
      <c r="E187" s="2" t="inlineStr">
        <is>
          <t>BẢO TRÂM</t>
        </is>
      </c>
      <c r="F187" s="2" t="inlineStr">
        <is>
          <t>Shopee</t>
        </is>
      </c>
      <c r="G187" s="2" t="inlineStr"/>
      <c r="H187" s="3" t="inlineStr">
        <is>
          <t>Mũi khoan tường không tắc kê KBLJ - 03.5*100</t>
        </is>
      </c>
      <c r="I187" s="4" t="n">
        <v>35000</v>
      </c>
      <c r="J187" s="4" t="n"/>
      <c r="K187" s="4">
        <f>IF(AND(ISNUMBER(J187),ISNUMBER(I187)),J187-I187,"")</f>
        <v/>
      </c>
      <c r="L187" s="5">
        <f>IF(AND(ISNUMBER(J187),ISNUMBER(I187),I187&gt;0),(J187-I187)/I187,"")</f>
        <v/>
      </c>
      <c r="M187" s="2">
        <f>IF(L187="","",IF(L187&lt;-0.05,"Bán phá giá",IF(L187&gt;0.05,"Bán cao hơn","Đúng giá niêm yết")))</f>
        <v/>
      </c>
      <c r="N187" s="2" t="n"/>
      <c r="O187" s="3" t="n"/>
      <c r="P187" s="3" t="n"/>
    </row>
    <row r="188">
      <c r="A188" s="2" t="n">
        <v>187</v>
      </c>
      <c r="B188" s="2" t="inlineStr">
        <is>
          <t>KH001</t>
        </is>
      </c>
      <c r="C188" s="3" t="inlineStr">
        <is>
          <t>Điện nước Nhật (Shop) HCM</t>
        </is>
      </c>
      <c r="D188" s="2" t="inlineStr">
        <is>
          <t>HCM</t>
        </is>
      </c>
      <c r="E188" s="2" t="inlineStr">
        <is>
          <t>BẢO TRÂM</t>
        </is>
      </c>
      <c r="F188" s="2" t="inlineStr">
        <is>
          <t>Shopee</t>
        </is>
      </c>
      <c r="G188" s="2" t="inlineStr"/>
      <c r="H188" s="3" t="inlineStr">
        <is>
          <t>Mũi khoan tường không tắc kê KBLJ - 04*100</t>
        </is>
      </c>
      <c r="I188" s="4" t="n">
        <v>35000</v>
      </c>
      <c r="J188" s="4" t="n"/>
      <c r="K188" s="4">
        <f>IF(AND(ISNUMBER(J188),ISNUMBER(I188)),J188-I188,"")</f>
        <v/>
      </c>
      <c r="L188" s="5">
        <f>IF(AND(ISNUMBER(J188),ISNUMBER(I188),I188&gt;0),(J188-I188)/I188,"")</f>
        <v/>
      </c>
      <c r="M188" s="2">
        <f>IF(L188="","",IF(L188&lt;-0.05,"Bán phá giá",IF(L188&gt;0.05,"Bán cao hơn","Đúng giá niêm yết")))</f>
        <v/>
      </c>
      <c r="N188" s="2" t="n"/>
      <c r="O188" s="3" t="n"/>
      <c r="P188" s="3" t="n"/>
    </row>
    <row r="189">
      <c r="A189" s="2" t="n">
        <v>188</v>
      </c>
      <c r="B189" s="2" t="inlineStr">
        <is>
          <t>KH001</t>
        </is>
      </c>
      <c r="C189" s="3" t="inlineStr">
        <is>
          <t>Điện nước Nhật (Shop) HCM</t>
        </is>
      </c>
      <c r="D189" s="2" t="inlineStr">
        <is>
          <t>HCM</t>
        </is>
      </c>
      <c r="E189" s="2" t="inlineStr">
        <is>
          <t>BẢO TRÂM</t>
        </is>
      </c>
      <c r="F189" s="2" t="inlineStr">
        <is>
          <t>Shopee</t>
        </is>
      </c>
      <c r="G189" s="2" t="inlineStr"/>
      <c r="H189" s="3" t="inlineStr">
        <is>
          <t>Mũi khoan tường không tắc kê KBLJ - 04.2*100</t>
        </is>
      </c>
      <c r="I189" s="4" t="n">
        <v>35000</v>
      </c>
      <c r="J189" s="4" t="n"/>
      <c r="K189" s="4">
        <f>IF(AND(ISNUMBER(J189),ISNUMBER(I189)),J189-I189,"")</f>
        <v/>
      </c>
      <c r="L189" s="5">
        <f>IF(AND(ISNUMBER(J189),ISNUMBER(I189),I189&gt;0),(J189-I189)/I189,"")</f>
        <v/>
      </c>
      <c r="M189" s="2">
        <f>IF(L189="","",IF(L189&lt;-0.05,"Bán phá giá",IF(L189&gt;0.05,"Bán cao hơn","Đúng giá niêm yết")))</f>
        <v/>
      </c>
      <c r="N189" s="2" t="n"/>
      <c r="O189" s="3" t="n"/>
      <c r="P189" s="3" t="n"/>
    </row>
    <row r="190">
      <c r="A190" s="2" t="n">
        <v>189</v>
      </c>
      <c r="B190" s="2" t="inlineStr">
        <is>
          <t>KH001</t>
        </is>
      </c>
      <c r="C190" s="3" t="inlineStr">
        <is>
          <t>Điện nước Nhật (Shop) HCM</t>
        </is>
      </c>
      <c r="D190" s="2" t="inlineStr">
        <is>
          <t>HCM</t>
        </is>
      </c>
      <c r="E190" s="2" t="inlineStr">
        <is>
          <t>BẢO TRÂM</t>
        </is>
      </c>
      <c r="F190" s="2" t="inlineStr">
        <is>
          <t>Shopee</t>
        </is>
      </c>
      <c r="G190" s="2" t="inlineStr"/>
      <c r="H190" s="3" t="inlineStr">
        <is>
          <t>Mũi khoan tường không tắc kê KBLJ - 04.5*100</t>
        </is>
      </c>
      <c r="I190" s="4" t="n">
        <v>35000</v>
      </c>
      <c r="J190" s="4" t="n"/>
      <c r="K190" s="4">
        <f>IF(AND(ISNUMBER(J190),ISNUMBER(I190)),J190-I190,"")</f>
        <v/>
      </c>
      <c r="L190" s="5">
        <f>IF(AND(ISNUMBER(J190),ISNUMBER(I190),I190&gt;0),(J190-I190)/I190,"")</f>
        <v/>
      </c>
      <c r="M190" s="2">
        <f>IF(L190="","",IF(L190&lt;-0.05,"Bán phá giá",IF(L190&gt;0.05,"Bán cao hơn","Đúng giá niêm yết")))</f>
        <v/>
      </c>
      <c r="N190" s="2" t="n"/>
      <c r="O190" s="3" t="n"/>
      <c r="P190" s="3" t="n"/>
    </row>
    <row r="191">
      <c r="A191" s="2" t="n">
        <v>190</v>
      </c>
      <c r="B191" s="2" t="inlineStr">
        <is>
          <t>KH001</t>
        </is>
      </c>
      <c r="C191" s="3" t="inlineStr">
        <is>
          <t>Điện nước Nhật (Shop) HCM</t>
        </is>
      </c>
      <c r="D191" s="2" t="inlineStr">
        <is>
          <t>HCM</t>
        </is>
      </c>
      <c r="E191" s="2" t="inlineStr">
        <is>
          <t>BẢO TRÂM</t>
        </is>
      </c>
      <c r="F191" s="2" t="inlineStr">
        <is>
          <t>Shopee</t>
        </is>
      </c>
      <c r="G191" s="2" t="inlineStr"/>
      <c r="H191" s="3" t="inlineStr">
        <is>
          <t>Mũi khoan tường không tắc kê KBLJ - 05*100</t>
        </is>
      </c>
      <c r="I191" s="4" t="n">
        <v>35000</v>
      </c>
      <c r="J191" s="4" t="n"/>
      <c r="K191" s="4">
        <f>IF(AND(ISNUMBER(J191),ISNUMBER(I191)),J191-I191,"")</f>
        <v/>
      </c>
      <c r="L191" s="5">
        <f>IF(AND(ISNUMBER(J191),ISNUMBER(I191),I191&gt;0),(J191-I191)/I191,"")</f>
        <v/>
      </c>
      <c r="M191" s="2">
        <f>IF(L191="","",IF(L191&lt;-0.05,"Bán phá giá",IF(L191&gt;0.05,"Bán cao hơn","Đúng giá niêm yết")))</f>
        <v/>
      </c>
      <c r="N191" s="2" t="n"/>
      <c r="O191" s="3" t="n"/>
      <c r="P191" s="3" t="n"/>
    </row>
    <row r="192">
      <c r="A192" s="2" t="n">
        <v>191</v>
      </c>
      <c r="B192" s="2" t="inlineStr">
        <is>
          <t>KH001</t>
        </is>
      </c>
      <c r="C192" s="3" t="inlineStr">
        <is>
          <t>Điện nước Nhật (Shop) HCM</t>
        </is>
      </c>
      <c r="D192" s="2" t="inlineStr">
        <is>
          <t>HCM</t>
        </is>
      </c>
      <c r="E192" s="2" t="inlineStr">
        <is>
          <t>BẢO TRÂM</t>
        </is>
      </c>
      <c r="F192" s="2" t="inlineStr">
        <is>
          <t>Shopee</t>
        </is>
      </c>
      <c r="G192" s="2" t="inlineStr"/>
      <c r="H192" s="3" t="inlineStr">
        <is>
          <t>Mũi khoan tường không tắc kê KBLJ - 05.5*100</t>
        </is>
      </c>
      <c r="I192" s="4" t="n">
        <v>35000</v>
      </c>
      <c r="J192" s="4" t="n"/>
      <c r="K192" s="4">
        <f>IF(AND(ISNUMBER(J192),ISNUMBER(I192)),J192-I192,"")</f>
        <v/>
      </c>
      <c r="L192" s="5">
        <f>IF(AND(ISNUMBER(J192),ISNUMBER(I192),I192&gt;0),(J192-I192)/I192,"")</f>
        <v/>
      </c>
      <c r="M192" s="2">
        <f>IF(L192="","",IF(L192&lt;-0.05,"Bán phá giá",IF(L192&gt;0.05,"Bán cao hơn","Đúng giá niêm yết")))</f>
        <v/>
      </c>
      <c r="N192" s="2" t="n"/>
      <c r="O192" s="3" t="n"/>
      <c r="P192" s="3" t="n"/>
    </row>
    <row r="193">
      <c r="A193" s="2" t="n">
        <v>192</v>
      </c>
      <c r="B193" s="2" t="inlineStr">
        <is>
          <t>KH001</t>
        </is>
      </c>
      <c r="C193" s="3" t="inlineStr">
        <is>
          <t>Điện nước Nhật (Shop) HCM</t>
        </is>
      </c>
      <c r="D193" s="2" t="inlineStr">
        <is>
          <t>HCM</t>
        </is>
      </c>
      <c r="E193" s="2" t="inlineStr">
        <is>
          <t>BẢO TRÂM</t>
        </is>
      </c>
      <c r="F193" s="2" t="inlineStr">
        <is>
          <t>Shopee</t>
        </is>
      </c>
      <c r="G193" s="2" t="inlineStr"/>
      <c r="H193" s="3" t="inlineStr">
        <is>
          <t>Mũi khoan tường không tắc kê KBLJ - 06*125</t>
        </is>
      </c>
      <c r="I193" s="4" t="n">
        <v>43000</v>
      </c>
      <c r="J193" s="4" t="n"/>
      <c r="K193" s="4">
        <f>IF(AND(ISNUMBER(J193),ISNUMBER(I193)),J193-I193,"")</f>
        <v/>
      </c>
      <c r="L193" s="5">
        <f>IF(AND(ISNUMBER(J193),ISNUMBER(I193),I193&gt;0),(J193-I193)/I193,"")</f>
        <v/>
      </c>
      <c r="M193" s="2">
        <f>IF(L193="","",IF(L193&lt;-0.05,"Bán phá giá",IF(L193&gt;0.05,"Bán cao hơn","Đúng giá niêm yết")))</f>
        <v/>
      </c>
      <c r="N193" s="2" t="n"/>
      <c r="O193" s="3" t="n"/>
      <c r="P193" s="3" t="n"/>
    </row>
    <row r="194">
      <c r="A194" s="2" t="n">
        <v>193</v>
      </c>
      <c r="B194" s="2" t="inlineStr">
        <is>
          <t>KH001</t>
        </is>
      </c>
      <c r="C194" s="3" t="inlineStr">
        <is>
          <t>Điện nước Nhật (Shop) HCM</t>
        </is>
      </c>
      <c r="D194" s="2" t="inlineStr">
        <is>
          <t>HCM</t>
        </is>
      </c>
      <c r="E194" s="2" t="inlineStr">
        <is>
          <t>BẢO TRÂM</t>
        </is>
      </c>
      <c r="F194" s="2" t="inlineStr">
        <is>
          <t>Shopee</t>
        </is>
      </c>
      <c r="G194" s="2" t="inlineStr"/>
      <c r="H194" s="3" t="inlineStr">
        <is>
          <t>Mũi khoan tường không tắc kê KBLJ - 06.5*125</t>
        </is>
      </c>
      <c r="I194" s="4" t="n">
        <v>46000</v>
      </c>
      <c r="J194" s="4" t="n"/>
      <c r="K194" s="4">
        <f>IF(AND(ISNUMBER(J194),ISNUMBER(I194)),J194-I194,"")</f>
        <v/>
      </c>
      <c r="L194" s="5">
        <f>IF(AND(ISNUMBER(J194),ISNUMBER(I194),I194&gt;0),(J194-I194)/I194,"")</f>
        <v/>
      </c>
      <c r="M194" s="2">
        <f>IF(L194="","",IF(L194&lt;-0.05,"Bán phá giá",IF(L194&gt;0.05,"Bán cao hơn","Đúng giá niêm yết")))</f>
        <v/>
      </c>
      <c r="N194" s="2" t="n"/>
      <c r="O194" s="3" t="n"/>
      <c r="P194" s="3" t="n"/>
    </row>
    <row r="195">
      <c r="A195" s="2" t="n">
        <v>194</v>
      </c>
      <c r="B195" s="2" t="inlineStr">
        <is>
          <t>KH001</t>
        </is>
      </c>
      <c r="C195" s="3" t="inlineStr">
        <is>
          <t>Điện nước Nhật (Shop) HCM</t>
        </is>
      </c>
      <c r="D195" s="2" t="inlineStr">
        <is>
          <t>HCM</t>
        </is>
      </c>
      <c r="E195" s="2" t="inlineStr">
        <is>
          <t>BẢO TRÂM</t>
        </is>
      </c>
      <c r="F195" s="2" t="inlineStr">
        <is>
          <t>Shopee</t>
        </is>
      </c>
      <c r="G195" s="2" t="inlineStr"/>
      <c r="H195" s="3" t="inlineStr">
        <is>
          <t>Mũi khoan tường không tắc kê KBLJ - 07*125</t>
        </is>
      </c>
      <c r="I195" s="4" t="n">
        <v>52000</v>
      </c>
      <c r="J195" s="4" t="n"/>
      <c r="K195" s="4">
        <f>IF(AND(ISNUMBER(J195),ISNUMBER(I195)),J195-I195,"")</f>
        <v/>
      </c>
      <c r="L195" s="5">
        <f>IF(AND(ISNUMBER(J195),ISNUMBER(I195),I195&gt;0),(J195-I195)/I195,"")</f>
        <v/>
      </c>
      <c r="M195" s="2">
        <f>IF(L195="","",IF(L195&lt;-0.05,"Bán phá giá",IF(L195&gt;0.05,"Bán cao hơn","Đúng giá niêm yết")))</f>
        <v/>
      </c>
      <c r="N195" s="2" t="n"/>
      <c r="O195" s="3" t="n"/>
      <c r="P195" s="3" t="n"/>
    </row>
    <row r="196">
      <c r="A196" s="2" t="n">
        <v>195</v>
      </c>
      <c r="B196" s="2" t="inlineStr">
        <is>
          <t>KH001</t>
        </is>
      </c>
      <c r="C196" s="3" t="inlineStr">
        <is>
          <t>Điện nước Nhật (Shop) HCM</t>
        </is>
      </c>
      <c r="D196" s="2" t="inlineStr">
        <is>
          <t>HCM</t>
        </is>
      </c>
      <c r="E196" s="2" t="inlineStr">
        <is>
          <t>BẢO TRÂM</t>
        </is>
      </c>
      <c r="F196" s="2" t="inlineStr">
        <is>
          <t>Shopee</t>
        </is>
      </c>
      <c r="G196" s="2" t="inlineStr"/>
      <c r="H196" s="3" t="inlineStr">
        <is>
          <t>Mũi khoan tường không tắc kê KBLJ - 08*125</t>
        </is>
      </c>
      <c r="I196" s="4" t="n">
        <v>53000</v>
      </c>
      <c r="J196" s="4" t="n"/>
      <c r="K196" s="4">
        <f>IF(AND(ISNUMBER(J196),ISNUMBER(I196)),J196-I196,"")</f>
        <v/>
      </c>
      <c r="L196" s="5">
        <f>IF(AND(ISNUMBER(J196),ISNUMBER(I196),I196&gt;0),(J196-I196)/I196,"")</f>
        <v/>
      </c>
      <c r="M196" s="2">
        <f>IF(L196="","",IF(L196&lt;-0.05,"Bán phá giá",IF(L196&gt;0.05,"Bán cao hơn","Đúng giá niêm yết")))</f>
        <v/>
      </c>
      <c r="N196" s="2" t="n"/>
      <c r="O196" s="3" t="n"/>
      <c r="P196" s="3" t="n"/>
    </row>
    <row r="197">
      <c r="A197" s="2" t="n">
        <v>196</v>
      </c>
      <c r="B197" s="2" t="inlineStr">
        <is>
          <t>KH001</t>
        </is>
      </c>
      <c r="C197" s="3" t="inlineStr">
        <is>
          <t>Điện nước Nhật (Shop) HCM</t>
        </is>
      </c>
      <c r="D197" s="2" t="inlineStr">
        <is>
          <t>HCM</t>
        </is>
      </c>
      <c r="E197" s="2" t="inlineStr">
        <is>
          <t>BẢO TRÂM</t>
        </is>
      </c>
      <c r="F197" s="2" t="inlineStr">
        <is>
          <t>Shopee</t>
        </is>
      </c>
      <c r="G197" s="2" t="inlineStr"/>
      <c r="H197" s="3" t="inlineStr">
        <is>
          <t>Mũi khoan tường không tắc kê KBLJ - 10*148</t>
        </is>
      </c>
      <c r="I197" s="4" t="n">
        <v>63000</v>
      </c>
      <c r="J197" s="4" t="n"/>
      <c r="K197" s="4">
        <f>IF(AND(ISNUMBER(J197),ISNUMBER(I197)),J197-I197,"")</f>
        <v/>
      </c>
      <c r="L197" s="5">
        <f>IF(AND(ISNUMBER(J197),ISNUMBER(I197),I197&gt;0),(J197-I197)/I197,"")</f>
        <v/>
      </c>
      <c r="M197" s="2">
        <f>IF(L197="","",IF(L197&lt;-0.05,"Bán phá giá",IF(L197&gt;0.05,"Bán cao hơn","Đúng giá niêm yết")))</f>
        <v/>
      </c>
      <c r="N197" s="2" t="n"/>
      <c r="O197" s="3" t="n"/>
      <c r="P197" s="3" t="n"/>
    </row>
    <row r="198">
      <c r="A198" s="2" t="n">
        <v>197</v>
      </c>
      <c r="B198" s="2" t="inlineStr">
        <is>
          <t>KH001</t>
        </is>
      </c>
      <c r="C198" s="3" t="inlineStr">
        <is>
          <t>Điện nước Nhật (Shop) HCM</t>
        </is>
      </c>
      <c r="D198" s="2" t="inlineStr">
        <is>
          <t>HCM</t>
        </is>
      </c>
      <c r="E198" s="2" t="inlineStr">
        <is>
          <t>BẢO TRÂM</t>
        </is>
      </c>
      <c r="F198" s="2" t="inlineStr">
        <is>
          <t>Shopee</t>
        </is>
      </c>
      <c r="G198" s="2" t="inlineStr">
        <is>
          <t>KBT-04*12</t>
        </is>
      </c>
      <c r="H198" s="3" t="inlineStr">
        <is>
          <t>Mũi khoan tháp M2 KBT-04*12</t>
        </is>
      </c>
      <c r="I198" s="4" t="n">
        <v>106000</v>
      </c>
      <c r="J198" s="4" t="n"/>
      <c r="K198" s="4">
        <f>IF(AND(ISNUMBER(J198),ISNUMBER(I198)),J198-I198,"")</f>
        <v/>
      </c>
      <c r="L198" s="5">
        <f>IF(AND(ISNUMBER(J198),ISNUMBER(I198),I198&gt;0),(J198-I198)/I198,"")</f>
        <v/>
      </c>
      <c r="M198" s="2">
        <f>IF(L198="","",IF(L198&lt;-0.05,"Bán phá giá",IF(L198&gt;0.05,"Bán cao hơn","Đúng giá niêm yết")))</f>
        <v/>
      </c>
      <c r="N198" s="2" t="n"/>
      <c r="O198" s="3" t="n"/>
      <c r="P198" s="3" t="n"/>
    </row>
    <row r="199">
      <c r="A199" s="2" t="n">
        <v>198</v>
      </c>
      <c r="B199" s="2" t="inlineStr">
        <is>
          <t>KH001</t>
        </is>
      </c>
      <c r="C199" s="3" t="inlineStr">
        <is>
          <t>Điện nước Nhật (Shop) HCM</t>
        </is>
      </c>
      <c r="D199" s="2" t="inlineStr">
        <is>
          <t>HCM</t>
        </is>
      </c>
      <c r="E199" s="2" t="inlineStr">
        <is>
          <t>BẢO TRÂM</t>
        </is>
      </c>
      <c r="F199" s="2" t="inlineStr">
        <is>
          <t>Shopee</t>
        </is>
      </c>
      <c r="G199" s="2" t="inlineStr">
        <is>
          <t>KBT-04*20</t>
        </is>
      </c>
      <c r="H199" s="3" t="inlineStr">
        <is>
          <t>Mũi khoan tháp M2 KBT-04*20</t>
        </is>
      </c>
      <c r="I199" s="4" t="n">
        <v>202000</v>
      </c>
      <c r="J199" s="4" t="n"/>
      <c r="K199" s="4">
        <f>IF(AND(ISNUMBER(J199),ISNUMBER(I199)),J199-I199,"")</f>
        <v/>
      </c>
      <c r="L199" s="5">
        <f>IF(AND(ISNUMBER(J199),ISNUMBER(I199),I199&gt;0),(J199-I199)/I199,"")</f>
        <v/>
      </c>
      <c r="M199" s="2">
        <f>IF(L199="","",IF(L199&lt;-0.05,"Bán phá giá",IF(L199&gt;0.05,"Bán cao hơn","Đúng giá niêm yết")))</f>
        <v/>
      </c>
      <c r="N199" s="2" t="n"/>
      <c r="O199" s="3" t="n"/>
      <c r="P199" s="3" t="n"/>
    </row>
    <row r="200">
      <c r="A200" s="2" t="n">
        <v>199</v>
      </c>
      <c r="B200" s="2" t="inlineStr">
        <is>
          <t>KH001</t>
        </is>
      </c>
      <c r="C200" s="3" t="inlineStr">
        <is>
          <t>Điện nước Nhật (Shop) HCM</t>
        </is>
      </c>
      <c r="D200" s="2" t="inlineStr">
        <is>
          <t>HCM</t>
        </is>
      </c>
      <c r="E200" s="2" t="inlineStr">
        <is>
          <t>BẢO TRÂM</t>
        </is>
      </c>
      <c r="F200" s="2" t="inlineStr">
        <is>
          <t>Shopee</t>
        </is>
      </c>
      <c r="G200" s="2" t="inlineStr">
        <is>
          <t>KBT-04*32</t>
        </is>
      </c>
      <c r="H200" s="3" t="inlineStr">
        <is>
          <t>Mũi khoan tháp M2 KBT-04*32</t>
        </is>
      </c>
      <c r="I200" s="4" t="n">
        <v>379000</v>
      </c>
      <c r="J200" s="4" t="n"/>
      <c r="K200" s="4">
        <f>IF(AND(ISNUMBER(J200),ISNUMBER(I200)),J200-I200,"")</f>
        <v/>
      </c>
      <c r="L200" s="5">
        <f>IF(AND(ISNUMBER(J200),ISNUMBER(I200),I200&gt;0),(J200-I200)/I200,"")</f>
        <v/>
      </c>
      <c r="M200" s="2">
        <f>IF(L200="","",IF(L200&lt;-0.05,"Bán phá giá",IF(L200&gt;0.05,"Bán cao hơn","Đúng giá niêm yết")))</f>
        <v/>
      </c>
      <c r="N200" s="2" t="n"/>
      <c r="O200" s="3" t="n"/>
      <c r="P200" s="3" t="n"/>
    </row>
    <row r="201">
      <c r="A201" s="2" t="n">
        <v>200</v>
      </c>
      <c r="B201" s="2" t="inlineStr">
        <is>
          <t>KH001</t>
        </is>
      </c>
      <c r="C201" s="3" t="inlineStr">
        <is>
          <t>Điện nước Nhật (Shop) HCM</t>
        </is>
      </c>
      <c r="D201" s="2" t="inlineStr">
        <is>
          <t>HCM</t>
        </is>
      </c>
      <c r="E201" s="2" t="inlineStr">
        <is>
          <t>BẢO TRÂM</t>
        </is>
      </c>
      <c r="F201" s="2" t="inlineStr">
        <is>
          <t>Shopee</t>
        </is>
      </c>
      <c r="G201" s="2" t="inlineStr">
        <is>
          <t>KBY1-045</t>
        </is>
      </c>
      <c r="H201" s="3" t="inlineStr">
        <is>
          <t>Mũi khoan thép KBY1-045</t>
        </is>
      </c>
      <c r="I201" s="4" t="n">
        <v>12500</v>
      </c>
      <c r="J201" s="4" t="n"/>
      <c r="K201" s="4">
        <f>IF(AND(ISNUMBER(J201),ISNUMBER(I201)),J201-I201,"")</f>
        <v/>
      </c>
      <c r="L201" s="5">
        <f>IF(AND(ISNUMBER(J201),ISNUMBER(I201),I201&gt;0),(J201-I201)/I201,"")</f>
        <v/>
      </c>
      <c r="M201" s="2">
        <f>IF(L201="","",IF(L201&lt;-0.05,"Bán phá giá",IF(L201&gt;0.05,"Bán cao hơn","Đúng giá niêm yết")))</f>
        <v/>
      </c>
      <c r="N201" s="2" t="n"/>
      <c r="O201" s="3" t="n"/>
      <c r="P201" s="3" t="n"/>
    </row>
    <row r="202">
      <c r="A202" s="2" t="n">
        <v>201</v>
      </c>
      <c r="B202" s="2" t="inlineStr">
        <is>
          <t>KH001</t>
        </is>
      </c>
      <c r="C202" s="3" t="inlineStr">
        <is>
          <t>Điện nước Nhật (Shop) HCM</t>
        </is>
      </c>
      <c r="D202" s="2" t="inlineStr">
        <is>
          <t>HCM</t>
        </is>
      </c>
      <c r="E202" s="2" t="inlineStr">
        <is>
          <t>BẢO TRÂM</t>
        </is>
      </c>
      <c r="F202" s="2" t="inlineStr">
        <is>
          <t>Shopee</t>
        </is>
      </c>
      <c r="G202" s="2" t="inlineStr">
        <is>
          <t>KBX2-15</t>
        </is>
      </c>
      <c r="H202" s="3" t="inlineStr">
        <is>
          <t>Mũi khoét gỗ KBX2-15</t>
        </is>
      </c>
      <c r="I202" s="4" t="n">
        <v>33000</v>
      </c>
      <c r="J202" s="4" t="n"/>
      <c r="K202" s="4">
        <f>IF(AND(ISNUMBER(J202),ISNUMBER(I202)),J202-I202,"")</f>
        <v/>
      </c>
      <c r="L202" s="5">
        <f>IF(AND(ISNUMBER(J202),ISNUMBER(I202),I202&gt;0),(J202-I202)/I202,"")</f>
        <v/>
      </c>
      <c r="M202" s="2">
        <f>IF(L202="","",IF(L202&lt;-0.05,"Bán phá giá",IF(L202&gt;0.05,"Bán cao hơn","Đúng giá niêm yết")))</f>
        <v/>
      </c>
      <c r="N202" s="2" t="n"/>
      <c r="O202" s="3" t="n"/>
      <c r="P202" s="3" t="n"/>
    </row>
    <row r="203">
      <c r="A203" s="2" t="n">
        <v>202</v>
      </c>
      <c r="B203" s="2" t="inlineStr">
        <is>
          <t>KH001</t>
        </is>
      </c>
      <c r="C203" s="3" t="inlineStr">
        <is>
          <t>Điện nước Nhật (Shop) HCM</t>
        </is>
      </c>
      <c r="D203" s="2" t="inlineStr">
        <is>
          <t>HCM</t>
        </is>
      </c>
      <c r="E203" s="2" t="inlineStr">
        <is>
          <t>BẢO TRÂM</t>
        </is>
      </c>
      <c r="F203" s="2" t="inlineStr">
        <is>
          <t>Shopee</t>
        </is>
      </c>
      <c r="G203" s="2" t="inlineStr">
        <is>
          <t>KBX2-16</t>
        </is>
      </c>
      <c r="H203" s="3" t="inlineStr">
        <is>
          <t>Mũi khoét gỗ KBX2-16</t>
        </is>
      </c>
      <c r="I203" s="4" t="n">
        <v>33000</v>
      </c>
      <c r="J203" s="4" t="n"/>
      <c r="K203" s="4">
        <f>IF(AND(ISNUMBER(J203),ISNUMBER(I203)),J203-I203,"")</f>
        <v/>
      </c>
      <c r="L203" s="5">
        <f>IF(AND(ISNUMBER(J203),ISNUMBER(I203),I203&gt;0),(J203-I203)/I203,"")</f>
        <v/>
      </c>
      <c r="M203" s="2">
        <f>IF(L203="","",IF(L203&lt;-0.05,"Bán phá giá",IF(L203&gt;0.05,"Bán cao hơn","Đúng giá niêm yết")))</f>
        <v/>
      </c>
      <c r="N203" s="2" t="n"/>
      <c r="O203" s="3" t="n"/>
      <c r="P203" s="3" t="n"/>
    </row>
    <row r="204">
      <c r="A204" s="2" t="n">
        <v>203</v>
      </c>
      <c r="B204" s="2" t="inlineStr">
        <is>
          <t>KH001</t>
        </is>
      </c>
      <c r="C204" s="3" t="inlineStr">
        <is>
          <t>Điện nước Nhật (Shop) HCM</t>
        </is>
      </c>
      <c r="D204" s="2" t="inlineStr">
        <is>
          <t>HCM</t>
        </is>
      </c>
      <c r="E204" s="2" t="inlineStr">
        <is>
          <t>BẢO TRÂM</t>
        </is>
      </c>
      <c r="F204" s="2" t="inlineStr">
        <is>
          <t>Shopee</t>
        </is>
      </c>
      <c r="G204" s="2" t="inlineStr">
        <is>
          <t>KBX2-18</t>
        </is>
      </c>
      <c r="H204" s="3" t="inlineStr">
        <is>
          <t>Mũi khoét gỗ KBX2-18</t>
        </is>
      </c>
      <c r="I204" s="4" t="n">
        <v>33000</v>
      </c>
      <c r="J204" s="4" t="n"/>
      <c r="K204" s="4">
        <f>IF(AND(ISNUMBER(J204),ISNUMBER(I204)),J204-I204,"")</f>
        <v/>
      </c>
      <c r="L204" s="5">
        <f>IF(AND(ISNUMBER(J204),ISNUMBER(I204),I204&gt;0),(J204-I204)/I204,"")</f>
        <v/>
      </c>
      <c r="M204" s="2">
        <f>IF(L204="","",IF(L204&lt;-0.05,"Bán phá giá",IF(L204&gt;0.05,"Bán cao hơn","Đúng giá niêm yết")))</f>
        <v/>
      </c>
      <c r="N204" s="2" t="n"/>
      <c r="O204" s="3" t="n"/>
      <c r="P204" s="3" t="n"/>
    </row>
    <row r="205">
      <c r="A205" s="2" t="n">
        <v>204</v>
      </c>
      <c r="B205" s="2" t="inlineStr">
        <is>
          <t>KH001</t>
        </is>
      </c>
      <c r="C205" s="3" t="inlineStr">
        <is>
          <t>Điện nước Nhật (Shop) HCM</t>
        </is>
      </c>
      <c r="D205" s="2" t="inlineStr">
        <is>
          <t>HCM</t>
        </is>
      </c>
      <c r="E205" s="2" t="inlineStr">
        <is>
          <t>BẢO TRÂM</t>
        </is>
      </c>
      <c r="F205" s="2" t="inlineStr">
        <is>
          <t>Shopee</t>
        </is>
      </c>
      <c r="G205" s="2" t="inlineStr">
        <is>
          <t>KBX2-20</t>
        </is>
      </c>
      <c r="H205" s="3" t="inlineStr">
        <is>
          <t>Mũi khoét gỗ KBX2-20</t>
        </is>
      </c>
      <c r="I205" s="4" t="n">
        <v>37000</v>
      </c>
      <c r="J205" s="4" t="n"/>
      <c r="K205" s="4">
        <f>IF(AND(ISNUMBER(J205),ISNUMBER(I205)),J205-I205,"")</f>
        <v/>
      </c>
      <c r="L205" s="5">
        <f>IF(AND(ISNUMBER(J205),ISNUMBER(I205),I205&gt;0),(J205-I205)/I205,"")</f>
        <v/>
      </c>
      <c r="M205" s="2">
        <f>IF(L205="","",IF(L205&lt;-0.05,"Bán phá giá",IF(L205&gt;0.05,"Bán cao hơn","Đúng giá niêm yết")))</f>
        <v/>
      </c>
      <c r="N205" s="2" t="n"/>
      <c r="O205" s="3" t="n"/>
      <c r="P205" s="3" t="n"/>
    </row>
    <row r="206">
      <c r="A206" s="2" t="n">
        <v>205</v>
      </c>
      <c r="B206" s="2" t="inlineStr">
        <is>
          <t>KH001</t>
        </is>
      </c>
      <c r="C206" s="3" t="inlineStr">
        <is>
          <t>Điện nước Nhật (Shop) HCM</t>
        </is>
      </c>
      <c r="D206" s="2" t="inlineStr">
        <is>
          <t>HCM</t>
        </is>
      </c>
      <c r="E206" s="2" t="inlineStr">
        <is>
          <t>BẢO TRÂM</t>
        </is>
      </c>
      <c r="F206" s="2" t="inlineStr">
        <is>
          <t>Shopee</t>
        </is>
      </c>
      <c r="G206" s="2" t="inlineStr">
        <is>
          <t>KBX2-27</t>
        </is>
      </c>
      <c r="H206" s="3" t="inlineStr">
        <is>
          <t>Mũi khoét gỗ KBX2-27</t>
        </is>
      </c>
      <c r="I206" s="4" t="n">
        <v>51000</v>
      </c>
      <c r="J206" s="4" t="n"/>
      <c r="K206" s="4">
        <f>IF(AND(ISNUMBER(J206),ISNUMBER(I206)),J206-I206,"")</f>
        <v/>
      </c>
      <c r="L206" s="5">
        <f>IF(AND(ISNUMBER(J206),ISNUMBER(I206),I206&gt;0),(J206-I206)/I206,"")</f>
        <v/>
      </c>
      <c r="M206" s="2">
        <f>IF(L206="","",IF(L206&lt;-0.05,"Bán phá giá",IF(L206&gt;0.05,"Bán cao hơn","Đúng giá niêm yết")))</f>
        <v/>
      </c>
      <c r="N206" s="2" t="n"/>
      <c r="O206" s="3" t="n"/>
      <c r="P206" s="3" t="n"/>
    </row>
    <row r="207">
      <c r="A207" s="2" t="n">
        <v>206</v>
      </c>
      <c r="B207" s="2" t="inlineStr">
        <is>
          <t>KH001</t>
        </is>
      </c>
      <c r="C207" s="3" t="inlineStr">
        <is>
          <t>Điện nước Nhật (Shop) HCM</t>
        </is>
      </c>
      <c r="D207" s="2" t="inlineStr">
        <is>
          <t>HCM</t>
        </is>
      </c>
      <c r="E207" s="2" t="inlineStr">
        <is>
          <t>BẢO TRÂM</t>
        </is>
      </c>
      <c r="F207" s="2" t="inlineStr">
        <is>
          <t>Shopee</t>
        </is>
      </c>
      <c r="G207" s="2" t="inlineStr">
        <is>
          <t>KBX2-50</t>
        </is>
      </c>
      <c r="H207" s="3" t="inlineStr">
        <is>
          <t>Mũi khoét gỗ KBX2-50</t>
        </is>
      </c>
      <c r="I207" s="4" t="n">
        <v>91000</v>
      </c>
      <c r="J207" s="4" t="n"/>
      <c r="K207" s="4">
        <f>IF(AND(ISNUMBER(J207),ISNUMBER(I207)),J207-I207,"")</f>
        <v/>
      </c>
      <c r="L207" s="5">
        <f>IF(AND(ISNUMBER(J207),ISNUMBER(I207),I207&gt;0),(J207-I207)/I207,"")</f>
        <v/>
      </c>
      <c r="M207" s="2">
        <f>IF(L207="","",IF(L207&lt;-0.05,"Bán phá giá",IF(L207&gt;0.05,"Bán cao hơn","Đúng giá niêm yết")))</f>
        <v/>
      </c>
      <c r="N207" s="2" t="n"/>
      <c r="O207" s="3" t="n"/>
      <c r="P207" s="3" t="n"/>
    </row>
    <row r="208">
      <c r="A208" s="2" t="n">
        <v>207</v>
      </c>
      <c r="B208" s="2" t="inlineStr">
        <is>
          <t>KH001</t>
        </is>
      </c>
      <c r="C208" s="3" t="inlineStr">
        <is>
          <t>Điện nước Nhật (Shop) HCM</t>
        </is>
      </c>
      <c r="D208" s="2" t="inlineStr">
        <is>
          <t>HCM</t>
        </is>
      </c>
      <c r="E208" s="2" t="inlineStr">
        <is>
          <t>BẢO TRÂM</t>
        </is>
      </c>
      <c r="F208" s="2" t="inlineStr">
        <is>
          <t>Shopee</t>
        </is>
      </c>
      <c r="G208" s="2" t="inlineStr">
        <is>
          <t>KBX2-60</t>
        </is>
      </c>
      <c r="H208" s="3" t="inlineStr">
        <is>
          <t>Mũi khoét gỗ KBX2-60</t>
        </is>
      </c>
      <c r="I208" s="4" t="n">
        <v>106000</v>
      </c>
      <c r="J208" s="4" t="n"/>
      <c r="K208" s="4">
        <f>IF(AND(ISNUMBER(J208),ISNUMBER(I208)),J208-I208,"")</f>
        <v/>
      </c>
      <c r="L208" s="5">
        <f>IF(AND(ISNUMBER(J208),ISNUMBER(I208),I208&gt;0),(J208-I208)/I208,"")</f>
        <v/>
      </c>
      <c r="M208" s="2">
        <f>IF(L208="","",IF(L208&lt;-0.05,"Bán phá giá",IF(L208&gt;0.05,"Bán cao hơn","Đúng giá niêm yết")))</f>
        <v/>
      </c>
      <c r="N208" s="2" t="n"/>
      <c r="O208" s="3" t="n"/>
      <c r="P208" s="3" t="n"/>
    </row>
    <row r="209">
      <c r="A209" s="2" t="n">
        <v>208</v>
      </c>
      <c r="B209" s="2" t="inlineStr">
        <is>
          <t>KH001</t>
        </is>
      </c>
      <c r="C209" s="3" t="inlineStr">
        <is>
          <t>Điện nước Nhật (Shop) HCM</t>
        </is>
      </c>
      <c r="D209" s="2" t="inlineStr">
        <is>
          <t>HCM</t>
        </is>
      </c>
      <c r="E209" s="2" t="inlineStr">
        <is>
          <t>BẢO TRÂM</t>
        </is>
      </c>
      <c r="F209" s="2" t="inlineStr">
        <is>
          <t>Shopee</t>
        </is>
      </c>
      <c r="G209" s="2" t="inlineStr">
        <is>
          <t>R1-26/25</t>
        </is>
      </c>
      <c r="H209" s="3" t="inlineStr">
        <is>
          <t>Mũi khoét hợp kim BlueBird R1-26/25</t>
        </is>
      </c>
      <c r="I209" s="4" t="n">
        <v>84000</v>
      </c>
      <c r="J209" s="4" t="n"/>
      <c r="K209" s="4">
        <f>IF(AND(ISNUMBER(J209),ISNUMBER(I209)),J209-I209,"")</f>
        <v/>
      </c>
      <c r="L209" s="5">
        <f>IF(AND(ISNUMBER(J209),ISNUMBER(I209),I209&gt;0),(J209-I209)/I209,"")</f>
        <v/>
      </c>
      <c r="M209" s="2">
        <f>IF(L209="","",IF(L209&lt;-0.05,"Bán phá giá",IF(L209&gt;0.05,"Bán cao hơn","Đúng giá niêm yết")))</f>
        <v/>
      </c>
      <c r="N209" s="2" t="n"/>
      <c r="O209" s="3" t="n"/>
      <c r="P209" s="3" t="n"/>
    </row>
    <row r="210">
      <c r="A210" s="2" t="n">
        <v>209</v>
      </c>
      <c r="B210" s="2" t="inlineStr">
        <is>
          <t>KH001</t>
        </is>
      </c>
      <c r="C210" s="3" t="inlineStr">
        <is>
          <t>Điện nước Nhật (Shop) HCM</t>
        </is>
      </c>
      <c r="D210" s="2" t="inlineStr">
        <is>
          <t>HCM</t>
        </is>
      </c>
      <c r="E210" s="2" t="inlineStr">
        <is>
          <t>BẢO TRÂM</t>
        </is>
      </c>
      <c r="F210" s="2" t="inlineStr">
        <is>
          <t>Shopee</t>
        </is>
      </c>
      <c r="G210" s="2" t="inlineStr">
        <is>
          <t>R1-35/25</t>
        </is>
      </c>
      <c r="H210" s="3" t="inlineStr">
        <is>
          <t>Mũi khoét hợp kim BlueBird R1-35/25</t>
        </is>
      </c>
      <c r="I210" s="4" t="n">
        <v>136000</v>
      </c>
      <c r="J210" s="4" t="n"/>
      <c r="K210" s="4">
        <f>IF(AND(ISNUMBER(J210),ISNUMBER(I210)),J210-I210,"")</f>
        <v/>
      </c>
      <c r="L210" s="5">
        <f>IF(AND(ISNUMBER(J210),ISNUMBER(I210),I210&gt;0),(J210-I210)/I210,"")</f>
        <v/>
      </c>
      <c r="M210" s="2">
        <f>IF(L210="","",IF(L210&lt;-0.05,"Bán phá giá",IF(L210&gt;0.05,"Bán cao hơn","Đúng giá niêm yết")))</f>
        <v/>
      </c>
      <c r="N210" s="2" t="n"/>
      <c r="O210" s="3" t="n"/>
      <c r="P210" s="3" t="n"/>
    </row>
    <row r="211">
      <c r="A211" s="2" t="n">
        <v>210</v>
      </c>
      <c r="B211" s="2" t="inlineStr">
        <is>
          <t>KH001</t>
        </is>
      </c>
      <c r="C211" s="3" t="inlineStr">
        <is>
          <t>Điện nước Nhật (Shop) HCM</t>
        </is>
      </c>
      <c r="D211" s="2" t="inlineStr">
        <is>
          <t>HCM</t>
        </is>
      </c>
      <c r="E211" s="2" t="inlineStr">
        <is>
          <t>BẢO TRÂM</t>
        </is>
      </c>
      <c r="F211" s="2" t="inlineStr">
        <is>
          <t>Shopee</t>
        </is>
      </c>
      <c r="G211" s="2" t="inlineStr">
        <is>
          <t>R1-38/25</t>
        </is>
      </c>
      <c r="H211" s="3" t="inlineStr">
        <is>
          <t>Mũi khoét hợp kim Bluebird R1-38/25</t>
        </is>
      </c>
      <c r="I211" s="4" t="n">
        <v>122000</v>
      </c>
      <c r="J211" s="4" t="n"/>
      <c r="K211" s="4">
        <f>IF(AND(ISNUMBER(J211),ISNUMBER(I211)),J211-I211,"")</f>
        <v/>
      </c>
      <c r="L211" s="5">
        <f>IF(AND(ISNUMBER(J211),ISNUMBER(I211),I211&gt;0),(J211-I211)/I211,"")</f>
        <v/>
      </c>
      <c r="M211" s="2">
        <f>IF(L211="","",IF(L211&lt;-0.05,"Bán phá giá",IF(L211&gt;0.05,"Bán cao hơn","Đúng giá niêm yết")))</f>
        <v/>
      </c>
      <c r="N211" s="2" t="n"/>
      <c r="O211" s="3" t="n"/>
      <c r="P211" s="3" t="n"/>
    </row>
    <row r="212">
      <c r="A212" s="2" t="n">
        <v>211</v>
      </c>
      <c r="B212" s="2" t="inlineStr">
        <is>
          <t>KH001</t>
        </is>
      </c>
      <c r="C212" s="3" t="inlineStr">
        <is>
          <t>Điện nước Nhật (Shop) HCM</t>
        </is>
      </c>
      <c r="D212" s="2" t="inlineStr">
        <is>
          <t>HCM</t>
        </is>
      </c>
      <c r="E212" s="2" t="inlineStr">
        <is>
          <t>BẢO TRÂM</t>
        </is>
      </c>
      <c r="F212" s="2" t="inlineStr">
        <is>
          <t>Shopee</t>
        </is>
      </c>
      <c r="G212" s="2" t="inlineStr">
        <is>
          <t>R1-42/25</t>
        </is>
      </c>
      <c r="H212" s="3" t="inlineStr">
        <is>
          <t>Mũi khoét hợp kim Bluebird R1-42/25</t>
        </is>
      </c>
      <c r="I212" s="4" t="n">
        <v>133000</v>
      </c>
      <c r="J212" s="4" t="n"/>
      <c r="K212" s="4">
        <f>IF(AND(ISNUMBER(J212),ISNUMBER(I212)),J212-I212,"")</f>
        <v/>
      </c>
      <c r="L212" s="5">
        <f>IF(AND(ISNUMBER(J212),ISNUMBER(I212),I212&gt;0),(J212-I212)/I212,"")</f>
        <v/>
      </c>
      <c r="M212" s="2">
        <f>IF(L212="","",IF(L212&lt;-0.05,"Bán phá giá",IF(L212&gt;0.05,"Bán cao hơn","Đúng giá niêm yết")))</f>
        <v/>
      </c>
      <c r="N212" s="2" t="n"/>
      <c r="O212" s="3" t="n"/>
      <c r="P212" s="3" t="n"/>
    </row>
    <row r="213">
      <c r="A213" s="2" t="n">
        <v>212</v>
      </c>
      <c r="B213" s="2" t="inlineStr">
        <is>
          <t>KH001</t>
        </is>
      </c>
      <c r="C213" s="3" t="inlineStr">
        <is>
          <t>Điện nước Nhật (Shop) HCM</t>
        </is>
      </c>
      <c r="D213" s="2" t="inlineStr">
        <is>
          <t>HCM</t>
        </is>
      </c>
      <c r="E213" s="2" t="inlineStr">
        <is>
          <t>BẢO TRÂM</t>
        </is>
      </c>
      <c r="F213" s="2" t="inlineStr">
        <is>
          <t>Shopee</t>
        </is>
      </c>
      <c r="G213" s="2" t="inlineStr">
        <is>
          <t>R1-45/25</t>
        </is>
      </c>
      <c r="H213" s="3" t="inlineStr">
        <is>
          <t>Mũi khoét hợp kim BlueBird R1-45/25</t>
        </is>
      </c>
      <c r="I213" s="4" t="n">
        <v>172000</v>
      </c>
      <c r="J213" s="4" t="n"/>
      <c r="K213" s="4">
        <f>IF(AND(ISNUMBER(J213),ISNUMBER(I213)),J213-I213,"")</f>
        <v/>
      </c>
      <c r="L213" s="5">
        <f>IF(AND(ISNUMBER(J213),ISNUMBER(I213),I213&gt;0),(J213-I213)/I213,"")</f>
        <v/>
      </c>
      <c r="M213" s="2">
        <f>IF(L213="","",IF(L213&lt;-0.05,"Bán phá giá",IF(L213&gt;0.05,"Bán cao hơn","Đúng giá niêm yết")))</f>
        <v/>
      </c>
      <c r="N213" s="2" t="n"/>
      <c r="O213" s="3" t="n"/>
      <c r="P213" s="3" t="n"/>
    </row>
    <row r="214">
      <c r="A214" s="2" t="n">
        <v>213</v>
      </c>
      <c r="B214" s="2" t="inlineStr">
        <is>
          <t>KH001</t>
        </is>
      </c>
      <c r="C214" s="3" t="inlineStr">
        <is>
          <t>Điện nước Nhật (Shop) HCM</t>
        </is>
      </c>
      <c r="D214" s="2" t="inlineStr">
        <is>
          <t>HCM</t>
        </is>
      </c>
      <c r="E214" s="2" t="inlineStr">
        <is>
          <t>BẢO TRÂM</t>
        </is>
      </c>
      <c r="F214" s="2" t="inlineStr">
        <is>
          <t>Shopee</t>
        </is>
      </c>
      <c r="G214" s="2" t="inlineStr">
        <is>
          <t>R1-16/25</t>
        </is>
      </c>
      <c r="H214" s="3" t="inlineStr">
        <is>
          <t>Mũi khoét hợp kim Kingblue R1-16/25</t>
        </is>
      </c>
      <c r="I214" s="4" t="n">
        <v>71000</v>
      </c>
      <c r="J214" s="4" t="n"/>
      <c r="K214" s="4">
        <f>IF(AND(ISNUMBER(J214),ISNUMBER(I214)),J214-I214,"")</f>
        <v/>
      </c>
      <c r="L214" s="5">
        <f>IF(AND(ISNUMBER(J214),ISNUMBER(I214),I214&gt;0),(J214-I214)/I214,"")</f>
        <v/>
      </c>
      <c r="M214" s="2">
        <f>IF(L214="","",IF(L214&lt;-0.05,"Bán phá giá",IF(L214&gt;0.05,"Bán cao hơn","Đúng giá niêm yết")))</f>
        <v/>
      </c>
      <c r="N214" s="2" t="n"/>
      <c r="O214" s="3" t="n"/>
      <c r="P214" s="3" t="n"/>
    </row>
    <row r="215">
      <c r="A215" s="2" t="n">
        <v>214</v>
      </c>
      <c r="B215" s="2" t="inlineStr">
        <is>
          <t>KH001</t>
        </is>
      </c>
      <c r="C215" s="3" t="inlineStr">
        <is>
          <t>Điện nước Nhật (Shop) HCM</t>
        </is>
      </c>
      <c r="D215" s="2" t="inlineStr">
        <is>
          <t>HCM</t>
        </is>
      </c>
      <c r="E215" s="2" t="inlineStr">
        <is>
          <t>BẢO TRÂM</t>
        </is>
      </c>
      <c r="F215" s="2" t="inlineStr">
        <is>
          <t>Shopee</t>
        </is>
      </c>
      <c r="G215" s="2" t="inlineStr">
        <is>
          <t>R1-21/25</t>
        </is>
      </c>
      <c r="H215" s="3" t="inlineStr">
        <is>
          <t>Mũi khoét hợp kim Kingblue R1-21/25</t>
        </is>
      </c>
      <c r="I215" s="4" t="n">
        <v>67000</v>
      </c>
      <c r="J215" s="4" t="n"/>
      <c r="K215" s="4">
        <f>IF(AND(ISNUMBER(J215),ISNUMBER(I215)),J215-I215,"")</f>
        <v/>
      </c>
      <c r="L215" s="5">
        <f>IF(AND(ISNUMBER(J215),ISNUMBER(I215),I215&gt;0),(J215-I215)/I215,"")</f>
        <v/>
      </c>
      <c r="M215" s="2">
        <f>IF(L215="","",IF(L215&lt;-0.05,"Bán phá giá",IF(L215&gt;0.05,"Bán cao hơn","Đúng giá niêm yết")))</f>
        <v/>
      </c>
      <c r="N215" s="2" t="n"/>
      <c r="O215" s="3" t="n"/>
      <c r="P215" s="3" t="n"/>
    </row>
    <row r="216">
      <c r="A216" s="2" t="n">
        <v>215</v>
      </c>
      <c r="B216" s="2" t="inlineStr">
        <is>
          <t>KH001</t>
        </is>
      </c>
      <c r="C216" s="3" t="inlineStr">
        <is>
          <t>Điện nước Nhật (Shop) HCM</t>
        </is>
      </c>
      <c r="D216" s="2" t="inlineStr">
        <is>
          <t>HCM</t>
        </is>
      </c>
      <c r="E216" s="2" t="inlineStr">
        <is>
          <t>BẢO TRÂM</t>
        </is>
      </c>
      <c r="F216" s="2" t="inlineStr">
        <is>
          <t>Shopee</t>
        </is>
      </c>
      <c r="G216" s="2" t="inlineStr">
        <is>
          <t>R1-22/25</t>
        </is>
      </c>
      <c r="H216" s="3" t="inlineStr">
        <is>
          <t>Mũi khoét hợp kim Kingblue R1-22/25</t>
        </is>
      </c>
      <c r="I216" s="4" t="n">
        <v>86000</v>
      </c>
      <c r="J216" s="4" t="n"/>
      <c r="K216" s="4">
        <f>IF(AND(ISNUMBER(J216),ISNUMBER(I216)),J216-I216,"")</f>
        <v/>
      </c>
      <c r="L216" s="5">
        <f>IF(AND(ISNUMBER(J216),ISNUMBER(I216),I216&gt;0),(J216-I216)/I216,"")</f>
        <v/>
      </c>
      <c r="M216" s="2">
        <f>IF(L216="","",IF(L216&lt;-0.05,"Bán phá giá",IF(L216&gt;0.05,"Bán cao hơn","Đúng giá niêm yết")))</f>
        <v/>
      </c>
      <c r="N216" s="2" t="n"/>
      <c r="O216" s="3" t="n"/>
      <c r="P216" s="3" t="n"/>
    </row>
    <row r="217">
      <c r="A217" s="2" t="n">
        <v>216</v>
      </c>
      <c r="B217" s="2" t="inlineStr">
        <is>
          <t>KH001</t>
        </is>
      </c>
      <c r="C217" s="3" t="inlineStr">
        <is>
          <t>Điện nước Nhật (Shop) HCM</t>
        </is>
      </c>
      <c r="D217" s="2" t="inlineStr">
        <is>
          <t>HCM</t>
        </is>
      </c>
      <c r="E217" s="2" t="inlineStr">
        <is>
          <t>BẢO TRÂM</t>
        </is>
      </c>
      <c r="F217" s="2" t="inlineStr">
        <is>
          <t>Shopee</t>
        </is>
      </c>
      <c r="G217" s="2" t="inlineStr">
        <is>
          <t>R1-25/25</t>
        </is>
      </c>
      <c r="H217" s="3" t="inlineStr">
        <is>
          <t>Mũi khoét hợp kim Kingblue R1-25/25</t>
        </is>
      </c>
      <c r="I217" s="4" t="n">
        <v>96000</v>
      </c>
      <c r="J217" s="4" t="n"/>
      <c r="K217" s="4">
        <f>IF(AND(ISNUMBER(J217),ISNUMBER(I217)),J217-I217,"")</f>
        <v/>
      </c>
      <c r="L217" s="5">
        <f>IF(AND(ISNUMBER(J217),ISNUMBER(I217),I217&gt;0),(J217-I217)/I217,"")</f>
        <v/>
      </c>
      <c r="M217" s="2">
        <f>IF(L217="","",IF(L217&lt;-0.05,"Bán phá giá",IF(L217&gt;0.05,"Bán cao hơn","Đúng giá niêm yết")))</f>
        <v/>
      </c>
      <c r="N217" s="2" t="n"/>
      <c r="O217" s="3" t="n"/>
      <c r="P217" s="3" t="n"/>
    </row>
    <row r="218">
      <c r="A218" s="2" t="n">
        <v>217</v>
      </c>
      <c r="B218" s="2" t="inlineStr">
        <is>
          <t>KH001</t>
        </is>
      </c>
      <c r="C218" s="3" t="inlineStr">
        <is>
          <t>Điện nước Nhật (Shop) HCM</t>
        </is>
      </c>
      <c r="D218" s="2" t="inlineStr">
        <is>
          <t>HCM</t>
        </is>
      </c>
      <c r="E218" s="2" t="inlineStr">
        <is>
          <t>BẢO TRÂM</t>
        </is>
      </c>
      <c r="F218" s="2" t="inlineStr">
        <is>
          <t>Shopee</t>
        </is>
      </c>
      <c r="G218" s="2" t="inlineStr">
        <is>
          <t>R1-32/25</t>
        </is>
      </c>
      <c r="H218" s="3" t="inlineStr">
        <is>
          <t>Mũi khoét hợp kim Kingblue R1-32/25</t>
        </is>
      </c>
      <c r="I218" s="4" t="n">
        <v>123000</v>
      </c>
      <c r="J218" s="4" t="n"/>
      <c r="K218" s="4">
        <f>IF(AND(ISNUMBER(J218),ISNUMBER(I218)),J218-I218,"")</f>
        <v/>
      </c>
      <c r="L218" s="5">
        <f>IF(AND(ISNUMBER(J218),ISNUMBER(I218),I218&gt;0),(J218-I218)/I218,"")</f>
        <v/>
      </c>
      <c r="M218" s="2">
        <f>IF(L218="","",IF(L218&lt;-0.05,"Bán phá giá",IF(L218&gt;0.05,"Bán cao hơn","Đúng giá niêm yết")))</f>
        <v/>
      </c>
      <c r="N218" s="2" t="n"/>
      <c r="O218" s="3" t="n"/>
      <c r="P218" s="3" t="n"/>
    </row>
    <row r="219">
      <c r="A219" s="2" t="n">
        <v>218</v>
      </c>
      <c r="B219" s="2" t="inlineStr">
        <is>
          <t>KH001</t>
        </is>
      </c>
      <c r="C219" s="3" t="inlineStr">
        <is>
          <t>Điện nước Nhật (Shop) HCM</t>
        </is>
      </c>
      <c r="D219" s="2" t="inlineStr">
        <is>
          <t>HCM</t>
        </is>
      </c>
      <c r="E219" s="2" t="inlineStr">
        <is>
          <t>BẢO TRÂM</t>
        </is>
      </c>
      <c r="F219" s="2" t="inlineStr">
        <is>
          <t>Shopee</t>
        </is>
      </c>
      <c r="G219" s="2" t="inlineStr">
        <is>
          <t>R2-16mm</t>
        </is>
      </c>
      <c r="H219" s="3" t="inlineStr">
        <is>
          <t>Mũi khoét kim loại KingBlue R2-16mm</t>
        </is>
      </c>
      <c r="I219" s="4" t="n">
        <v>38000</v>
      </c>
      <c r="J219" s="4" t="n"/>
      <c r="K219" s="4">
        <f>IF(AND(ISNUMBER(J219),ISNUMBER(I219)),J219-I219,"")</f>
        <v/>
      </c>
      <c r="L219" s="5">
        <f>IF(AND(ISNUMBER(J219),ISNUMBER(I219),I219&gt;0),(J219-I219)/I219,"")</f>
        <v/>
      </c>
      <c r="M219" s="2">
        <f>IF(L219="","",IF(L219&lt;-0.05,"Bán phá giá",IF(L219&gt;0.05,"Bán cao hơn","Đúng giá niêm yết")))</f>
        <v/>
      </c>
      <c r="N219" s="2" t="n"/>
      <c r="O219" s="3" t="n"/>
      <c r="P219" s="3" t="n"/>
    </row>
    <row r="220">
      <c r="A220" s="2" t="n">
        <v>219</v>
      </c>
      <c r="B220" s="2" t="inlineStr">
        <is>
          <t>KH001</t>
        </is>
      </c>
      <c r="C220" s="3" t="inlineStr">
        <is>
          <t>Điện nước Nhật (Shop) HCM</t>
        </is>
      </c>
      <c r="D220" s="2" t="inlineStr">
        <is>
          <t>HCM</t>
        </is>
      </c>
      <c r="E220" s="2" t="inlineStr">
        <is>
          <t>BẢO TRÂM</t>
        </is>
      </c>
      <c r="F220" s="2" t="inlineStr">
        <is>
          <t>Shopee</t>
        </is>
      </c>
      <c r="G220" s="2" t="inlineStr">
        <is>
          <t>R2-18mm</t>
        </is>
      </c>
      <c r="H220" s="3" t="inlineStr">
        <is>
          <t>Mũi khoét kim loại KingBlue R2-18mm</t>
        </is>
      </c>
      <c r="I220" s="4" t="n">
        <v>45000</v>
      </c>
      <c r="J220" s="4" t="n"/>
      <c r="K220" s="4">
        <f>IF(AND(ISNUMBER(J220),ISNUMBER(I220)),J220-I220,"")</f>
        <v/>
      </c>
      <c r="L220" s="5">
        <f>IF(AND(ISNUMBER(J220),ISNUMBER(I220),I220&gt;0),(J220-I220)/I220,"")</f>
        <v/>
      </c>
      <c r="M220" s="2">
        <f>IF(L220="","",IF(L220&lt;-0.05,"Bán phá giá",IF(L220&gt;0.05,"Bán cao hơn","Đúng giá niêm yết")))</f>
        <v/>
      </c>
      <c r="N220" s="2" t="n"/>
      <c r="O220" s="3" t="n"/>
      <c r="P220" s="3" t="n"/>
    </row>
    <row r="221">
      <c r="A221" s="2" t="n">
        <v>220</v>
      </c>
      <c r="B221" s="2" t="inlineStr">
        <is>
          <t>KH001</t>
        </is>
      </c>
      <c r="C221" s="3" t="inlineStr">
        <is>
          <t>Điện nước Nhật (Shop) HCM</t>
        </is>
      </c>
      <c r="D221" s="2" t="inlineStr">
        <is>
          <t>HCM</t>
        </is>
      </c>
      <c r="E221" s="2" t="inlineStr">
        <is>
          <t>BẢO TRÂM</t>
        </is>
      </c>
      <c r="F221" s="2" t="inlineStr">
        <is>
          <t>Shopee</t>
        </is>
      </c>
      <c r="G221" s="2" t="inlineStr">
        <is>
          <t>R2-20mm</t>
        </is>
      </c>
      <c r="H221" s="3" t="inlineStr">
        <is>
          <t>Mũi khoét kim loại KingBlue R2-20mm</t>
        </is>
      </c>
      <c r="I221" s="4" t="n">
        <v>53000</v>
      </c>
      <c r="J221" s="4" t="n"/>
      <c r="K221" s="4">
        <f>IF(AND(ISNUMBER(J221),ISNUMBER(I221)),J221-I221,"")</f>
        <v/>
      </c>
      <c r="L221" s="5">
        <f>IF(AND(ISNUMBER(J221),ISNUMBER(I221),I221&gt;0),(J221-I221)/I221,"")</f>
        <v/>
      </c>
      <c r="M221" s="2">
        <f>IF(L221="","",IF(L221&lt;-0.05,"Bán phá giá",IF(L221&gt;0.05,"Bán cao hơn","Đúng giá niêm yết")))</f>
        <v/>
      </c>
      <c r="N221" s="2" t="n"/>
      <c r="O221" s="3" t="n"/>
      <c r="P221" s="3" t="n"/>
    </row>
    <row r="222">
      <c r="A222" s="2" t="n">
        <v>221</v>
      </c>
      <c r="B222" s="2" t="inlineStr">
        <is>
          <t>KH001</t>
        </is>
      </c>
      <c r="C222" s="3" t="inlineStr">
        <is>
          <t>Điện nước Nhật (Shop) HCM</t>
        </is>
      </c>
      <c r="D222" s="2" t="inlineStr">
        <is>
          <t>HCM</t>
        </is>
      </c>
      <c r="E222" s="2" t="inlineStr">
        <is>
          <t>BẢO TRÂM</t>
        </is>
      </c>
      <c r="F222" s="2" t="inlineStr">
        <is>
          <t>Shopee</t>
        </is>
      </c>
      <c r="G222" s="2" t="inlineStr">
        <is>
          <t>R2-22mm</t>
        </is>
      </c>
      <c r="H222" s="3" t="inlineStr">
        <is>
          <t>Mũi khoét kim loại KingBlue R2-22mm</t>
        </is>
      </c>
      <c r="I222" s="4" t="n">
        <v>59000</v>
      </c>
      <c r="J222" s="4" t="n"/>
      <c r="K222" s="4">
        <f>IF(AND(ISNUMBER(J222),ISNUMBER(I222)),J222-I222,"")</f>
        <v/>
      </c>
      <c r="L222" s="5">
        <f>IF(AND(ISNUMBER(J222),ISNUMBER(I222),I222&gt;0),(J222-I222)/I222,"")</f>
        <v/>
      </c>
      <c r="M222" s="2">
        <f>IF(L222="","",IF(L222&lt;-0.05,"Bán phá giá",IF(L222&gt;0.05,"Bán cao hơn","Đúng giá niêm yết")))</f>
        <v/>
      </c>
      <c r="N222" s="2" t="n"/>
      <c r="O222" s="3" t="n"/>
      <c r="P222" s="3" t="n"/>
    </row>
    <row r="223">
      <c r="A223" s="2" t="n">
        <v>222</v>
      </c>
      <c r="B223" s="2" t="inlineStr">
        <is>
          <t>KH001</t>
        </is>
      </c>
      <c r="C223" s="3" t="inlineStr">
        <is>
          <t>Điện nước Nhật (Shop) HCM</t>
        </is>
      </c>
      <c r="D223" s="2" t="inlineStr">
        <is>
          <t>HCM</t>
        </is>
      </c>
      <c r="E223" s="2" t="inlineStr">
        <is>
          <t>BẢO TRÂM</t>
        </is>
      </c>
      <c r="F223" s="2" t="inlineStr">
        <is>
          <t>Shopee</t>
        </is>
      </c>
      <c r="G223" s="2" t="inlineStr">
        <is>
          <t>R2-23mm</t>
        </is>
      </c>
      <c r="H223" s="3" t="inlineStr">
        <is>
          <t>Mũi khoét kim loại KingBlue R2-23mm</t>
        </is>
      </c>
      <c r="I223" s="4" t="n">
        <v>47000</v>
      </c>
      <c r="J223" s="4" t="n"/>
      <c r="K223" s="4">
        <f>IF(AND(ISNUMBER(J223),ISNUMBER(I223)),J223-I223,"")</f>
        <v/>
      </c>
      <c r="L223" s="5">
        <f>IF(AND(ISNUMBER(J223),ISNUMBER(I223),I223&gt;0),(J223-I223)/I223,"")</f>
        <v/>
      </c>
      <c r="M223" s="2">
        <f>IF(L223="","",IF(L223&lt;-0.05,"Bán phá giá",IF(L223&gt;0.05,"Bán cao hơn","Đúng giá niêm yết")))</f>
        <v/>
      </c>
      <c r="N223" s="2" t="n"/>
      <c r="O223" s="3" t="n"/>
      <c r="P223" s="3" t="n"/>
    </row>
    <row r="224">
      <c r="A224" s="2" t="n">
        <v>223</v>
      </c>
      <c r="B224" s="2" t="inlineStr">
        <is>
          <t>KH001</t>
        </is>
      </c>
      <c r="C224" s="3" t="inlineStr">
        <is>
          <t>Điện nước Nhật (Shop) HCM</t>
        </is>
      </c>
      <c r="D224" s="2" t="inlineStr">
        <is>
          <t>HCM</t>
        </is>
      </c>
      <c r="E224" s="2" t="inlineStr">
        <is>
          <t>BẢO TRÂM</t>
        </is>
      </c>
      <c r="F224" s="2" t="inlineStr">
        <is>
          <t>Shopee</t>
        </is>
      </c>
      <c r="G224" s="2" t="inlineStr">
        <is>
          <t>R2-25mm</t>
        </is>
      </c>
      <c r="H224" s="3" t="inlineStr">
        <is>
          <t>Mũi khoét kim loại KingBlue R2-25mm</t>
        </is>
      </c>
      <c r="I224" s="4" t="n">
        <v>64000</v>
      </c>
      <c r="J224" s="4" t="n"/>
      <c r="K224" s="4">
        <f>IF(AND(ISNUMBER(J224),ISNUMBER(I224)),J224-I224,"")</f>
        <v/>
      </c>
      <c r="L224" s="5">
        <f>IF(AND(ISNUMBER(J224),ISNUMBER(I224),I224&gt;0),(J224-I224)/I224,"")</f>
        <v/>
      </c>
      <c r="M224" s="2">
        <f>IF(L224="","",IF(L224&lt;-0.05,"Bán phá giá",IF(L224&gt;0.05,"Bán cao hơn","Đúng giá niêm yết")))</f>
        <v/>
      </c>
      <c r="N224" s="2" t="n"/>
      <c r="O224" s="3" t="n"/>
      <c r="P224" s="3" t="n"/>
    </row>
    <row r="225">
      <c r="A225" s="2" t="n">
        <v>224</v>
      </c>
      <c r="B225" s="2" t="inlineStr">
        <is>
          <t>KH001</t>
        </is>
      </c>
      <c r="C225" s="3" t="inlineStr">
        <is>
          <t>Điện nước Nhật (Shop) HCM</t>
        </is>
      </c>
      <c r="D225" s="2" t="inlineStr">
        <is>
          <t>HCM</t>
        </is>
      </c>
      <c r="E225" s="2" t="inlineStr">
        <is>
          <t>BẢO TRÂM</t>
        </is>
      </c>
      <c r="F225" s="2" t="inlineStr">
        <is>
          <t>Shopee</t>
        </is>
      </c>
      <c r="G225" s="2" t="inlineStr">
        <is>
          <t>R2-32mm</t>
        </is>
      </c>
      <c r="H225" s="3" t="inlineStr">
        <is>
          <t>Mũi khoét kim loại KingBlue R2-32mm</t>
        </is>
      </c>
      <c r="I225" s="4" t="n">
        <v>86000</v>
      </c>
      <c r="J225" s="4" t="n"/>
      <c r="K225" s="4">
        <f>IF(AND(ISNUMBER(J225),ISNUMBER(I225)),J225-I225,"")</f>
        <v/>
      </c>
      <c r="L225" s="5">
        <f>IF(AND(ISNUMBER(J225),ISNUMBER(I225),I225&gt;0),(J225-I225)/I225,"")</f>
        <v/>
      </c>
      <c r="M225" s="2">
        <f>IF(L225="","",IF(L225&lt;-0.05,"Bán phá giá",IF(L225&gt;0.05,"Bán cao hơn","Đúng giá niêm yết")))</f>
        <v/>
      </c>
      <c r="N225" s="2" t="n"/>
      <c r="O225" s="3" t="n"/>
      <c r="P225" s="3" t="n"/>
    </row>
    <row r="226">
      <c r="A226" s="2" t="n">
        <v>225</v>
      </c>
      <c r="B226" s="2" t="inlineStr">
        <is>
          <t>KH001</t>
        </is>
      </c>
      <c r="C226" s="3" t="inlineStr">
        <is>
          <t>Điện nước Nhật (Shop) HCM</t>
        </is>
      </c>
      <c r="D226" s="2" t="inlineStr">
        <is>
          <t>HCM</t>
        </is>
      </c>
      <c r="E226" s="2" t="inlineStr">
        <is>
          <t>BẢO TRÂM</t>
        </is>
      </c>
      <c r="F226" s="2" t="inlineStr">
        <is>
          <t>Shopee</t>
        </is>
      </c>
      <c r="G226" s="2" t="inlineStr">
        <is>
          <t>R2-40mm</t>
        </is>
      </c>
      <c r="H226" s="3" t="inlineStr">
        <is>
          <t>Mũi khoét kim loại KingBlue R2-40mm</t>
        </is>
      </c>
      <c r="I226" s="4" t="n">
        <v>79000</v>
      </c>
      <c r="J226" s="4" t="n"/>
      <c r="K226" s="4">
        <f>IF(AND(ISNUMBER(J226),ISNUMBER(I226)),J226-I226,"")</f>
        <v/>
      </c>
      <c r="L226" s="5">
        <f>IF(AND(ISNUMBER(J226),ISNUMBER(I226),I226&gt;0),(J226-I226)/I226,"")</f>
        <v/>
      </c>
      <c r="M226" s="2">
        <f>IF(L226="","",IF(L226&lt;-0.05,"Bán phá giá",IF(L226&gt;0.05,"Bán cao hơn","Đúng giá niêm yết")))</f>
        <v/>
      </c>
      <c r="N226" s="2" t="n"/>
      <c r="O226" s="3" t="n"/>
      <c r="P226" s="3" t="n"/>
    </row>
    <row r="227">
      <c r="A227" s="2" t="n">
        <v>226</v>
      </c>
      <c r="B227" s="2" t="inlineStr">
        <is>
          <t>KH001</t>
        </is>
      </c>
      <c r="C227" s="3" t="inlineStr">
        <is>
          <t>Điện nước Nhật (Shop) HCM</t>
        </is>
      </c>
      <c r="D227" s="2" t="inlineStr">
        <is>
          <t>HCM</t>
        </is>
      </c>
      <c r="E227" s="2" t="inlineStr">
        <is>
          <t>BẢO TRÂM</t>
        </is>
      </c>
      <c r="F227" s="2" t="inlineStr">
        <is>
          <t>Shopee</t>
        </is>
      </c>
      <c r="G227" s="2" t="inlineStr">
        <is>
          <t>R2-60mm</t>
        </is>
      </c>
      <c r="H227" s="3" t="inlineStr">
        <is>
          <t>Mũi khoét kim loại KingBlue R2-60mm</t>
        </is>
      </c>
      <c r="I227" s="4" t="n">
        <v>161000</v>
      </c>
      <c r="J227" s="4" t="n"/>
      <c r="K227" s="4">
        <f>IF(AND(ISNUMBER(J227),ISNUMBER(I227)),J227-I227,"")</f>
        <v/>
      </c>
      <c r="L227" s="5">
        <f>IF(AND(ISNUMBER(J227),ISNUMBER(I227),I227&gt;0),(J227-I227)/I227,"")</f>
        <v/>
      </c>
      <c r="M227" s="2">
        <f>IF(L227="","",IF(L227&lt;-0.05,"Bán phá giá",IF(L227&gt;0.05,"Bán cao hơn","Đúng giá niêm yết")))</f>
        <v/>
      </c>
      <c r="N227" s="2" t="n"/>
      <c r="O227" s="3" t="n"/>
      <c r="P227" s="3" t="n"/>
    </row>
    <row r="228">
      <c r="A228" s="2" t="n">
        <v>227</v>
      </c>
      <c r="B228" s="2" t="inlineStr">
        <is>
          <t>KH001</t>
        </is>
      </c>
      <c r="C228" s="3" t="inlineStr">
        <is>
          <t>Điện nước Nhật (Shop) HCM</t>
        </is>
      </c>
      <c r="D228" s="2" t="inlineStr">
        <is>
          <t>HCM</t>
        </is>
      </c>
      <c r="E228" s="2" t="inlineStr">
        <is>
          <t>BẢO TRÂM</t>
        </is>
      </c>
      <c r="F228" s="2" t="inlineStr">
        <is>
          <t>Shopee</t>
        </is>
      </c>
      <c r="G228" s="2" t="inlineStr">
        <is>
          <t>KB-HF01</t>
        </is>
      </c>
      <c r="H228" s="3" t="inlineStr">
        <is>
          <t>Quạt cầm tay mini (màu be) KB-HF01</t>
        </is>
      </c>
      <c r="I228" s="4" t="n"/>
      <c r="J228" s="4" t="n"/>
      <c r="K228" s="4">
        <f>IF(AND(ISNUMBER(J228),ISNUMBER(I228)),J228-I228,"")</f>
        <v/>
      </c>
      <c r="L228" s="5">
        <f>IF(AND(ISNUMBER(J228),ISNUMBER(I228),I228&gt;0),(J228-I228)/I228,"")</f>
        <v/>
      </c>
      <c r="M228" s="2">
        <f>IF(L228="","",IF(L228&lt;-0.05,"Bán phá giá",IF(L228&gt;0.05,"Bán cao hơn","Đúng giá niêm yết")))</f>
        <v/>
      </c>
      <c r="N228" s="2" t="n"/>
      <c r="O228" s="3" t="n"/>
      <c r="P228" s="3" t="n"/>
    </row>
    <row r="229">
      <c r="A229" s="2" t="n">
        <v>228</v>
      </c>
      <c r="B229" s="2" t="inlineStr">
        <is>
          <t>KH001</t>
        </is>
      </c>
      <c r="C229" s="3" t="inlineStr">
        <is>
          <t>Điện nước Nhật (Shop) HCM</t>
        </is>
      </c>
      <c r="D229" s="2" t="inlineStr">
        <is>
          <t>HCM</t>
        </is>
      </c>
      <c r="E229" s="2" t="inlineStr">
        <is>
          <t>BẢO TRÂM</t>
        </is>
      </c>
      <c r="F229" s="2" t="inlineStr">
        <is>
          <t>Shopee</t>
        </is>
      </c>
      <c r="G229" s="2" t="inlineStr">
        <is>
          <t>KB-HF03</t>
        </is>
      </c>
      <c r="H229" s="3" t="inlineStr">
        <is>
          <t>Quạt cầm tay mini (màu hồng) KB-HF03</t>
        </is>
      </c>
      <c r="I229" s="4" t="n"/>
      <c r="J229" s="4" t="n"/>
      <c r="K229" s="4">
        <f>IF(AND(ISNUMBER(J229),ISNUMBER(I229)),J229-I229,"")</f>
        <v/>
      </c>
      <c r="L229" s="5">
        <f>IF(AND(ISNUMBER(J229),ISNUMBER(I229),I229&gt;0),(J229-I229)/I229,"")</f>
        <v/>
      </c>
      <c r="M229" s="2">
        <f>IF(L229="","",IF(L229&lt;-0.05,"Bán phá giá",IF(L229&gt;0.05,"Bán cao hơn","Đúng giá niêm yết")))</f>
        <v/>
      </c>
      <c r="N229" s="2" t="n"/>
      <c r="O229" s="3" t="n"/>
      <c r="P229" s="3" t="n"/>
    </row>
    <row r="230">
      <c r="A230" s="2" t="n">
        <v>229</v>
      </c>
      <c r="B230" s="2" t="inlineStr">
        <is>
          <t>KH001</t>
        </is>
      </c>
      <c r="C230" s="3" t="inlineStr">
        <is>
          <t>Điện nước Nhật (Shop) HCM</t>
        </is>
      </c>
      <c r="D230" s="2" t="inlineStr">
        <is>
          <t>HCM</t>
        </is>
      </c>
      <c r="E230" s="2" t="inlineStr">
        <is>
          <t>BẢO TRÂM</t>
        </is>
      </c>
      <c r="F230" s="2" t="inlineStr">
        <is>
          <t>Shopee</t>
        </is>
      </c>
      <c r="G230" s="2" t="inlineStr">
        <is>
          <t>KB-HF02</t>
        </is>
      </c>
      <c r="H230" s="3" t="inlineStr">
        <is>
          <t>Quạt cầm tay mini (màu xám) KB-HF02</t>
        </is>
      </c>
      <c r="I230" s="4" t="n"/>
      <c r="J230" s="4" t="n"/>
      <c r="K230" s="4">
        <f>IF(AND(ISNUMBER(J230),ISNUMBER(I230)),J230-I230,"")</f>
        <v/>
      </c>
      <c r="L230" s="5">
        <f>IF(AND(ISNUMBER(J230),ISNUMBER(I230),I230&gt;0),(J230-I230)/I230,"")</f>
        <v/>
      </c>
      <c r="M230" s="2">
        <f>IF(L230="","",IF(L230&lt;-0.05,"Bán phá giá",IF(L230&gt;0.05,"Bán cao hơn","Đúng giá niêm yết")))</f>
        <v/>
      </c>
      <c r="N230" s="2" t="n"/>
      <c r="O230" s="3" t="n"/>
      <c r="P230" s="3" t="n"/>
    </row>
    <row r="231">
      <c r="A231" s="2" t="n">
        <v>230</v>
      </c>
      <c r="B231" s="2" t="inlineStr">
        <is>
          <t>KH001</t>
        </is>
      </c>
      <c r="C231" s="3" t="inlineStr">
        <is>
          <t>Điện nước Nhật (Shop) HCM</t>
        </is>
      </c>
      <c r="D231" s="2" t="inlineStr">
        <is>
          <t>HCM</t>
        </is>
      </c>
      <c r="E231" s="2" t="inlineStr">
        <is>
          <t>BẢO TRÂM</t>
        </is>
      </c>
      <c r="F231" s="2" t="inlineStr">
        <is>
          <t>Shopee</t>
        </is>
      </c>
      <c r="G231" s="2" t="inlineStr">
        <is>
          <t>KB8*48G</t>
        </is>
      </c>
      <c r="H231" s="3" t="inlineStr">
        <is>
          <t>Siết tôn King Blue KB8*48G</t>
        </is>
      </c>
      <c r="I231" s="4" t="n">
        <v>75000</v>
      </c>
      <c r="J231" s="4" t="n"/>
      <c r="K231" s="4">
        <f>IF(AND(ISNUMBER(J231),ISNUMBER(I231)),J231-I231,"")</f>
        <v/>
      </c>
      <c r="L231" s="5">
        <f>IF(AND(ISNUMBER(J231),ISNUMBER(I231),I231&gt;0),(J231-I231)/I231,"")</f>
        <v/>
      </c>
      <c r="M231" s="2">
        <f>IF(L231="","",IF(L231&lt;-0.05,"Bán phá giá",IF(L231&gt;0.05,"Bán cao hơn","Đúng giá niêm yết")))</f>
        <v/>
      </c>
      <c r="N231" s="2" t="n"/>
      <c r="O231" s="3" t="n"/>
      <c r="P231" s="3" t="n"/>
    </row>
    <row r="232">
      <c r="A232" s="2" t="n">
        <v>231</v>
      </c>
      <c r="B232" s="2" t="inlineStr">
        <is>
          <t>KH001</t>
        </is>
      </c>
      <c r="C232" s="3" t="inlineStr">
        <is>
          <t>Điện nước Nhật (Shop) HCM</t>
        </is>
      </c>
      <c r="D232" s="2" t="inlineStr">
        <is>
          <t>HCM</t>
        </is>
      </c>
      <c r="E232" s="2" t="inlineStr">
        <is>
          <t>BẢO TRÂM</t>
        </is>
      </c>
      <c r="F232" s="2" t="inlineStr">
        <is>
          <t>Shopee</t>
        </is>
      </c>
      <c r="G232" s="2" t="inlineStr">
        <is>
          <t>ST08x42V</t>
        </is>
      </c>
      <c r="H232" s="3" t="inlineStr">
        <is>
          <t>Siết tôn King Blue ST08x42V</t>
        </is>
      </c>
      <c r="I232" s="4" t="n">
        <v>22000</v>
      </c>
      <c r="J232" s="4" t="n"/>
      <c r="K232" s="4">
        <f>IF(AND(ISNUMBER(J232),ISNUMBER(I232)),J232-I232,"")</f>
        <v/>
      </c>
      <c r="L232" s="5">
        <f>IF(AND(ISNUMBER(J232),ISNUMBER(I232),I232&gt;0),(J232-I232)/I232,"")</f>
        <v/>
      </c>
      <c r="M232" s="2">
        <f>IF(L232="","",IF(L232&lt;-0.05,"Bán phá giá",IF(L232&gt;0.05,"Bán cao hơn","Đúng giá niêm yết")))</f>
        <v/>
      </c>
      <c r="N232" s="2" t="n"/>
      <c r="O232" s="3" t="n"/>
      <c r="P232" s="3" t="n"/>
    </row>
    <row r="233">
      <c r="A233" s="2" t="n">
        <v>232</v>
      </c>
      <c r="B233" s="2" t="inlineStr">
        <is>
          <t>KH001</t>
        </is>
      </c>
      <c r="C233" s="3" t="inlineStr">
        <is>
          <t>Điện nước Nhật (Shop) HCM</t>
        </is>
      </c>
      <c r="D233" s="2" t="inlineStr">
        <is>
          <t>HCM</t>
        </is>
      </c>
      <c r="E233" s="2" t="inlineStr">
        <is>
          <t>BẢO TRÂM</t>
        </is>
      </c>
      <c r="F233" s="2" t="inlineStr">
        <is>
          <t>Shopee</t>
        </is>
      </c>
      <c r="G233" s="2" t="inlineStr">
        <is>
          <t>ST08x65G</t>
        </is>
      </c>
      <c r="H233" s="3" t="inlineStr">
        <is>
          <t>Siết tôn KingBlue ST08x65G</t>
        </is>
      </c>
      <c r="I233" s="4" t="n">
        <v>42500</v>
      </c>
      <c r="J233" s="4" t="n"/>
      <c r="K233" s="4">
        <f>IF(AND(ISNUMBER(J233),ISNUMBER(I233)),J233-I233,"")</f>
        <v/>
      </c>
      <c r="L233" s="5">
        <f>IF(AND(ISNUMBER(J233),ISNUMBER(I233),I233&gt;0),(J233-I233)/I233,"")</f>
        <v/>
      </c>
      <c r="M233" s="2">
        <f>IF(L233="","",IF(L233&lt;-0.05,"Bán phá giá",IF(L233&gt;0.05,"Bán cao hơn","Đúng giá niêm yết")))</f>
        <v/>
      </c>
      <c r="N233" s="2" t="n"/>
      <c r="O233" s="3" t="n"/>
      <c r="P233" s="3" t="n"/>
    </row>
    <row r="234">
      <c r="A234" s="2" t="n">
        <v>233</v>
      </c>
      <c r="B234" s="2" t="inlineStr">
        <is>
          <t>KH001</t>
        </is>
      </c>
      <c r="C234" s="3" t="inlineStr">
        <is>
          <t>Điện nước Nhật (Shop) HCM</t>
        </is>
      </c>
      <c r="D234" s="2" t="inlineStr">
        <is>
          <t>HCM</t>
        </is>
      </c>
      <c r="E234" s="2" t="inlineStr">
        <is>
          <t>BẢO TRÂM</t>
        </is>
      </c>
      <c r="F234" s="2" t="inlineStr">
        <is>
          <t>Shopee</t>
        </is>
      </c>
      <c r="G234" s="2" t="inlineStr">
        <is>
          <t>ST10x65G</t>
        </is>
      </c>
      <c r="H234" s="3" t="inlineStr">
        <is>
          <t>Siết tôn KingBlue ST10x65G</t>
        </is>
      </c>
      <c r="I234" s="4" t="n">
        <v>45000</v>
      </c>
      <c r="J234" s="4" t="n"/>
      <c r="K234" s="4">
        <f>IF(AND(ISNUMBER(J234),ISNUMBER(I234)),J234-I234,"")</f>
        <v/>
      </c>
      <c r="L234" s="5">
        <f>IF(AND(ISNUMBER(J234),ISNUMBER(I234),I234&gt;0),(J234-I234)/I234,"")</f>
        <v/>
      </c>
      <c r="M234" s="2">
        <f>IF(L234="","",IF(L234&lt;-0.05,"Bán phá giá",IF(L234&gt;0.05,"Bán cao hơn","Đúng giá niêm yết")))</f>
        <v/>
      </c>
      <c r="N234" s="2" t="n"/>
      <c r="O234" s="3" t="n"/>
      <c r="P234" s="3" t="n"/>
    </row>
    <row r="235">
      <c r="A235" s="2" t="n">
        <v>234</v>
      </c>
      <c r="B235" s="2" t="inlineStr">
        <is>
          <t>KH001</t>
        </is>
      </c>
      <c r="C235" s="3" t="inlineStr">
        <is>
          <t>Điện nước Nhật (Shop) HCM</t>
        </is>
      </c>
      <c r="D235" s="2" t="inlineStr">
        <is>
          <t>HCM</t>
        </is>
      </c>
      <c r="E235" s="2" t="inlineStr">
        <is>
          <t>BẢO TRÂM</t>
        </is>
      </c>
      <c r="F235" s="2" t="inlineStr">
        <is>
          <t>Shopee</t>
        </is>
      </c>
      <c r="G235" s="2" t="inlineStr">
        <is>
          <t>ST12x65G</t>
        </is>
      </c>
      <c r="H235" s="3" t="inlineStr">
        <is>
          <t>Siết tôn KingBlue ST12x65G</t>
        </is>
      </c>
      <c r="I235" s="4" t="n">
        <v>11000</v>
      </c>
      <c r="J235" s="4" t="n"/>
      <c r="K235" s="4">
        <f>IF(AND(ISNUMBER(J235),ISNUMBER(I235)),J235-I235,"")</f>
        <v/>
      </c>
      <c r="L235" s="5">
        <f>IF(AND(ISNUMBER(J235),ISNUMBER(I235),I235&gt;0),(J235-I235)/I235,"")</f>
        <v/>
      </c>
      <c r="M235" s="2">
        <f>IF(L235="","",IF(L235&lt;-0.05,"Bán phá giá",IF(L235&gt;0.05,"Bán cao hơn","Đúng giá niêm yết")))</f>
        <v/>
      </c>
      <c r="N235" s="2" t="n"/>
      <c r="O235" s="3" t="n"/>
      <c r="P235" s="3" t="n"/>
    </row>
    <row r="236">
      <c r="A236" s="2" t="n">
        <v>235</v>
      </c>
      <c r="B236" s="2" t="inlineStr">
        <is>
          <t>KH001</t>
        </is>
      </c>
      <c r="C236" s="3" t="inlineStr">
        <is>
          <t>Điện nước Nhật (Shop) HCM</t>
        </is>
      </c>
      <c r="D236" s="2" t="inlineStr">
        <is>
          <t>HCM</t>
        </is>
      </c>
      <c r="E236" s="2" t="inlineStr">
        <is>
          <t>BẢO TRÂM</t>
        </is>
      </c>
      <c r="F236" s="2" t="inlineStr">
        <is>
          <t>Shopee</t>
        </is>
      </c>
      <c r="G236" s="2" t="inlineStr">
        <is>
          <t>ST13x65G</t>
        </is>
      </c>
      <c r="H236" s="3" t="inlineStr">
        <is>
          <t>Siết tôn KingBlue ST13x65G</t>
        </is>
      </c>
      <c r="I236" s="4" t="n">
        <v>20000</v>
      </c>
      <c r="J236" s="4" t="n"/>
      <c r="K236" s="4">
        <f>IF(AND(ISNUMBER(J236),ISNUMBER(I236)),J236-I236,"")</f>
        <v/>
      </c>
      <c r="L236" s="5">
        <f>IF(AND(ISNUMBER(J236),ISNUMBER(I236),I236&gt;0),(J236-I236)/I236,"")</f>
        <v/>
      </c>
      <c r="M236" s="2">
        <f>IF(L236="","",IF(L236&lt;-0.05,"Bán phá giá",IF(L236&gt;0.05,"Bán cao hơn","Đúng giá niêm yết")))</f>
        <v/>
      </c>
      <c r="N236" s="2" t="n"/>
      <c r="O236" s="3" t="n"/>
      <c r="P236" s="3" t="n"/>
    </row>
    <row r="237">
      <c r="A237" s="2" t="n">
        <v>236</v>
      </c>
      <c r="B237" s="2" t="inlineStr">
        <is>
          <t>KH001</t>
        </is>
      </c>
      <c r="C237" s="3" t="inlineStr">
        <is>
          <t>Điện nước Nhật (Shop) HCM</t>
        </is>
      </c>
      <c r="D237" s="2" t="inlineStr">
        <is>
          <t>HCM</t>
        </is>
      </c>
      <c r="E237" s="2" t="inlineStr">
        <is>
          <t>BẢO TRÂM</t>
        </is>
      </c>
      <c r="F237" s="2" t="inlineStr">
        <is>
          <t>Shopee</t>
        </is>
      </c>
      <c r="G237" s="2" t="inlineStr">
        <is>
          <t>ST14x65G</t>
        </is>
      </c>
      <c r="H237" s="3" t="inlineStr">
        <is>
          <t>Siết tôn KingBlue ST14x65G</t>
        </is>
      </c>
      <c r="I237" s="4" t="n">
        <v>13500</v>
      </c>
      <c r="J237" s="4" t="n"/>
      <c r="K237" s="4">
        <f>IF(AND(ISNUMBER(J237),ISNUMBER(I237)),J237-I237,"")</f>
        <v/>
      </c>
      <c r="L237" s="5">
        <f>IF(AND(ISNUMBER(J237),ISNUMBER(I237),I237&gt;0),(J237-I237)/I237,"")</f>
        <v/>
      </c>
      <c r="M237" s="2">
        <f>IF(L237="","",IF(L237&lt;-0.05,"Bán phá giá",IF(L237&gt;0.05,"Bán cao hơn","Đúng giá niêm yết")))</f>
        <v/>
      </c>
      <c r="N237" s="2" t="n"/>
      <c r="O237" s="3" t="n"/>
      <c r="P237" s="3" t="n"/>
    </row>
    <row r="238">
      <c r="A238" s="2" t="n">
        <v>237</v>
      </c>
      <c r="B238" s="2" t="inlineStr">
        <is>
          <t>KH001</t>
        </is>
      </c>
      <c r="C238" s="3" t="inlineStr">
        <is>
          <t>Điện nước Nhật (Shop) HCM</t>
        </is>
      </c>
      <c r="D238" s="2" t="inlineStr">
        <is>
          <t>HCM</t>
        </is>
      </c>
      <c r="E238" s="2" t="inlineStr">
        <is>
          <t>BẢO TRÂM</t>
        </is>
      </c>
      <c r="F238" s="2" t="inlineStr">
        <is>
          <t>Shopee</t>
        </is>
      </c>
      <c r="G238" s="2" t="inlineStr">
        <is>
          <t>KBO-W71</t>
        </is>
      </c>
      <c r="H238" s="3" t="inlineStr">
        <is>
          <t>Súng phun sơn KBO-W71</t>
        </is>
      </c>
      <c r="I238" s="4" t="n">
        <v>346000</v>
      </c>
      <c r="J238" s="4" t="n"/>
      <c r="K238" s="4">
        <f>IF(AND(ISNUMBER(J238),ISNUMBER(I238)),J238-I238,"")</f>
        <v/>
      </c>
      <c r="L238" s="5">
        <f>IF(AND(ISNUMBER(J238),ISNUMBER(I238),I238&gt;0),(J238-I238)/I238,"")</f>
        <v/>
      </c>
      <c r="M238" s="2">
        <f>IF(L238="","",IF(L238&lt;-0.05,"Bán phá giá",IF(L238&gt;0.05,"Bán cao hơn","Đúng giá niêm yết")))</f>
        <v/>
      </c>
      <c r="N238" s="2" t="n"/>
      <c r="O238" s="3" t="n"/>
      <c r="P238" s="3" t="n"/>
    </row>
    <row r="239">
      <c r="A239" s="2" t="n">
        <v>238</v>
      </c>
      <c r="B239" s="2" t="inlineStr">
        <is>
          <t>KH001</t>
        </is>
      </c>
      <c r="C239" s="3" t="inlineStr">
        <is>
          <t>Điện nước Nhật (Shop) HCM</t>
        </is>
      </c>
      <c r="D239" s="2" t="inlineStr">
        <is>
          <t>HCM</t>
        </is>
      </c>
      <c r="E239" s="2" t="inlineStr">
        <is>
          <t>BẢO TRÂM</t>
        </is>
      </c>
      <c r="F239" s="2" t="inlineStr">
        <is>
          <t>Shopee</t>
        </is>
      </c>
      <c r="G239" s="2" t="inlineStr">
        <is>
          <t>KVS2-6*100</t>
        </is>
      </c>
      <c r="H239" s="3" t="inlineStr">
        <is>
          <t>Tuốc nơ vít 2 đầu KVS2-6*100</t>
        </is>
      </c>
      <c r="I239" s="4" t="n">
        <v>44000</v>
      </c>
      <c r="J239" s="4" t="n"/>
      <c r="K239" s="4">
        <f>IF(AND(ISNUMBER(J239),ISNUMBER(I239)),J239-I239,"")</f>
        <v/>
      </c>
      <c r="L239" s="5">
        <f>IF(AND(ISNUMBER(J239),ISNUMBER(I239),I239&gt;0),(J239-I239)/I239,"")</f>
        <v/>
      </c>
      <c r="M239" s="2">
        <f>IF(L239="","",IF(L239&lt;-0.05,"Bán phá giá",IF(L239&gt;0.05,"Bán cao hơn","Đúng giá niêm yết")))</f>
        <v/>
      </c>
      <c r="N239" s="2" t="n"/>
      <c r="O239" s="3" t="n"/>
      <c r="P239" s="3" t="n"/>
    </row>
    <row r="240">
      <c r="A240" s="2" t="n">
        <v>239</v>
      </c>
      <c r="B240" s="2" t="inlineStr">
        <is>
          <t>KH001</t>
        </is>
      </c>
      <c r="C240" s="3" t="inlineStr">
        <is>
          <t>Điện nước Nhật (Shop) HCM</t>
        </is>
      </c>
      <c r="D240" s="2" t="inlineStr">
        <is>
          <t>HCM</t>
        </is>
      </c>
      <c r="E240" s="2" t="inlineStr">
        <is>
          <t>BẢO TRÂM</t>
        </is>
      </c>
      <c r="F240" s="2" t="inlineStr">
        <is>
          <t>Shopee</t>
        </is>
      </c>
      <c r="G240" s="2" t="inlineStr">
        <is>
          <t>KVS2-6*150</t>
        </is>
      </c>
      <c r="H240" s="3" t="inlineStr">
        <is>
          <t>Tuốc nơ vít 2 đầu KVS2-6*150</t>
        </is>
      </c>
      <c r="I240" s="4" t="n">
        <v>51000</v>
      </c>
      <c r="J240" s="4" t="n"/>
      <c r="K240" s="4">
        <f>IF(AND(ISNUMBER(J240),ISNUMBER(I240)),J240-I240,"")</f>
        <v/>
      </c>
      <c r="L240" s="5">
        <f>IF(AND(ISNUMBER(J240),ISNUMBER(I240),I240&gt;0),(J240-I240)/I240,"")</f>
        <v/>
      </c>
      <c r="M240" s="2">
        <f>IF(L240="","",IF(L240&lt;-0.05,"Bán phá giá",IF(L240&gt;0.05,"Bán cao hơn","Đúng giá niêm yết")))</f>
        <v/>
      </c>
      <c r="N240" s="2" t="n"/>
      <c r="O240" s="3" t="n"/>
      <c r="P240" s="3" t="n"/>
    </row>
    <row r="241">
      <c r="A241" s="2" t="n">
        <v>240</v>
      </c>
      <c r="B241" s="2" t="inlineStr">
        <is>
          <t>KH001</t>
        </is>
      </c>
      <c r="C241" s="3" t="inlineStr">
        <is>
          <t>Điện nước Nhật (Shop) HCM</t>
        </is>
      </c>
      <c r="D241" s="2" t="inlineStr">
        <is>
          <t>HCM</t>
        </is>
      </c>
      <c r="E241" s="2" t="inlineStr">
        <is>
          <t>BẢO TRÂM</t>
        </is>
      </c>
      <c r="F241" s="2" t="inlineStr">
        <is>
          <t>Shopee</t>
        </is>
      </c>
      <c r="G241" s="2" t="inlineStr">
        <is>
          <t>KVS2-6*200</t>
        </is>
      </c>
      <c r="H241" s="3" t="inlineStr">
        <is>
          <t>Tuốc nơ vít 2 đầu KVS2-6*200</t>
        </is>
      </c>
      <c r="I241" s="4" t="n">
        <v>61000</v>
      </c>
      <c r="J241" s="4" t="n"/>
      <c r="K241" s="4">
        <f>IF(AND(ISNUMBER(J241),ISNUMBER(I241)),J241-I241,"")</f>
        <v/>
      </c>
      <c r="L241" s="5">
        <f>IF(AND(ISNUMBER(J241),ISNUMBER(I241),I241&gt;0),(J241-I241)/I241,"")</f>
        <v/>
      </c>
      <c r="M241" s="2">
        <f>IF(L241="","",IF(L241&lt;-0.05,"Bán phá giá",IF(L241&gt;0.05,"Bán cao hơn","Đúng giá niêm yết")))</f>
        <v/>
      </c>
      <c r="N241" s="2" t="n"/>
      <c r="O241" s="3" t="n"/>
      <c r="P241" s="3" t="n"/>
    </row>
    <row r="242">
      <c r="A242" s="2" t="n">
        <v>241</v>
      </c>
      <c r="B242" s="2" t="inlineStr">
        <is>
          <t>KH001</t>
        </is>
      </c>
      <c r="C242" s="3" t="inlineStr">
        <is>
          <t>Điện nước Nhật (Shop) HCM</t>
        </is>
      </c>
      <c r="D242" s="2" t="inlineStr">
        <is>
          <t>HCM</t>
        </is>
      </c>
      <c r="E242" s="2" t="inlineStr">
        <is>
          <t>BẢO TRÂM</t>
        </is>
      </c>
      <c r="F242" s="2" t="inlineStr">
        <is>
          <t>Shopee</t>
        </is>
      </c>
      <c r="G242" s="2" t="inlineStr">
        <is>
          <t>KV3-6*150</t>
        </is>
      </c>
      <c r="H242" s="3" t="inlineStr">
        <is>
          <t>Tuốc nơ vít 2 đầu tịnh tiến KV3-6*150</t>
        </is>
      </c>
      <c r="I242" s="4" t="n">
        <v>66000</v>
      </c>
      <c r="J242" s="4" t="n"/>
      <c r="K242" s="4">
        <f>IF(AND(ISNUMBER(J242),ISNUMBER(I242)),J242-I242,"")</f>
        <v/>
      </c>
      <c r="L242" s="5">
        <f>IF(AND(ISNUMBER(J242),ISNUMBER(I242),I242&gt;0),(J242-I242)/I242,"")</f>
        <v/>
      </c>
      <c r="M242" s="2">
        <f>IF(L242="","",IF(L242&lt;-0.05,"Bán phá giá",IF(L242&gt;0.05,"Bán cao hơn","Đúng giá niêm yết")))</f>
        <v/>
      </c>
      <c r="N242" s="2" t="n"/>
      <c r="O242" s="3" t="n"/>
      <c r="P242" s="3" t="n"/>
    </row>
    <row r="243">
      <c r="A243" s="2" t="n">
        <v>242</v>
      </c>
      <c r="B243" s="2" t="inlineStr">
        <is>
          <t>KH001</t>
        </is>
      </c>
      <c r="C243" s="3" t="inlineStr">
        <is>
          <t>Điện nước Nhật (Shop) HCM</t>
        </is>
      </c>
      <c r="D243" s="2" t="inlineStr">
        <is>
          <t>HCM</t>
        </is>
      </c>
      <c r="E243" s="2" t="inlineStr">
        <is>
          <t>BẢO TRÂM</t>
        </is>
      </c>
      <c r="F243" s="2" t="inlineStr">
        <is>
          <t>Shopee</t>
        </is>
      </c>
      <c r="G243" s="2" t="inlineStr">
        <is>
          <t>KV4-6*38</t>
        </is>
      </c>
      <c r="H243" s="3" t="inlineStr">
        <is>
          <t>Tuốc nơ vít tự động 3 chức năng S2 KV4-6*38</t>
        </is>
      </c>
      <c r="I243" s="4" t="n">
        <v>89000</v>
      </c>
      <c r="J243" s="4" t="n"/>
      <c r="K243" s="4">
        <f>IF(AND(ISNUMBER(J243),ISNUMBER(I243)),J243-I243,"")</f>
        <v/>
      </c>
      <c r="L243" s="5">
        <f>IF(AND(ISNUMBER(J243),ISNUMBER(I243),I243&gt;0),(J243-I243)/I243,"")</f>
        <v/>
      </c>
      <c r="M243" s="2">
        <f>IF(L243="","",IF(L243&lt;-0.05,"Bán phá giá",IF(L243&gt;0.05,"Bán cao hơn","Đúng giá niêm yết")))</f>
        <v/>
      </c>
      <c r="N243" s="2" t="n"/>
      <c r="O243" s="3" t="n"/>
      <c r="P243" s="3" t="n"/>
    </row>
    <row r="244">
      <c r="A244" s="2" t="n">
        <v>243</v>
      </c>
      <c r="B244" s="2" t="inlineStr">
        <is>
          <t>KH001</t>
        </is>
      </c>
      <c r="C244" s="3" t="inlineStr">
        <is>
          <t>Điện nước Nhật (Shop) HCM</t>
        </is>
      </c>
      <c r="D244" s="2" t="inlineStr">
        <is>
          <t>HCM</t>
        </is>
      </c>
      <c r="E244" s="2" t="inlineStr">
        <is>
          <t>BẢO TRÂM</t>
        </is>
      </c>
      <c r="F244" s="2" t="inlineStr">
        <is>
          <t>Shopee</t>
        </is>
      </c>
      <c r="G244" s="2" t="inlineStr">
        <is>
          <t>KHD4212</t>
        </is>
      </c>
      <c r="H244" s="3" t="inlineStr">
        <is>
          <t>Thùng đựng đồ nghề kèm phụ kiện KHD4212 NEW</t>
        </is>
      </c>
      <c r="I244" s="4" t="n">
        <v>445000</v>
      </c>
      <c r="J244" s="4" t="n"/>
      <c r="K244" s="4">
        <f>IF(AND(ISNUMBER(J244),ISNUMBER(I244)),J244-I244,"")</f>
        <v/>
      </c>
      <c r="L244" s="5">
        <f>IF(AND(ISNUMBER(J244),ISNUMBER(I244),I244&gt;0),(J244-I244)/I244,"")</f>
        <v/>
      </c>
      <c r="M244" s="2">
        <f>IF(L244="","",IF(L244&lt;-0.05,"Bán phá giá",IF(L244&gt;0.05,"Bán cao hơn","Đúng giá niêm yết")))</f>
        <v/>
      </c>
      <c r="N244" s="2" t="n"/>
      <c r="O244" s="3" t="n"/>
      <c r="P244" s="3" t="n"/>
    </row>
    <row r="245">
      <c r="A245" s="2" t="n">
        <v>244</v>
      </c>
      <c r="B245" s="2" t="inlineStr">
        <is>
          <t>KH001</t>
        </is>
      </c>
      <c r="C245" s="3" t="inlineStr">
        <is>
          <t>Điện nước Nhật (Shop) HCM</t>
        </is>
      </c>
      <c r="D245" s="2" t="inlineStr">
        <is>
          <t>HCM</t>
        </is>
      </c>
      <c r="E245" s="2" t="inlineStr">
        <is>
          <t>BẢO TRÂM</t>
        </is>
      </c>
      <c r="F245" s="2" t="inlineStr">
        <is>
          <t>Shopee</t>
        </is>
      </c>
      <c r="G245" s="2" t="inlineStr">
        <is>
          <t>KHD20</t>
        </is>
      </c>
      <c r="H245" s="3" t="inlineStr">
        <is>
          <t>Thùng đựng đồ nghề KHD20</t>
        </is>
      </c>
      <c r="I245" s="4" t="n">
        <v>440000</v>
      </c>
      <c r="J245" s="4" t="n"/>
      <c r="K245" s="4">
        <f>IF(AND(ISNUMBER(J245),ISNUMBER(I245)),J245-I245,"")</f>
        <v/>
      </c>
      <c r="L245" s="5">
        <f>IF(AND(ISNUMBER(J245),ISNUMBER(I245),I245&gt;0),(J245-I245)/I245,"")</f>
        <v/>
      </c>
      <c r="M245" s="2">
        <f>IF(L245="","",IF(L245&lt;-0.05,"Bán phá giá",IF(L245&gt;0.05,"Bán cao hơn","Đúng giá niêm yết")))</f>
        <v/>
      </c>
      <c r="N245" s="2" t="n"/>
      <c r="O245" s="3" t="n"/>
      <c r="P245" s="3" t="n"/>
    </row>
    <row r="246">
      <c r="A246" s="2" t="n">
        <v>245</v>
      </c>
      <c r="B246" s="2" t="inlineStr">
        <is>
          <t>KH001</t>
        </is>
      </c>
      <c r="C246" s="3" t="inlineStr">
        <is>
          <t>Điện nước Nhật (Shop) HCM</t>
        </is>
      </c>
      <c r="D246" s="2" t="inlineStr">
        <is>
          <t>HCM</t>
        </is>
      </c>
      <c r="E246" s="2" t="inlineStr">
        <is>
          <t>BẢO TRÂM</t>
        </is>
      </c>
      <c r="F246" s="2" t="inlineStr">
        <is>
          <t>Shopee</t>
        </is>
      </c>
      <c r="G246" s="2" t="inlineStr">
        <is>
          <t>KHD4216</t>
        </is>
      </c>
      <c r="H246" s="3" t="inlineStr">
        <is>
          <t>Thùng đựng đồ nghề KHD4216</t>
        </is>
      </c>
      <c r="I246" s="4" t="n">
        <v>528000</v>
      </c>
      <c r="J246" s="4" t="n"/>
      <c r="K246" s="4">
        <f>IF(AND(ISNUMBER(J246),ISNUMBER(I246)),J246-I246,"")</f>
        <v/>
      </c>
      <c r="L246" s="5">
        <f>IF(AND(ISNUMBER(J246),ISNUMBER(I246),I246&gt;0),(J246-I246)/I246,"")</f>
        <v/>
      </c>
      <c r="M246" s="2">
        <f>IF(L246="","",IF(L246&lt;-0.05,"Bán phá giá",IF(L246&gt;0.05,"Bán cao hơn","Đúng giá niêm yết")))</f>
        <v/>
      </c>
      <c r="N246" s="2" t="n"/>
      <c r="O246" s="3" t="n"/>
      <c r="P246" s="3" t="n"/>
    </row>
    <row r="247">
      <c r="A247" s="2" t="n">
        <v>246</v>
      </c>
      <c r="B247" s="2" t="inlineStr">
        <is>
          <t>KH001</t>
        </is>
      </c>
      <c r="C247" s="3" t="inlineStr">
        <is>
          <t>Điện nước Nhật (Shop) HCM</t>
        </is>
      </c>
      <c r="D247" s="2" t="inlineStr">
        <is>
          <t>HCM</t>
        </is>
      </c>
      <c r="E247" s="2" t="inlineStr">
        <is>
          <t>BẢO TRÂM</t>
        </is>
      </c>
      <c r="F247" s="2" t="inlineStr">
        <is>
          <t>Shopee</t>
        </is>
      </c>
      <c r="G247" s="2" t="inlineStr">
        <is>
          <t>KHD4233</t>
        </is>
      </c>
      <c r="H247" s="3" t="inlineStr">
        <is>
          <t>Thùng đựng đồ nghề KHD4233</t>
        </is>
      </c>
      <c r="I247" s="4" t="n">
        <v>869000</v>
      </c>
      <c r="J247" s="4" t="n"/>
      <c r="K247" s="4">
        <f>IF(AND(ISNUMBER(J247),ISNUMBER(I247)),J247-I247,"")</f>
        <v/>
      </c>
      <c r="L247" s="5">
        <f>IF(AND(ISNUMBER(J247),ISNUMBER(I247),I247&gt;0),(J247-I247)/I247,"")</f>
        <v/>
      </c>
      <c r="M247" s="2">
        <f>IF(L247="","",IF(L247&lt;-0.05,"Bán phá giá",IF(L247&gt;0.05,"Bán cao hơn","Đúng giá niêm yết")))</f>
        <v/>
      </c>
      <c r="N247" s="2" t="n"/>
      <c r="O247" s="3" t="n"/>
      <c r="P247" s="3" t="n"/>
    </row>
    <row r="248">
      <c r="A248" s="2" t="n">
        <v>247</v>
      </c>
      <c r="B248" s="2" t="inlineStr">
        <is>
          <t>KH001</t>
        </is>
      </c>
      <c r="C248" s="3" t="inlineStr">
        <is>
          <t>Điện nước Nhật (Shop) HCM</t>
        </is>
      </c>
      <c r="D248" s="2" t="inlineStr">
        <is>
          <t>HCM</t>
        </is>
      </c>
      <c r="E248" s="2" t="inlineStr">
        <is>
          <t>BẢO TRÂM</t>
        </is>
      </c>
      <c r="F248" s="2" t="inlineStr">
        <is>
          <t>Shopee</t>
        </is>
      </c>
      <c r="G248" s="2" t="inlineStr">
        <is>
          <t>MC-30.16</t>
        </is>
      </c>
      <c r="H248" s="3" t="inlineStr">
        <is>
          <t>Thước Cuộn MC-30.16</t>
        </is>
      </c>
      <c r="I248" s="4" t="n">
        <v>48000</v>
      </c>
      <c r="J248" s="4" t="n"/>
      <c r="K248" s="4">
        <f>IF(AND(ISNUMBER(J248),ISNUMBER(I248)),J248-I248,"")</f>
        <v/>
      </c>
      <c r="L248" s="5">
        <f>IF(AND(ISNUMBER(J248),ISNUMBER(I248),I248&gt;0),(J248-I248)/I248,"")</f>
        <v/>
      </c>
      <c r="M248" s="2">
        <f>IF(L248="","",IF(L248&lt;-0.05,"Bán phá giá",IF(L248&gt;0.05,"Bán cao hơn","Đúng giá niêm yết")))</f>
        <v/>
      </c>
      <c r="N248" s="2" t="n"/>
      <c r="O248" s="3" t="n"/>
      <c r="P248" s="3" t="n"/>
    </row>
    <row r="249">
      <c r="A249" s="2" t="n">
        <v>248</v>
      </c>
      <c r="B249" s="2" t="inlineStr">
        <is>
          <t>KH001</t>
        </is>
      </c>
      <c r="C249" s="3" t="inlineStr">
        <is>
          <t>Điện nước Nhật (Shop) HCM</t>
        </is>
      </c>
      <c r="D249" s="2" t="inlineStr">
        <is>
          <t>HCM</t>
        </is>
      </c>
      <c r="E249" s="2" t="inlineStr">
        <is>
          <t>BẢO TRÂM</t>
        </is>
      </c>
      <c r="F249" s="2" t="inlineStr">
        <is>
          <t>Shopee</t>
        </is>
      </c>
      <c r="G249" s="2" t="inlineStr">
        <is>
          <t>MD-50.25</t>
        </is>
      </c>
      <c r="H249" s="3" t="inlineStr">
        <is>
          <t>Thước Cuộn tự hãm MD-50.25</t>
        </is>
      </c>
      <c r="I249" s="4" t="n">
        <v>89000</v>
      </c>
      <c r="J249" s="4" t="n"/>
      <c r="K249" s="4">
        <f>IF(AND(ISNUMBER(J249),ISNUMBER(I249)),J249-I249,"")</f>
        <v/>
      </c>
      <c r="L249" s="5">
        <f>IF(AND(ISNUMBER(J249),ISNUMBER(I249),I249&gt;0),(J249-I249)/I249,"")</f>
        <v/>
      </c>
      <c r="M249" s="2">
        <f>IF(L249="","",IF(L249&lt;-0.05,"Bán phá giá",IF(L249&gt;0.05,"Bán cao hơn","Đúng giá niêm yết")))</f>
        <v/>
      </c>
      <c r="N249" s="2" t="n"/>
      <c r="O249" s="3" t="n"/>
      <c r="P249" s="3" t="n"/>
    </row>
    <row r="250">
      <c r="A250" s="2" t="n">
        <v>249</v>
      </c>
      <c r="B250" s="2" t="inlineStr">
        <is>
          <t>KH001</t>
        </is>
      </c>
      <c r="C250" s="3" t="inlineStr">
        <is>
          <t>Điện nước Nhật (Shop) HCM</t>
        </is>
      </c>
      <c r="D250" s="2" t="inlineStr">
        <is>
          <t>HCM</t>
        </is>
      </c>
      <c r="E250" s="2" t="inlineStr">
        <is>
          <t>BẢO TRÂM</t>
        </is>
      </c>
      <c r="F250" s="2" t="inlineStr">
        <is>
          <t>Shopee</t>
        </is>
      </c>
      <c r="G250" s="2" t="inlineStr">
        <is>
          <t>MD-80.25</t>
        </is>
      </c>
      <c r="H250" s="3" t="inlineStr">
        <is>
          <t>Thước Cuộn tự hãm MD-80.25</t>
        </is>
      </c>
      <c r="I250" s="4" t="n">
        <v>114000</v>
      </c>
      <c r="J250" s="4" t="n"/>
      <c r="K250" s="4">
        <f>IF(AND(ISNUMBER(J250),ISNUMBER(I250)),J250-I250,"")</f>
        <v/>
      </c>
      <c r="L250" s="5">
        <f>IF(AND(ISNUMBER(J250),ISNUMBER(I250),I250&gt;0),(J250-I250)/I250,"")</f>
        <v/>
      </c>
      <c r="M250" s="2">
        <f>IF(L250="","",IF(L250&lt;-0.05,"Bán phá giá",IF(L250&gt;0.05,"Bán cao hơn","Đúng giá niêm yết")))</f>
        <v/>
      </c>
      <c r="N250" s="2" t="n"/>
      <c r="O250" s="3" t="n"/>
      <c r="P250" s="3" t="n"/>
    </row>
    <row r="251">
      <c r="A251" s="2" t="n">
        <v>250</v>
      </c>
      <c r="B251" s="2" t="inlineStr">
        <is>
          <t>KH001</t>
        </is>
      </c>
      <c r="C251" s="3" t="inlineStr">
        <is>
          <t>Điện nước Nhật (Shop) HCM</t>
        </is>
      </c>
      <c r="D251" s="2" t="inlineStr">
        <is>
          <t>HCM</t>
        </is>
      </c>
      <c r="E251" s="2" t="inlineStr">
        <is>
          <t>BẢO TRÂM</t>
        </is>
      </c>
      <c r="F251" s="2" t="inlineStr">
        <is>
          <t>Shopee</t>
        </is>
      </c>
      <c r="G251" s="2" t="inlineStr">
        <is>
          <t>LA-50.19</t>
        </is>
      </c>
      <c r="H251" s="3" t="inlineStr">
        <is>
          <t>Thước kéo LA-50.19 (new)</t>
        </is>
      </c>
      <c r="I251" s="4" t="n">
        <v>29000</v>
      </c>
      <c r="J251" s="4" t="n"/>
      <c r="K251" s="4">
        <f>IF(AND(ISNUMBER(J251),ISNUMBER(I251)),J251-I251,"")</f>
        <v/>
      </c>
      <c r="L251" s="5">
        <f>IF(AND(ISNUMBER(J251),ISNUMBER(I251),I251&gt;0),(J251-I251)/I251,"")</f>
        <v/>
      </c>
      <c r="M251" s="2">
        <f>IF(L251="","",IF(L251&lt;-0.05,"Bán phá giá",IF(L251&gt;0.05,"Bán cao hơn","Đúng giá niêm yết")))</f>
        <v/>
      </c>
      <c r="N251" s="2" t="n"/>
      <c r="O251" s="3" t="n"/>
      <c r="P251" s="3" t="n"/>
    </row>
    <row r="252">
      <c r="A252" s="2" t="n">
        <v>251</v>
      </c>
      <c r="B252" s="2" t="inlineStr">
        <is>
          <t>KH001</t>
        </is>
      </c>
      <c r="C252" s="3" t="inlineStr">
        <is>
          <t>Điện nước Nhật (Shop) HCM</t>
        </is>
      </c>
      <c r="D252" s="2" t="inlineStr">
        <is>
          <t>HCM</t>
        </is>
      </c>
      <c r="E252" s="2" t="inlineStr">
        <is>
          <t>BẢO TRÂM</t>
        </is>
      </c>
      <c r="F252" s="2" t="inlineStr">
        <is>
          <t>Shopee</t>
        </is>
      </c>
      <c r="G252" s="2" t="inlineStr">
        <is>
          <t>LC-20.13</t>
        </is>
      </c>
      <c r="H252" s="3" t="inlineStr">
        <is>
          <t>Thước kéo LC-20.13</t>
        </is>
      </c>
      <c r="I252" s="4" t="n">
        <v>33000</v>
      </c>
      <c r="J252" s="4" t="n"/>
      <c r="K252" s="4">
        <f>IF(AND(ISNUMBER(J252),ISNUMBER(I252)),J252-I252,"")</f>
        <v/>
      </c>
      <c r="L252" s="5">
        <f>IF(AND(ISNUMBER(J252),ISNUMBER(I252),I252&gt;0),(J252-I252)/I252,"")</f>
        <v/>
      </c>
      <c r="M252" s="2">
        <f>IF(L252="","",IF(L252&lt;-0.05,"Bán phá giá",IF(L252&gt;0.05,"Bán cao hơn","Đúng giá niêm yết")))</f>
        <v/>
      </c>
      <c r="N252" s="2" t="n"/>
      <c r="O252" s="3" t="n"/>
      <c r="P252" s="3" t="n"/>
    </row>
    <row r="253">
      <c r="A253" s="2" t="n">
        <v>252</v>
      </c>
      <c r="B253" s="2" t="inlineStr">
        <is>
          <t>KH001</t>
        </is>
      </c>
      <c r="C253" s="3" t="inlineStr">
        <is>
          <t>Điện nước Nhật (Shop) HCM</t>
        </is>
      </c>
      <c r="D253" s="2" t="inlineStr">
        <is>
          <t>HCM</t>
        </is>
      </c>
      <c r="E253" s="2" t="inlineStr">
        <is>
          <t>BẢO TRÂM</t>
        </is>
      </c>
      <c r="F253" s="2" t="inlineStr">
        <is>
          <t>Shopee</t>
        </is>
      </c>
      <c r="G253" s="2" t="inlineStr">
        <is>
          <t>KTT-25A</t>
        </is>
      </c>
      <c r="H253" s="3" t="inlineStr">
        <is>
          <t>Thước thủy KTT-25A</t>
        </is>
      </c>
      <c r="I253" s="4" t="n">
        <v>44000</v>
      </c>
      <c r="J253" s="4" t="n"/>
      <c r="K253" s="4">
        <f>IF(AND(ISNUMBER(J253),ISNUMBER(I253)),J253-I253,"")</f>
        <v/>
      </c>
      <c r="L253" s="5">
        <f>IF(AND(ISNUMBER(J253),ISNUMBER(I253),I253&gt;0),(J253-I253)/I253,"")</f>
        <v/>
      </c>
      <c r="M253" s="2">
        <f>IF(L253="","",IF(L253&lt;-0.05,"Bán phá giá",IF(L253&gt;0.05,"Bán cao hơn","Đúng giá niêm yết")))</f>
        <v/>
      </c>
      <c r="N253" s="2" t="n"/>
      <c r="O253" s="3" t="n"/>
      <c r="P253" s="3" t="n"/>
    </row>
    <row r="254">
      <c r="A254" s="2" t="n">
        <v>253</v>
      </c>
      <c r="B254" s="2" t="inlineStr">
        <is>
          <t>KH001</t>
        </is>
      </c>
      <c r="C254" s="3" t="inlineStr">
        <is>
          <t>Điện nước Nhật (Shop) HCM</t>
        </is>
      </c>
      <c r="D254" s="2" t="inlineStr">
        <is>
          <t>HCM</t>
        </is>
      </c>
      <c r="E254" s="2" t="inlineStr">
        <is>
          <t>BẢO TRÂM</t>
        </is>
      </c>
      <c r="F254" s="2" t="inlineStr">
        <is>
          <t>Shopee</t>
        </is>
      </c>
      <c r="G254" s="2" t="inlineStr">
        <is>
          <t>KFJ-432</t>
        </is>
      </c>
      <c r="H254" s="3" t="inlineStr">
        <is>
          <t>Vít bê tông không dùng tắc kê KFJ-432</t>
        </is>
      </c>
      <c r="I254" s="4" t="n">
        <v>86000</v>
      </c>
      <c r="J254" s="4" t="n"/>
      <c r="K254" s="4">
        <f>IF(AND(ISNUMBER(J254),ISNUMBER(I254)),J254-I254,"")</f>
        <v/>
      </c>
      <c r="L254" s="5">
        <f>IF(AND(ISNUMBER(J254),ISNUMBER(I254),I254&gt;0),(J254-I254)/I254,"")</f>
        <v/>
      </c>
      <c r="M254" s="2">
        <f>IF(L254="","",IF(L254&lt;-0.05,"Bán phá giá",IF(L254&gt;0.05,"Bán cao hơn","Đúng giá niêm yết")))</f>
        <v/>
      </c>
      <c r="N254" s="2" t="n"/>
      <c r="O254" s="3" t="n"/>
      <c r="P254" s="3" t="n"/>
    </row>
    <row r="255">
      <c r="A255" s="2" t="n">
        <v>254</v>
      </c>
      <c r="B255" s="2" t="inlineStr">
        <is>
          <t>KH001</t>
        </is>
      </c>
      <c r="C255" s="3" t="inlineStr">
        <is>
          <t>Điện nước Nhật (Shop) HCM</t>
        </is>
      </c>
      <c r="D255" s="2" t="inlineStr">
        <is>
          <t>HCM</t>
        </is>
      </c>
      <c r="E255" s="2" t="inlineStr">
        <is>
          <t>BẢO TRÂM</t>
        </is>
      </c>
      <c r="F255" s="2" t="inlineStr">
        <is>
          <t>Shopee</t>
        </is>
      </c>
      <c r="G255" s="2" t="inlineStr">
        <is>
          <t>KFJ-438</t>
        </is>
      </c>
      <c r="H255" s="3" t="inlineStr">
        <is>
          <t>Vít bê tông không dùng tắc kê KFJ-438</t>
        </is>
      </c>
      <c r="I255" s="4" t="n">
        <v>86000</v>
      </c>
      <c r="J255" s="4" t="n"/>
      <c r="K255" s="4">
        <f>IF(AND(ISNUMBER(J255),ISNUMBER(I255)),J255-I255,"")</f>
        <v/>
      </c>
      <c r="L255" s="5">
        <f>IF(AND(ISNUMBER(J255),ISNUMBER(I255),I255&gt;0),(J255-I255)/I255,"")</f>
        <v/>
      </c>
      <c r="M255" s="2">
        <f>IF(L255="","",IF(L255&lt;-0.05,"Bán phá giá",IF(L255&gt;0.05,"Bán cao hơn","Đúng giá niêm yết")))</f>
        <v/>
      </c>
      <c r="N255" s="2" t="n"/>
      <c r="O255" s="3" t="n"/>
      <c r="P255" s="3" t="n"/>
    </row>
    <row r="256">
      <c r="A256" s="2" t="n">
        <v>255</v>
      </c>
      <c r="B256" s="2" t="inlineStr">
        <is>
          <t>KH001</t>
        </is>
      </c>
      <c r="C256" s="3" t="inlineStr">
        <is>
          <t>Điện nước Nhật (Shop) HCM</t>
        </is>
      </c>
      <c r="D256" s="2" t="inlineStr">
        <is>
          <t>HCM</t>
        </is>
      </c>
      <c r="E256" s="2" t="inlineStr">
        <is>
          <t>BẢO TRÂM</t>
        </is>
      </c>
      <c r="F256" s="2" t="inlineStr">
        <is>
          <t>Shopee</t>
        </is>
      </c>
      <c r="G256" s="2" t="inlineStr">
        <is>
          <t>KFJ-445</t>
        </is>
      </c>
      <c r="H256" s="3" t="inlineStr">
        <is>
          <t>Vít bê tông không dùng tắc kê KFJ-445</t>
        </is>
      </c>
      <c r="I256" s="4" t="n">
        <v>86000</v>
      </c>
      <c r="J256" s="4" t="n"/>
      <c r="K256" s="4">
        <f>IF(AND(ISNUMBER(J256),ISNUMBER(I256)),J256-I256,"")</f>
        <v/>
      </c>
      <c r="L256" s="5">
        <f>IF(AND(ISNUMBER(J256),ISNUMBER(I256),I256&gt;0),(J256-I256)/I256,"")</f>
        <v/>
      </c>
      <c r="M256" s="2">
        <f>IF(L256="","",IF(L256&lt;-0.05,"Bán phá giá",IF(L256&gt;0.05,"Bán cao hơn","Đúng giá niêm yết")))</f>
        <v/>
      </c>
      <c r="N256" s="2" t="n"/>
      <c r="O256" s="3" t="n"/>
      <c r="P256" s="3" t="n"/>
    </row>
    <row r="257">
      <c r="A257" s="2" t="n">
        <v>256</v>
      </c>
      <c r="B257" s="2" t="inlineStr">
        <is>
          <t>KH001</t>
        </is>
      </c>
      <c r="C257" s="3" t="inlineStr">
        <is>
          <t>Điện nước Nhật (Shop) HCM</t>
        </is>
      </c>
      <c r="D257" s="2" t="inlineStr">
        <is>
          <t>HCM</t>
        </is>
      </c>
      <c r="E257" s="2" t="inlineStr">
        <is>
          <t>BẢO TRÂM</t>
        </is>
      </c>
      <c r="F257" s="2" t="inlineStr">
        <is>
          <t>Shopee</t>
        </is>
      </c>
      <c r="G257" s="2" t="inlineStr">
        <is>
          <t>KFJ-535</t>
        </is>
      </c>
      <c r="H257" s="3" t="inlineStr">
        <is>
          <t>Vít bê tông không dùng tắc kê KFJ-535</t>
        </is>
      </c>
      <c r="I257" s="4" t="n">
        <v>86000</v>
      </c>
      <c r="J257" s="4" t="n"/>
      <c r="K257" s="4">
        <f>IF(AND(ISNUMBER(J257),ISNUMBER(I257)),J257-I257,"")</f>
        <v/>
      </c>
      <c r="L257" s="5">
        <f>IF(AND(ISNUMBER(J257),ISNUMBER(I257),I257&gt;0),(J257-I257)/I257,"")</f>
        <v/>
      </c>
      <c r="M257" s="2">
        <f>IF(L257="","",IF(L257&lt;-0.05,"Bán phá giá",IF(L257&gt;0.05,"Bán cao hơn","Đúng giá niêm yết")))</f>
        <v/>
      </c>
      <c r="N257" s="2" t="n"/>
      <c r="O257" s="3" t="n"/>
      <c r="P257" s="3" t="n"/>
    </row>
    <row r="258">
      <c r="A258" s="2" t="n">
        <v>257</v>
      </c>
      <c r="B258" s="2" t="inlineStr">
        <is>
          <t>KH001</t>
        </is>
      </c>
      <c r="C258" s="3" t="inlineStr">
        <is>
          <t>Điện nước Nhật (Shop) HCM</t>
        </is>
      </c>
      <c r="D258" s="2" t="inlineStr">
        <is>
          <t>HCM</t>
        </is>
      </c>
      <c r="E258" s="2" t="inlineStr">
        <is>
          <t>BẢO TRÂM</t>
        </is>
      </c>
      <c r="F258" s="2" t="inlineStr">
        <is>
          <t>Shopee</t>
        </is>
      </c>
      <c r="G258" s="2" t="inlineStr">
        <is>
          <t>KFJ-545</t>
        </is>
      </c>
      <c r="H258" s="3" t="inlineStr">
        <is>
          <t>Vít bê tông không dùng tắc kê KFJ-545</t>
        </is>
      </c>
      <c r="I258" s="4" t="n">
        <v>86000</v>
      </c>
      <c r="J258" s="4" t="n"/>
      <c r="K258" s="4">
        <f>IF(AND(ISNUMBER(J258),ISNUMBER(I258)),J258-I258,"")</f>
        <v/>
      </c>
      <c r="L258" s="5">
        <f>IF(AND(ISNUMBER(J258),ISNUMBER(I258),I258&gt;0),(J258-I258)/I258,"")</f>
        <v/>
      </c>
      <c r="M258" s="2">
        <f>IF(L258="","",IF(L258&lt;-0.05,"Bán phá giá",IF(L258&gt;0.05,"Bán cao hơn","Đúng giá niêm yết")))</f>
        <v/>
      </c>
      <c r="N258" s="2" t="n"/>
      <c r="O258" s="3" t="n"/>
      <c r="P258" s="3" t="n"/>
    </row>
    <row r="259">
      <c r="A259" s="2" t="n">
        <v>258</v>
      </c>
      <c r="B259" s="2" t="inlineStr">
        <is>
          <t>KH002</t>
        </is>
      </c>
      <c r="C259" s="3" t="inlineStr">
        <is>
          <t>Nguyễn Hoàng Phú</t>
        </is>
      </c>
      <c r="D259" s="2" t="inlineStr">
        <is>
          <t>HCM</t>
        </is>
      </c>
      <c r="E259" s="2" t="inlineStr">
        <is>
          <t>BẢO TRÂM</t>
        </is>
      </c>
      <c r="F259" s="2" t="inlineStr">
        <is>
          <t>Shopee</t>
        </is>
      </c>
      <c r="G259" s="2" t="inlineStr">
        <is>
          <t>T9100E</t>
        </is>
      </c>
      <c r="H259" s="3" t="inlineStr">
        <is>
          <t>Bộ đầu hoa thị T9100E</t>
        </is>
      </c>
      <c r="I259" s="4" t="n">
        <v>116000</v>
      </c>
      <c r="J259" s="4" t="n"/>
      <c r="K259" s="4">
        <f>IF(AND(ISNUMBER(J259),ISNUMBER(I259)),J259-I259,"")</f>
        <v/>
      </c>
      <c r="L259" s="5">
        <f>IF(AND(ISNUMBER(J259),ISNUMBER(I259),I259&gt;0),(J259-I259)/I259,"")</f>
        <v/>
      </c>
      <c r="M259" s="2">
        <f>IF(L259="","",IF(L259&lt;-0.05,"Bán phá giá",IF(L259&gt;0.05,"Bán cao hơn","Đúng giá niêm yết")))</f>
        <v/>
      </c>
      <c r="N259" s="2" t="n"/>
      <c r="O259" s="3" t="n"/>
      <c r="P259" s="3" t="n"/>
    </row>
    <row r="260">
      <c r="A260" s="2" t="n">
        <v>259</v>
      </c>
      <c r="B260" s="2" t="inlineStr">
        <is>
          <t>KH002</t>
        </is>
      </c>
      <c r="C260" s="3" t="inlineStr">
        <is>
          <t>Nguyễn Hoàng Phú</t>
        </is>
      </c>
      <c r="D260" s="2" t="inlineStr">
        <is>
          <t>HCM</t>
        </is>
      </c>
      <c r="E260" s="2" t="inlineStr">
        <is>
          <t>BẢO TRÂM</t>
        </is>
      </c>
      <c r="F260" s="2" t="inlineStr">
        <is>
          <t>Shopee</t>
        </is>
      </c>
      <c r="G260" s="2" t="inlineStr">
        <is>
          <t>L8100E</t>
        </is>
      </c>
      <c r="H260" s="3" t="inlineStr">
        <is>
          <t>Bộ đầu lục giác L8100E</t>
        </is>
      </c>
      <c r="I260" s="4" t="n">
        <v>116000</v>
      </c>
      <c r="J260" s="4" t="n"/>
      <c r="K260" s="4">
        <f>IF(AND(ISNUMBER(J260),ISNUMBER(I260)),J260-I260,"")</f>
        <v/>
      </c>
      <c r="L260" s="5">
        <f>IF(AND(ISNUMBER(J260),ISNUMBER(I260),I260&gt;0),(J260-I260)/I260,"")</f>
        <v/>
      </c>
      <c r="M260" s="2">
        <f>IF(L260="","",IF(L260&lt;-0.05,"Bán phá giá",IF(L260&gt;0.05,"Bán cao hơn","Đúng giá niêm yết")))</f>
        <v/>
      </c>
      <c r="N260" s="2" t="n"/>
      <c r="O260" s="3" t="n"/>
      <c r="P260" s="3" t="n"/>
    </row>
    <row r="261">
      <c r="A261" s="2" t="n">
        <v>260</v>
      </c>
      <c r="B261" s="2" t="inlineStr">
        <is>
          <t>KH002</t>
        </is>
      </c>
      <c r="C261" s="3" t="inlineStr">
        <is>
          <t>Nguyễn Hoàng Phú</t>
        </is>
      </c>
      <c r="D261" s="2" t="inlineStr">
        <is>
          <t>HCM</t>
        </is>
      </c>
      <c r="E261" s="2" t="inlineStr">
        <is>
          <t>BẢO TRÂM</t>
        </is>
      </c>
      <c r="F261" s="2" t="inlineStr">
        <is>
          <t>Shopee</t>
        </is>
      </c>
      <c r="G261" s="2" t="inlineStr">
        <is>
          <t>KBYT6</t>
        </is>
      </c>
      <c r="H261" s="3" t="inlineStr">
        <is>
          <t>Bộ lấy ốc gãy KingBlue KBYT6</t>
        </is>
      </c>
      <c r="I261" s="4" t="n">
        <v>86000</v>
      </c>
      <c r="J261" s="4" t="n"/>
      <c r="K261" s="4">
        <f>IF(AND(ISNUMBER(J261),ISNUMBER(I261)),J261-I261,"")</f>
        <v/>
      </c>
      <c r="L261" s="5">
        <f>IF(AND(ISNUMBER(J261),ISNUMBER(I261),I261&gt;0),(J261-I261)/I261,"")</f>
        <v/>
      </c>
      <c r="M261" s="2">
        <f>IF(L261="","",IF(L261&lt;-0.05,"Bán phá giá",IF(L261&gt;0.05,"Bán cao hơn","Đúng giá niêm yết")))</f>
        <v/>
      </c>
      <c r="N261" s="2" t="n"/>
      <c r="O261" s="3" t="n"/>
      <c r="P261" s="3" t="n"/>
    </row>
    <row r="262">
      <c r="A262" s="2" t="n">
        <v>261</v>
      </c>
      <c r="B262" s="2" t="inlineStr">
        <is>
          <t>KH002</t>
        </is>
      </c>
      <c r="C262" s="3" t="inlineStr">
        <is>
          <t>Nguyễn Hoàng Phú</t>
        </is>
      </c>
      <c r="D262" s="2" t="inlineStr">
        <is>
          <t>HCM</t>
        </is>
      </c>
      <c r="E262" s="2" t="inlineStr">
        <is>
          <t>BẢO TRÂM</t>
        </is>
      </c>
      <c r="F262" s="2" t="inlineStr">
        <is>
          <t>Shopee</t>
        </is>
      </c>
      <c r="G262" s="2" t="inlineStr">
        <is>
          <t>KL-008</t>
        </is>
      </c>
      <c r="H262" s="3" t="inlineStr">
        <is>
          <t>Bộ lục giác gập KL-008</t>
        </is>
      </c>
      <c r="I262" s="4" t="n">
        <v>110000</v>
      </c>
      <c r="J262" s="4" t="n"/>
      <c r="K262" s="4">
        <f>IF(AND(ISNUMBER(J262),ISNUMBER(I262)),J262-I262,"")</f>
        <v/>
      </c>
      <c r="L262" s="5">
        <f>IF(AND(ISNUMBER(J262),ISNUMBER(I262),I262&gt;0),(J262-I262)/I262,"")</f>
        <v/>
      </c>
      <c r="M262" s="2">
        <f>IF(L262="","",IF(L262&lt;-0.05,"Bán phá giá",IF(L262&gt;0.05,"Bán cao hơn","Đúng giá niêm yết")))</f>
        <v/>
      </c>
      <c r="N262" s="2" t="n"/>
      <c r="O262" s="3" t="n"/>
      <c r="P262" s="3" t="n"/>
    </row>
    <row r="263">
      <c r="A263" s="2" t="n">
        <v>262</v>
      </c>
      <c r="B263" s="2" t="inlineStr">
        <is>
          <t>KH002</t>
        </is>
      </c>
      <c r="C263" s="3" t="inlineStr">
        <is>
          <t>Nguyễn Hoàng Phú</t>
        </is>
      </c>
      <c r="D263" s="2" t="inlineStr">
        <is>
          <t>HCM</t>
        </is>
      </c>
      <c r="E263" s="2" t="inlineStr">
        <is>
          <t>BẢO TRÂM</t>
        </is>
      </c>
      <c r="F263" s="2" t="inlineStr">
        <is>
          <t>Shopee</t>
        </is>
      </c>
      <c r="G263" s="2" t="inlineStr">
        <is>
          <t>KL018</t>
        </is>
      </c>
      <c r="H263" s="3" t="inlineStr">
        <is>
          <t>Bộ lục giác KL018</t>
        </is>
      </c>
      <c r="I263" s="4" t="n">
        <v>433000</v>
      </c>
      <c r="J263" s="4" t="n"/>
      <c r="K263" s="4">
        <f>IF(AND(ISNUMBER(J263),ISNUMBER(I263)),J263-I263,"")</f>
        <v/>
      </c>
      <c r="L263" s="5">
        <f>IF(AND(ISNUMBER(J263),ISNUMBER(I263),I263&gt;0),(J263-I263)/I263,"")</f>
        <v/>
      </c>
      <c r="M263" s="2">
        <f>IF(L263="","",IF(L263&lt;-0.05,"Bán phá giá",IF(L263&gt;0.05,"Bán cao hơn","Đúng giá niêm yết")))</f>
        <v/>
      </c>
      <c r="N263" s="2" t="n"/>
      <c r="O263" s="3" t="n"/>
      <c r="P263" s="3" t="n"/>
    </row>
    <row r="264">
      <c r="A264" s="2" t="n">
        <v>263</v>
      </c>
      <c r="B264" s="2" t="inlineStr">
        <is>
          <t>KH002</t>
        </is>
      </c>
      <c r="C264" s="3" t="inlineStr">
        <is>
          <t>Nguyễn Hoàng Phú</t>
        </is>
      </c>
      <c r="D264" s="2" t="inlineStr">
        <is>
          <t>HCM</t>
        </is>
      </c>
      <c r="E264" s="2" t="inlineStr">
        <is>
          <t>BẢO TRÂM</t>
        </is>
      </c>
      <c r="F264" s="2" t="inlineStr">
        <is>
          <t>Shopee</t>
        </is>
      </c>
      <c r="G264" s="2" t="inlineStr">
        <is>
          <t>KL5-09</t>
        </is>
      </c>
      <c r="H264" s="3" t="inlineStr">
        <is>
          <t>Bộ lục giác KL5-09 ( đầu bi)</t>
        </is>
      </c>
      <c r="I264" s="4" t="n">
        <v>132000</v>
      </c>
      <c r="J264" s="4" t="n"/>
      <c r="K264" s="4">
        <f>IF(AND(ISNUMBER(J264),ISNUMBER(I264)),J264-I264,"")</f>
        <v/>
      </c>
      <c r="L264" s="5">
        <f>IF(AND(ISNUMBER(J264),ISNUMBER(I264),I264&gt;0),(J264-I264)/I264,"")</f>
        <v/>
      </c>
      <c r="M264" s="2">
        <f>IF(L264="","",IF(L264&lt;-0.05,"Bán phá giá",IF(L264&gt;0.05,"Bán cao hơn","Đúng giá niêm yết")))</f>
        <v/>
      </c>
      <c r="N264" s="2" t="n"/>
      <c r="O264" s="3" t="n"/>
      <c r="P264" s="3" t="n"/>
    </row>
    <row r="265">
      <c r="A265" s="2" t="n">
        <v>264</v>
      </c>
      <c r="B265" s="2" t="inlineStr">
        <is>
          <t>KH002</t>
        </is>
      </c>
      <c r="C265" s="3" t="inlineStr">
        <is>
          <t>Nguyễn Hoàng Phú</t>
        </is>
      </c>
      <c r="D265" s="2" t="inlineStr">
        <is>
          <t>HCM</t>
        </is>
      </c>
      <c r="E265" s="2" t="inlineStr">
        <is>
          <t>BẢO TRÂM</t>
        </is>
      </c>
      <c r="F265" s="2" t="inlineStr">
        <is>
          <t>Shopee</t>
        </is>
      </c>
      <c r="G265" s="2" t="inlineStr">
        <is>
          <t>KB20QE1</t>
        </is>
      </c>
      <c r="H265" s="3" t="inlineStr">
        <is>
          <t>Bộ Máy Khoan 3 Chức Năng 20V KB20QE1</t>
        </is>
      </c>
      <c r="I265" s="4" t="n">
        <v>2780000</v>
      </c>
      <c r="J265" s="4" t="n"/>
      <c r="K265" s="4">
        <f>IF(AND(ISNUMBER(J265),ISNUMBER(I265)),J265-I265,"")</f>
        <v/>
      </c>
      <c r="L265" s="5">
        <f>IF(AND(ISNUMBER(J265),ISNUMBER(I265),I265&gt;0),(J265-I265)/I265,"")</f>
        <v/>
      </c>
      <c r="M265" s="2">
        <f>IF(L265="","",IF(L265&lt;-0.05,"Bán phá giá",IF(L265&gt;0.05,"Bán cao hơn","Đúng giá niêm yết")))</f>
        <v/>
      </c>
      <c r="N265" s="2" t="n"/>
      <c r="O265" s="3" t="n"/>
      <c r="P265" s="3" t="n"/>
    </row>
    <row r="266">
      <c r="A266" s="2" t="n">
        <v>265</v>
      </c>
      <c r="B266" s="2" t="inlineStr">
        <is>
          <t>KH002</t>
        </is>
      </c>
      <c r="C266" s="3" t="inlineStr">
        <is>
          <t>Nguyễn Hoàng Phú</t>
        </is>
      </c>
      <c r="D266" s="2" t="inlineStr">
        <is>
          <t>HCM</t>
        </is>
      </c>
      <c r="E266" s="2" t="inlineStr">
        <is>
          <t>BẢO TRÂM</t>
        </is>
      </c>
      <c r="F266" s="2" t="inlineStr">
        <is>
          <t>Shopee</t>
        </is>
      </c>
      <c r="G266" s="2" t="inlineStr">
        <is>
          <t>KBY2-B10</t>
        </is>
      </c>
      <c r="H266" s="3" t="inlineStr">
        <is>
          <t>Bộ mũi khoan inox Kingblue KBY2-B10</t>
        </is>
      </c>
      <c r="I266" s="4" t="n">
        <v>329000</v>
      </c>
      <c r="J266" s="4" t="n"/>
      <c r="K266" s="4">
        <f>IF(AND(ISNUMBER(J266),ISNUMBER(I266)),J266-I266,"")</f>
        <v/>
      </c>
      <c r="L266" s="5">
        <f>IF(AND(ISNUMBER(J266),ISNUMBER(I266),I266&gt;0),(J266-I266)/I266,"")</f>
        <v/>
      </c>
      <c r="M266" s="2">
        <f>IF(L266="","",IF(L266&lt;-0.05,"Bán phá giá",IF(L266&gt;0.05,"Bán cao hơn","Đúng giá niêm yết")))</f>
        <v/>
      </c>
      <c r="N266" s="2" t="n"/>
      <c r="O266" s="3" t="n"/>
      <c r="P266" s="3" t="n"/>
    </row>
    <row r="267">
      <c r="A267" s="2" t="n">
        <v>266</v>
      </c>
      <c r="B267" s="2" t="inlineStr">
        <is>
          <t>KH002</t>
        </is>
      </c>
      <c r="C267" s="3" t="inlineStr">
        <is>
          <t>Nguyễn Hoàng Phú</t>
        </is>
      </c>
      <c r="D267" s="2" t="inlineStr">
        <is>
          <t>HCM</t>
        </is>
      </c>
      <c r="E267" s="2" t="inlineStr">
        <is>
          <t>BẢO TRÂM</t>
        </is>
      </c>
      <c r="F267" s="2" t="inlineStr">
        <is>
          <t>Shopee</t>
        </is>
      </c>
      <c r="G267" s="2" t="inlineStr">
        <is>
          <t>KBY1-B13</t>
        </is>
      </c>
      <c r="H267" s="3" t="inlineStr">
        <is>
          <t>Bộ mũi khoan thép Kingblue KBY1-B13</t>
        </is>
      </c>
      <c r="I267" s="4" t="n">
        <v>238000</v>
      </c>
      <c r="J267" s="4" t="n"/>
      <c r="K267" s="4">
        <f>IF(AND(ISNUMBER(J267),ISNUMBER(I267)),J267-I267,"")</f>
        <v/>
      </c>
      <c r="L267" s="5">
        <f>IF(AND(ISNUMBER(J267),ISNUMBER(I267),I267&gt;0),(J267-I267)/I267,"")</f>
        <v/>
      </c>
      <c r="M267" s="2">
        <f>IF(L267="","",IF(L267&lt;-0.05,"Bán phá giá",IF(L267&gt;0.05,"Bán cao hơn","Đúng giá niêm yết")))</f>
        <v/>
      </c>
      <c r="N267" s="2" t="n"/>
      <c r="O267" s="3" t="n"/>
      <c r="P267" s="3" t="n"/>
    </row>
    <row r="268">
      <c r="A268" s="2" t="n">
        <v>267</v>
      </c>
      <c r="B268" s="2" t="inlineStr">
        <is>
          <t>KH002</t>
        </is>
      </c>
      <c r="C268" s="3" t="inlineStr">
        <is>
          <t>Nguyễn Hoàng Phú</t>
        </is>
      </c>
      <c r="D268" s="2" t="inlineStr">
        <is>
          <t>HCM</t>
        </is>
      </c>
      <c r="E268" s="2" t="inlineStr">
        <is>
          <t>BẢO TRÂM</t>
        </is>
      </c>
      <c r="F268" s="2" t="inlineStr">
        <is>
          <t>Shopee</t>
        </is>
      </c>
      <c r="G268" s="2" t="inlineStr">
        <is>
          <t>KIC140</t>
        </is>
      </c>
      <c r="H268" s="3" t="inlineStr">
        <is>
          <t>Bút thử điện KIC140</t>
        </is>
      </c>
      <c r="I268" s="4" t="n">
        <v>20000</v>
      </c>
      <c r="J268" s="4" t="n"/>
      <c r="K268" s="4">
        <f>IF(AND(ISNUMBER(J268),ISNUMBER(I268)),J268-I268,"")</f>
        <v/>
      </c>
      <c r="L268" s="5">
        <f>IF(AND(ISNUMBER(J268),ISNUMBER(I268),I268&gt;0),(J268-I268)/I268,"")</f>
        <v/>
      </c>
      <c r="M268" s="2">
        <f>IF(L268="","",IF(L268&lt;-0.05,"Bán phá giá",IF(L268&gt;0.05,"Bán cao hơn","Đúng giá niêm yết")))</f>
        <v/>
      </c>
      <c r="N268" s="2" t="n"/>
      <c r="O268" s="3" t="n"/>
      <c r="P268" s="3" t="n"/>
    </row>
    <row r="269">
      <c r="A269" s="2" t="n">
        <v>268</v>
      </c>
      <c r="B269" s="2" t="inlineStr">
        <is>
          <t>KH002</t>
        </is>
      </c>
      <c r="C269" s="3" t="inlineStr">
        <is>
          <t>Nguyễn Hoàng Phú</t>
        </is>
      </c>
      <c r="D269" s="2" t="inlineStr">
        <is>
          <t>HCM</t>
        </is>
      </c>
      <c r="E269" s="2" t="inlineStr">
        <is>
          <t>BẢO TRÂM</t>
        </is>
      </c>
      <c r="F269" s="2" t="inlineStr">
        <is>
          <t>Shopee</t>
        </is>
      </c>
      <c r="G269" s="2" t="inlineStr">
        <is>
          <t>KB-ST18</t>
        </is>
      </c>
      <c r="H269" s="3" t="inlineStr">
        <is>
          <t>Công cụ đóng đinh bán tự động KB-ST18</t>
        </is>
      </c>
      <c r="I269" s="4" t="n">
        <v>303000</v>
      </c>
      <c r="J269" s="4" t="n"/>
      <c r="K269" s="4">
        <f>IF(AND(ISNUMBER(J269),ISNUMBER(I269)),J269-I269,"")</f>
        <v/>
      </c>
      <c r="L269" s="5">
        <f>IF(AND(ISNUMBER(J269),ISNUMBER(I269),I269&gt;0),(J269-I269)/I269,"")</f>
        <v/>
      </c>
      <c r="M269" s="2">
        <f>IF(L269="","",IF(L269&lt;-0.05,"Bán phá giá",IF(L269&gt;0.05,"Bán cao hơn","Đúng giá niêm yết")))</f>
        <v/>
      </c>
      <c r="N269" s="2" t="n"/>
      <c r="O269" s="3" t="n"/>
      <c r="P269" s="3" t="n"/>
    </row>
    <row r="270">
      <c r="A270" s="2" t="n">
        <v>269</v>
      </c>
      <c r="B270" s="2" t="inlineStr">
        <is>
          <t>KH002</t>
        </is>
      </c>
      <c r="C270" s="3" t="inlineStr">
        <is>
          <t>Nguyễn Hoàng Phú</t>
        </is>
      </c>
      <c r="D270" s="2" t="inlineStr">
        <is>
          <t>HCM</t>
        </is>
      </c>
      <c r="E270" s="2" t="inlineStr">
        <is>
          <t>BẢO TRÂM</t>
        </is>
      </c>
      <c r="F270" s="2" t="inlineStr">
        <is>
          <t>Shopee</t>
        </is>
      </c>
      <c r="G270" s="2" t="inlineStr">
        <is>
          <t>KH2-08</t>
        </is>
      </c>
      <c r="H270" s="3" t="inlineStr">
        <is>
          <t>Cờ lê vòng miệng thép KH2-08</t>
        </is>
      </c>
      <c r="I270" s="4" t="n">
        <v>34000</v>
      </c>
      <c r="J270" s="4" t="n"/>
      <c r="K270" s="4">
        <f>IF(AND(ISNUMBER(J270),ISNUMBER(I270)),J270-I270,"")</f>
        <v/>
      </c>
      <c r="L270" s="5">
        <f>IF(AND(ISNUMBER(J270),ISNUMBER(I270),I270&gt;0),(J270-I270)/I270,"")</f>
        <v/>
      </c>
      <c r="M270" s="2">
        <f>IF(L270="","",IF(L270&lt;-0.05,"Bán phá giá",IF(L270&gt;0.05,"Bán cao hơn","Đúng giá niêm yết")))</f>
        <v/>
      </c>
      <c r="N270" s="2" t="n"/>
      <c r="O270" s="3" t="n"/>
      <c r="P270" s="3" t="n"/>
    </row>
    <row r="271">
      <c r="A271" s="2" t="n">
        <v>270</v>
      </c>
      <c r="B271" s="2" t="inlineStr">
        <is>
          <t>KH002</t>
        </is>
      </c>
      <c r="C271" s="3" t="inlineStr">
        <is>
          <t>Nguyễn Hoàng Phú</t>
        </is>
      </c>
      <c r="D271" s="2" t="inlineStr">
        <is>
          <t>HCM</t>
        </is>
      </c>
      <c r="E271" s="2" t="inlineStr">
        <is>
          <t>BẢO TRÂM</t>
        </is>
      </c>
      <c r="F271" s="2" t="inlineStr">
        <is>
          <t>Shopee</t>
        </is>
      </c>
      <c r="G271" s="2" t="inlineStr">
        <is>
          <t>KH2-10</t>
        </is>
      </c>
      <c r="H271" s="3" t="inlineStr">
        <is>
          <t>Cờ lê vòng miệng thép KH2-10</t>
        </is>
      </c>
      <c r="I271" s="4" t="n">
        <v>38000</v>
      </c>
      <c r="J271" s="4" t="n"/>
      <c r="K271" s="4">
        <f>IF(AND(ISNUMBER(J271),ISNUMBER(I271)),J271-I271,"")</f>
        <v/>
      </c>
      <c r="L271" s="5">
        <f>IF(AND(ISNUMBER(J271),ISNUMBER(I271),I271&gt;0),(J271-I271)/I271,"")</f>
        <v/>
      </c>
      <c r="M271" s="2">
        <f>IF(L271="","",IF(L271&lt;-0.05,"Bán phá giá",IF(L271&gt;0.05,"Bán cao hơn","Đúng giá niêm yết")))</f>
        <v/>
      </c>
      <c r="N271" s="2" t="n"/>
      <c r="O271" s="3" t="n"/>
      <c r="P271" s="3" t="n"/>
    </row>
    <row r="272">
      <c r="A272" s="2" t="n">
        <v>271</v>
      </c>
      <c r="B272" s="2" t="inlineStr">
        <is>
          <t>KH002</t>
        </is>
      </c>
      <c r="C272" s="3" t="inlineStr">
        <is>
          <t>Nguyễn Hoàng Phú</t>
        </is>
      </c>
      <c r="D272" s="2" t="inlineStr">
        <is>
          <t>HCM</t>
        </is>
      </c>
      <c r="E272" s="2" t="inlineStr">
        <is>
          <t>BẢO TRÂM</t>
        </is>
      </c>
      <c r="F272" s="2" t="inlineStr">
        <is>
          <t>Shopee</t>
        </is>
      </c>
      <c r="G272" s="2" t="inlineStr">
        <is>
          <t>KH2-12</t>
        </is>
      </c>
      <c r="H272" s="3" t="inlineStr">
        <is>
          <t>Cờ lê vòng miệng thép KH2-12</t>
        </is>
      </c>
      <c r="I272" s="4" t="n">
        <v>34000</v>
      </c>
      <c r="J272" s="4" t="n"/>
      <c r="K272" s="4">
        <f>IF(AND(ISNUMBER(J272),ISNUMBER(I272)),J272-I272,"")</f>
        <v/>
      </c>
      <c r="L272" s="5">
        <f>IF(AND(ISNUMBER(J272),ISNUMBER(I272),I272&gt;0),(J272-I272)/I272,"")</f>
        <v/>
      </c>
      <c r="M272" s="2">
        <f>IF(L272="","",IF(L272&lt;-0.05,"Bán phá giá",IF(L272&gt;0.05,"Bán cao hơn","Đúng giá niêm yết")))</f>
        <v/>
      </c>
      <c r="N272" s="2" t="n"/>
      <c r="O272" s="3" t="n"/>
      <c r="P272" s="3" t="n"/>
    </row>
    <row r="273">
      <c r="A273" s="2" t="n">
        <v>272</v>
      </c>
      <c r="B273" s="2" t="inlineStr">
        <is>
          <t>KH002</t>
        </is>
      </c>
      <c r="C273" s="3" t="inlineStr">
        <is>
          <t>Nguyễn Hoàng Phú</t>
        </is>
      </c>
      <c r="D273" s="2" t="inlineStr">
        <is>
          <t>HCM</t>
        </is>
      </c>
      <c r="E273" s="2" t="inlineStr">
        <is>
          <t>BẢO TRÂM</t>
        </is>
      </c>
      <c r="F273" s="2" t="inlineStr">
        <is>
          <t>Shopee</t>
        </is>
      </c>
      <c r="G273" s="2" t="inlineStr">
        <is>
          <t>KH2-13</t>
        </is>
      </c>
      <c r="H273" s="3" t="inlineStr">
        <is>
          <t>Cờ lê vòng miệng thép KH2-13</t>
        </is>
      </c>
      <c r="I273" s="4" t="n">
        <v>45000</v>
      </c>
      <c r="J273" s="4" t="n"/>
      <c r="K273" s="4">
        <f>IF(AND(ISNUMBER(J273),ISNUMBER(I273)),J273-I273,"")</f>
        <v/>
      </c>
      <c r="L273" s="5">
        <f>IF(AND(ISNUMBER(J273),ISNUMBER(I273),I273&gt;0),(J273-I273)/I273,"")</f>
        <v/>
      </c>
      <c r="M273" s="2">
        <f>IF(L273="","",IF(L273&lt;-0.05,"Bán phá giá",IF(L273&gt;0.05,"Bán cao hơn","Đúng giá niêm yết")))</f>
        <v/>
      </c>
      <c r="N273" s="2" t="n"/>
      <c r="O273" s="3" t="n"/>
      <c r="P273" s="3" t="n"/>
    </row>
    <row r="274">
      <c r="A274" s="2" t="n">
        <v>273</v>
      </c>
      <c r="B274" s="2" t="inlineStr">
        <is>
          <t>KH002</t>
        </is>
      </c>
      <c r="C274" s="3" t="inlineStr">
        <is>
          <t>Nguyễn Hoàng Phú</t>
        </is>
      </c>
      <c r="D274" s="2" t="inlineStr">
        <is>
          <t>HCM</t>
        </is>
      </c>
      <c r="E274" s="2" t="inlineStr">
        <is>
          <t>BẢO TRÂM</t>
        </is>
      </c>
      <c r="F274" s="2" t="inlineStr">
        <is>
          <t>Shopee</t>
        </is>
      </c>
      <c r="G274" s="2" t="inlineStr">
        <is>
          <t>KH2-14</t>
        </is>
      </c>
      <c r="H274" s="3" t="inlineStr">
        <is>
          <t>Cờ lê vòng miệng thép KH2-14</t>
        </is>
      </c>
      <c r="I274" s="4" t="n">
        <v>53000</v>
      </c>
      <c r="J274" s="4" t="n"/>
      <c r="K274" s="4">
        <f>IF(AND(ISNUMBER(J274),ISNUMBER(I274)),J274-I274,"")</f>
        <v/>
      </c>
      <c r="L274" s="5">
        <f>IF(AND(ISNUMBER(J274),ISNUMBER(I274),I274&gt;0),(J274-I274)/I274,"")</f>
        <v/>
      </c>
      <c r="M274" s="2">
        <f>IF(L274="","",IF(L274&lt;-0.05,"Bán phá giá",IF(L274&gt;0.05,"Bán cao hơn","Đúng giá niêm yết")))</f>
        <v/>
      </c>
      <c r="N274" s="2" t="n"/>
      <c r="O274" s="3" t="n"/>
      <c r="P274" s="3" t="n"/>
    </row>
    <row r="275">
      <c r="A275" s="2" t="n">
        <v>274</v>
      </c>
      <c r="B275" s="2" t="inlineStr">
        <is>
          <t>KH002</t>
        </is>
      </c>
      <c r="C275" s="3" t="inlineStr">
        <is>
          <t>Nguyễn Hoàng Phú</t>
        </is>
      </c>
      <c r="D275" s="2" t="inlineStr">
        <is>
          <t>HCM</t>
        </is>
      </c>
      <c r="E275" s="2" t="inlineStr">
        <is>
          <t>BẢO TRÂM</t>
        </is>
      </c>
      <c r="F275" s="2" t="inlineStr">
        <is>
          <t>Shopee</t>
        </is>
      </c>
      <c r="G275" s="2" t="inlineStr">
        <is>
          <t>KH2-17</t>
        </is>
      </c>
      <c r="H275" s="3" t="inlineStr">
        <is>
          <t>Cờ lê vòng miệng thép KH2-17</t>
        </is>
      </c>
      <c r="I275" s="4" t="n">
        <v>48000</v>
      </c>
      <c r="J275" s="4" t="n"/>
      <c r="K275" s="4">
        <f>IF(AND(ISNUMBER(J275),ISNUMBER(I275)),J275-I275,"")</f>
        <v/>
      </c>
      <c r="L275" s="5">
        <f>IF(AND(ISNUMBER(J275),ISNUMBER(I275),I275&gt;0),(J275-I275)/I275,"")</f>
        <v/>
      </c>
      <c r="M275" s="2">
        <f>IF(L275="","",IF(L275&lt;-0.05,"Bán phá giá",IF(L275&gt;0.05,"Bán cao hơn","Đúng giá niêm yết")))</f>
        <v/>
      </c>
      <c r="N275" s="2" t="n"/>
      <c r="O275" s="3" t="n"/>
      <c r="P275" s="3" t="n"/>
    </row>
    <row r="276">
      <c r="A276" s="2" t="n">
        <v>275</v>
      </c>
      <c r="B276" s="2" t="inlineStr">
        <is>
          <t>KH002</t>
        </is>
      </c>
      <c r="C276" s="3" t="inlineStr">
        <is>
          <t>Nguyễn Hoàng Phú</t>
        </is>
      </c>
      <c r="D276" s="2" t="inlineStr">
        <is>
          <t>HCM</t>
        </is>
      </c>
      <c r="E276" s="2" t="inlineStr">
        <is>
          <t>BẢO TRÂM</t>
        </is>
      </c>
      <c r="F276" s="2" t="inlineStr">
        <is>
          <t>Shopee</t>
        </is>
      </c>
      <c r="G276" s="2" t="inlineStr">
        <is>
          <t>ES250</t>
        </is>
      </c>
      <c r="H276" s="3" t="inlineStr">
        <is>
          <t>Cưa gấp KingBlue ES250</t>
        </is>
      </c>
      <c r="I276" s="4" t="n">
        <v>176000</v>
      </c>
      <c r="J276" s="4" t="n"/>
      <c r="K276" s="4">
        <f>IF(AND(ISNUMBER(J276),ISNUMBER(I276)),J276-I276,"")</f>
        <v/>
      </c>
      <c r="L276" s="5">
        <f>IF(AND(ISNUMBER(J276),ISNUMBER(I276),I276&gt;0),(J276-I276)/I276,"")</f>
        <v/>
      </c>
      <c r="M276" s="2">
        <f>IF(L276="","",IF(L276&lt;-0.05,"Bán phá giá",IF(L276&gt;0.05,"Bán cao hơn","Đúng giá niêm yết")))</f>
        <v/>
      </c>
      <c r="N276" s="2" t="n"/>
      <c r="O276" s="3" t="n"/>
      <c r="P276" s="3" t="n"/>
    </row>
    <row r="277">
      <c r="A277" s="2" t="n">
        <v>276</v>
      </c>
      <c r="B277" s="2" t="inlineStr">
        <is>
          <t>KH002</t>
        </is>
      </c>
      <c r="C277" s="3" t="inlineStr">
        <is>
          <t>Nguyễn Hoàng Phú</t>
        </is>
      </c>
      <c r="D277" s="2" t="inlineStr">
        <is>
          <t>HCM</t>
        </is>
      </c>
      <c r="E277" s="2" t="inlineStr">
        <is>
          <t>BẢO TRÂM</t>
        </is>
      </c>
      <c r="F277" s="2" t="inlineStr">
        <is>
          <t>Shopee</t>
        </is>
      </c>
      <c r="G277" s="2" t="inlineStr">
        <is>
          <t>M1-110x5R</t>
        </is>
      </c>
      <c r="H277" s="3" t="inlineStr">
        <is>
          <t>Chén mài Kingblue M1-110x5R (vàng)</t>
        </is>
      </c>
      <c r="I277" s="4" t="n">
        <v>73000</v>
      </c>
      <c r="J277" s="4" t="n"/>
      <c r="K277" s="4">
        <f>IF(AND(ISNUMBER(J277),ISNUMBER(I277)),J277-I277,"")</f>
        <v/>
      </c>
      <c r="L277" s="5">
        <f>IF(AND(ISNUMBER(J277),ISNUMBER(I277),I277&gt;0),(J277-I277)/I277,"")</f>
        <v/>
      </c>
      <c r="M277" s="2">
        <f>IF(L277="","",IF(L277&lt;-0.05,"Bán phá giá",IF(L277&gt;0.05,"Bán cao hơn","Đúng giá niêm yết")))</f>
        <v/>
      </c>
      <c r="N277" s="2" t="n"/>
      <c r="O277" s="3" t="n"/>
      <c r="P277" s="3" t="n"/>
    </row>
    <row r="278">
      <c r="A278" s="2" t="n">
        <v>277</v>
      </c>
      <c r="B278" s="2" t="inlineStr">
        <is>
          <t>KH002</t>
        </is>
      </c>
      <c r="C278" s="3" t="inlineStr">
        <is>
          <t>Nguyễn Hoàng Phú</t>
        </is>
      </c>
      <c r="D278" s="2" t="inlineStr">
        <is>
          <t>HCM</t>
        </is>
      </c>
      <c r="E278" s="2" t="inlineStr">
        <is>
          <t>BẢO TRÂM</t>
        </is>
      </c>
      <c r="F278" s="2" t="inlineStr">
        <is>
          <t>Shopee</t>
        </is>
      </c>
      <c r="G278" s="2" t="inlineStr">
        <is>
          <t>KJH-04</t>
        </is>
      </c>
      <c r="H278" s="3" t="inlineStr">
        <is>
          <t>Dao rọc cáp đa năng KJH-04</t>
        </is>
      </c>
      <c r="I278" s="4" t="n">
        <v>164000</v>
      </c>
      <c r="J278" s="4" t="n"/>
      <c r="K278" s="4">
        <f>IF(AND(ISNUMBER(J278),ISNUMBER(I278)),J278-I278,"")</f>
        <v/>
      </c>
      <c r="L278" s="5">
        <f>IF(AND(ISNUMBER(J278),ISNUMBER(I278),I278&gt;0),(J278-I278)/I278,"")</f>
        <v/>
      </c>
      <c r="M278" s="2">
        <f>IF(L278="","",IF(L278&lt;-0.05,"Bán phá giá",IF(L278&gt;0.05,"Bán cao hơn","Đúng giá niêm yết")))</f>
        <v/>
      </c>
      <c r="N278" s="2" t="n"/>
      <c r="O278" s="3" t="n"/>
      <c r="P278" s="3" t="n"/>
    </row>
    <row r="279">
      <c r="A279" s="2" t="n">
        <v>278</v>
      </c>
      <c r="B279" s="2" t="inlineStr">
        <is>
          <t>KH002</t>
        </is>
      </c>
      <c r="C279" s="3" t="inlineStr">
        <is>
          <t>Nguyễn Hoàng Phú</t>
        </is>
      </c>
      <c r="D279" s="2" t="inlineStr">
        <is>
          <t>HCM</t>
        </is>
      </c>
      <c r="E279" s="2" t="inlineStr">
        <is>
          <t>BẢO TRÂM</t>
        </is>
      </c>
      <c r="F279" s="2" t="inlineStr">
        <is>
          <t>Shopee</t>
        </is>
      </c>
      <c r="G279" s="2" t="inlineStr">
        <is>
          <t>K54M</t>
        </is>
      </c>
      <c r="H279" s="3" t="inlineStr">
        <is>
          <t>Dụng cụ khò gas mini K54M</t>
        </is>
      </c>
      <c r="I279" s="4" t="n">
        <v>264000</v>
      </c>
      <c r="J279" s="4" t="n"/>
      <c r="K279" s="4">
        <f>IF(AND(ISNUMBER(J279),ISNUMBER(I279)),J279-I279,"")</f>
        <v/>
      </c>
      <c r="L279" s="5">
        <f>IF(AND(ISNUMBER(J279),ISNUMBER(I279),I279&gt;0),(J279-I279)/I279,"")</f>
        <v/>
      </c>
      <c r="M279" s="2">
        <f>IF(L279="","",IF(L279&lt;-0.05,"Bán phá giá",IF(L279&gt;0.05,"Bán cao hơn","Đúng giá niêm yết")))</f>
        <v/>
      </c>
      <c r="N279" s="2" t="n"/>
      <c r="O279" s="3" t="n"/>
      <c r="P279" s="3" t="n"/>
    </row>
    <row r="280">
      <c r="A280" s="2" t="n">
        <v>279</v>
      </c>
      <c r="B280" s="2" t="inlineStr">
        <is>
          <t>KH002</t>
        </is>
      </c>
      <c r="C280" s="3" t="inlineStr">
        <is>
          <t>Nguyễn Hoàng Phú</t>
        </is>
      </c>
      <c r="D280" s="2" t="inlineStr">
        <is>
          <t>HCM</t>
        </is>
      </c>
      <c r="E280" s="2" t="inlineStr">
        <is>
          <t>BẢO TRÂM</t>
        </is>
      </c>
      <c r="F280" s="2" t="inlineStr">
        <is>
          <t>Shopee</t>
        </is>
      </c>
      <c r="G280" s="2" t="inlineStr">
        <is>
          <t>D3-107x1.2</t>
        </is>
      </c>
      <c r="H280" s="3" t="inlineStr">
        <is>
          <t>Đá cắt sắt, inox KingBlue D3-107x1.2 xanh ( hộp sắt)</t>
        </is>
      </c>
      <c r="I280" s="4" t="n">
        <v>6600</v>
      </c>
      <c r="J280" s="4" t="n"/>
      <c r="K280" s="4">
        <f>IF(AND(ISNUMBER(J280),ISNUMBER(I280)),J280-I280,"")</f>
        <v/>
      </c>
      <c r="L280" s="5">
        <f>IF(AND(ISNUMBER(J280),ISNUMBER(I280),I280&gt;0),(J280-I280)/I280,"")</f>
        <v/>
      </c>
      <c r="M280" s="2">
        <f>IF(L280="","",IF(L280&lt;-0.05,"Bán phá giá",IF(L280&gt;0.05,"Bán cao hơn","Đúng giá niêm yết")))</f>
        <v/>
      </c>
      <c r="N280" s="2" t="n"/>
      <c r="O280" s="3" t="n"/>
      <c r="P280" s="3" t="n"/>
    </row>
    <row r="281">
      <c r="A281" s="2" t="n">
        <v>280</v>
      </c>
      <c r="B281" s="2" t="inlineStr">
        <is>
          <t>KH002</t>
        </is>
      </c>
      <c r="C281" s="3" t="inlineStr">
        <is>
          <t>Nguyễn Hoàng Phú</t>
        </is>
      </c>
      <c r="D281" s="2" t="inlineStr">
        <is>
          <t>HCM</t>
        </is>
      </c>
      <c r="E281" s="2" t="inlineStr">
        <is>
          <t>BẢO TRÂM</t>
        </is>
      </c>
      <c r="F281" s="2" t="inlineStr">
        <is>
          <t>Shopee</t>
        </is>
      </c>
      <c r="G281" s="2" t="inlineStr">
        <is>
          <t>D4-107x1.2</t>
        </is>
      </c>
      <c r="H281" s="3" t="inlineStr">
        <is>
          <t>Đá cắt sắt, inox Kingblue D4-107x1.2 đỏ</t>
        </is>
      </c>
      <c r="I281" s="4" t="n">
        <v>5300</v>
      </c>
      <c r="J281" s="4" t="n"/>
      <c r="K281" s="4">
        <f>IF(AND(ISNUMBER(J281),ISNUMBER(I281)),J281-I281,"")</f>
        <v/>
      </c>
      <c r="L281" s="5">
        <f>IF(AND(ISNUMBER(J281),ISNUMBER(I281),I281&gt;0),(J281-I281)/I281,"")</f>
        <v/>
      </c>
      <c r="M281" s="2">
        <f>IF(L281="","",IF(L281&lt;-0.05,"Bán phá giá",IF(L281&gt;0.05,"Bán cao hơn","Đúng giá niêm yết")))</f>
        <v/>
      </c>
      <c r="N281" s="2" t="n"/>
      <c r="O281" s="3" t="n"/>
      <c r="P281" s="3" t="n"/>
    </row>
    <row r="282">
      <c r="A282" s="2" t="n">
        <v>281</v>
      </c>
      <c r="B282" s="2" t="inlineStr">
        <is>
          <t>KH002</t>
        </is>
      </c>
      <c r="C282" s="3" t="inlineStr">
        <is>
          <t>Nguyễn Hoàng Phú</t>
        </is>
      </c>
      <c r="D282" s="2" t="inlineStr">
        <is>
          <t>HCM</t>
        </is>
      </c>
      <c r="E282" s="2" t="inlineStr">
        <is>
          <t>BẢO TRÂM</t>
        </is>
      </c>
      <c r="F282" s="2" t="inlineStr">
        <is>
          <t>Shopee</t>
        </is>
      </c>
      <c r="G282" s="2" t="inlineStr">
        <is>
          <t>D3-103x2.8</t>
        </is>
      </c>
      <c r="H282" s="3" t="inlineStr">
        <is>
          <t>Đá mài sắt, inox KingBlue D3-103x2.8</t>
        </is>
      </c>
      <c r="I282" s="4" t="n">
        <v>8300</v>
      </c>
      <c r="J282" s="4" t="n"/>
      <c r="K282" s="4">
        <f>IF(AND(ISNUMBER(J282),ISNUMBER(I282)),J282-I282,"")</f>
        <v/>
      </c>
      <c r="L282" s="5">
        <f>IF(AND(ISNUMBER(J282),ISNUMBER(I282),I282&gt;0),(J282-I282)/I282,"")</f>
        <v/>
      </c>
      <c r="M282" s="2">
        <f>IF(L282="","",IF(L282&lt;-0.05,"Bán phá giá",IF(L282&gt;0.05,"Bán cao hơn","Đúng giá niêm yết")))</f>
        <v/>
      </c>
      <c r="N282" s="2" t="n"/>
      <c r="O282" s="3" t="n"/>
      <c r="P282" s="3" t="n"/>
    </row>
    <row r="283">
      <c r="A283" s="2" t="n">
        <v>282</v>
      </c>
      <c r="B283" s="2" t="inlineStr">
        <is>
          <t>KH002</t>
        </is>
      </c>
      <c r="C283" s="3" t="inlineStr">
        <is>
          <t>Nguyễn Hoàng Phú</t>
        </is>
      </c>
      <c r="D283" s="2" t="inlineStr">
        <is>
          <t>HCM</t>
        </is>
      </c>
      <c r="E283" s="2" t="inlineStr">
        <is>
          <t>BẢO TRÂM</t>
        </is>
      </c>
      <c r="F283" s="2" t="inlineStr">
        <is>
          <t>Shopee</t>
        </is>
      </c>
      <c r="G283" s="2" t="inlineStr">
        <is>
          <t>CM07</t>
        </is>
      </c>
      <c r="H283" s="3" t="inlineStr">
        <is>
          <t>Đầu chụp bulon KingBlue CM07</t>
        </is>
      </c>
      <c r="I283" s="4" t="n">
        <v>14300</v>
      </c>
      <c r="J283" s="4" t="n"/>
      <c r="K283" s="4">
        <f>IF(AND(ISNUMBER(J283),ISNUMBER(I283)),J283-I283,"")</f>
        <v/>
      </c>
      <c r="L283" s="5">
        <f>IF(AND(ISNUMBER(J283),ISNUMBER(I283),I283&gt;0),(J283-I283)/I283,"")</f>
        <v/>
      </c>
      <c r="M283" s="2">
        <f>IF(L283="","",IF(L283&lt;-0.05,"Bán phá giá",IF(L283&gt;0.05,"Bán cao hơn","Đúng giá niêm yết")))</f>
        <v/>
      </c>
      <c r="N283" s="2" t="n"/>
      <c r="O283" s="3" t="n"/>
      <c r="P283" s="3" t="n"/>
    </row>
    <row r="284">
      <c r="A284" s="2" t="n">
        <v>283</v>
      </c>
      <c r="B284" s="2" t="inlineStr">
        <is>
          <t>KH002</t>
        </is>
      </c>
      <c r="C284" s="3" t="inlineStr">
        <is>
          <t>Nguyễn Hoàng Phú</t>
        </is>
      </c>
      <c r="D284" s="2" t="inlineStr">
        <is>
          <t>HCM</t>
        </is>
      </c>
      <c r="E284" s="2" t="inlineStr">
        <is>
          <t>BẢO TRÂM</t>
        </is>
      </c>
      <c r="F284" s="2" t="inlineStr">
        <is>
          <t>Shopee</t>
        </is>
      </c>
      <c r="G284" s="2" t="inlineStr">
        <is>
          <t>CM08</t>
        </is>
      </c>
      <c r="H284" s="3" t="inlineStr">
        <is>
          <t>Đầu chụp bulon KingBlue CM08</t>
        </is>
      </c>
      <c r="I284" s="4" t="n">
        <v>154000</v>
      </c>
      <c r="J284" s="4" t="n"/>
      <c r="K284" s="4">
        <f>IF(AND(ISNUMBER(J284),ISNUMBER(I284)),J284-I284,"")</f>
        <v/>
      </c>
      <c r="L284" s="5">
        <f>IF(AND(ISNUMBER(J284),ISNUMBER(I284),I284&gt;0),(J284-I284)/I284,"")</f>
        <v/>
      </c>
      <c r="M284" s="2">
        <f>IF(L284="","",IF(L284&lt;-0.05,"Bán phá giá",IF(L284&gt;0.05,"Bán cao hơn","Đúng giá niêm yết")))</f>
        <v/>
      </c>
      <c r="N284" s="2" t="n"/>
      <c r="O284" s="3" t="n"/>
      <c r="P284" s="3" t="n"/>
    </row>
    <row r="285">
      <c r="A285" s="2" t="n">
        <v>284</v>
      </c>
      <c r="B285" s="2" t="inlineStr">
        <is>
          <t>KH002</t>
        </is>
      </c>
      <c r="C285" s="3" t="inlineStr">
        <is>
          <t>Nguyễn Hoàng Phú</t>
        </is>
      </c>
      <c r="D285" s="2" t="inlineStr">
        <is>
          <t>HCM</t>
        </is>
      </c>
      <c r="E285" s="2" t="inlineStr">
        <is>
          <t>BẢO TRÂM</t>
        </is>
      </c>
      <c r="F285" s="2" t="inlineStr">
        <is>
          <t>Shopee</t>
        </is>
      </c>
      <c r="G285" s="2" t="inlineStr">
        <is>
          <t>CM10</t>
        </is>
      </c>
      <c r="H285" s="3" t="inlineStr">
        <is>
          <t>Đầu chụp bulon KingBlue CM10</t>
        </is>
      </c>
      <c r="I285" s="4" t="n">
        <v>17600</v>
      </c>
      <c r="J285" s="4" t="n"/>
      <c r="K285" s="4">
        <f>IF(AND(ISNUMBER(J285),ISNUMBER(I285)),J285-I285,"")</f>
        <v/>
      </c>
      <c r="L285" s="5">
        <f>IF(AND(ISNUMBER(J285),ISNUMBER(I285),I285&gt;0),(J285-I285)/I285,"")</f>
        <v/>
      </c>
      <c r="M285" s="2">
        <f>IF(L285="","",IF(L285&lt;-0.05,"Bán phá giá",IF(L285&gt;0.05,"Bán cao hơn","Đúng giá niêm yết")))</f>
        <v/>
      </c>
      <c r="N285" s="2" t="n"/>
      <c r="O285" s="3" t="n"/>
      <c r="P285" s="3" t="n"/>
    </row>
    <row r="286">
      <c r="A286" s="2" t="n">
        <v>285</v>
      </c>
      <c r="B286" s="2" t="inlineStr">
        <is>
          <t>KH002</t>
        </is>
      </c>
      <c r="C286" s="3" t="inlineStr">
        <is>
          <t>Nguyễn Hoàng Phú</t>
        </is>
      </c>
      <c r="D286" s="2" t="inlineStr">
        <is>
          <t>HCM</t>
        </is>
      </c>
      <c r="E286" s="2" t="inlineStr">
        <is>
          <t>BẢO TRÂM</t>
        </is>
      </c>
      <c r="F286" s="2" t="inlineStr">
        <is>
          <t>Shopee</t>
        </is>
      </c>
      <c r="G286" s="2" t="inlineStr">
        <is>
          <t>CM12</t>
        </is>
      </c>
      <c r="H286" s="3" t="inlineStr">
        <is>
          <t>Đầu chụp bulon KingBlue CM12</t>
        </is>
      </c>
      <c r="I286" s="4" t="n">
        <v>19800</v>
      </c>
      <c r="J286" s="4" t="n"/>
      <c r="K286" s="4">
        <f>IF(AND(ISNUMBER(J286),ISNUMBER(I286)),J286-I286,"")</f>
        <v/>
      </c>
      <c r="L286" s="5">
        <f>IF(AND(ISNUMBER(J286),ISNUMBER(I286),I286&gt;0),(J286-I286)/I286,"")</f>
        <v/>
      </c>
      <c r="M286" s="2">
        <f>IF(L286="","",IF(L286&lt;-0.05,"Bán phá giá",IF(L286&gt;0.05,"Bán cao hơn","Đúng giá niêm yết")))</f>
        <v/>
      </c>
      <c r="N286" s="2" t="n"/>
      <c r="O286" s="3" t="n"/>
      <c r="P286" s="3" t="n"/>
    </row>
    <row r="287">
      <c r="A287" s="2" t="n">
        <v>286</v>
      </c>
      <c r="B287" s="2" t="inlineStr">
        <is>
          <t>KH002</t>
        </is>
      </c>
      <c r="C287" s="3" t="inlineStr">
        <is>
          <t>Nguyễn Hoàng Phú</t>
        </is>
      </c>
      <c r="D287" s="2" t="inlineStr">
        <is>
          <t>HCM</t>
        </is>
      </c>
      <c r="E287" s="2" t="inlineStr">
        <is>
          <t>BẢO TRÂM</t>
        </is>
      </c>
      <c r="F287" s="2" t="inlineStr">
        <is>
          <t>Shopee</t>
        </is>
      </c>
      <c r="G287" s="2" t="inlineStr">
        <is>
          <t>CM13</t>
        </is>
      </c>
      <c r="H287" s="3" t="inlineStr">
        <is>
          <t>Đầu chụp bulon KingBlue CM13</t>
        </is>
      </c>
      <c r="I287" s="4" t="n">
        <v>105000</v>
      </c>
      <c r="J287" s="4" t="n"/>
      <c r="K287" s="4">
        <f>IF(AND(ISNUMBER(J287),ISNUMBER(I287)),J287-I287,"")</f>
        <v/>
      </c>
      <c r="L287" s="5">
        <f>IF(AND(ISNUMBER(J287),ISNUMBER(I287),I287&gt;0),(J287-I287)/I287,"")</f>
        <v/>
      </c>
      <c r="M287" s="2">
        <f>IF(L287="","",IF(L287&lt;-0.05,"Bán phá giá",IF(L287&gt;0.05,"Bán cao hơn","Đúng giá niêm yết")))</f>
        <v/>
      </c>
      <c r="N287" s="2" t="n"/>
      <c r="O287" s="3" t="n"/>
      <c r="P287" s="3" t="n"/>
    </row>
    <row r="288">
      <c r="A288" s="2" t="n">
        <v>287</v>
      </c>
      <c r="B288" s="2" t="inlineStr">
        <is>
          <t>KH002</t>
        </is>
      </c>
      <c r="C288" s="3" t="inlineStr">
        <is>
          <t>Nguyễn Hoàng Phú</t>
        </is>
      </c>
      <c r="D288" s="2" t="inlineStr">
        <is>
          <t>HCM</t>
        </is>
      </c>
      <c r="E288" s="2" t="inlineStr">
        <is>
          <t>BẢO TRÂM</t>
        </is>
      </c>
      <c r="F288" s="2" t="inlineStr">
        <is>
          <t>Shopee</t>
        </is>
      </c>
      <c r="G288" s="2" t="inlineStr">
        <is>
          <t>CM14</t>
        </is>
      </c>
      <c r="H288" s="3" t="inlineStr">
        <is>
          <t>Đầu chụp bulon KingBlue CM14</t>
        </is>
      </c>
      <c r="I288" s="4" t="n">
        <v>21000</v>
      </c>
      <c r="J288" s="4" t="n"/>
      <c r="K288" s="4">
        <f>IF(AND(ISNUMBER(J288),ISNUMBER(I288)),J288-I288,"")</f>
        <v/>
      </c>
      <c r="L288" s="5">
        <f>IF(AND(ISNUMBER(J288),ISNUMBER(I288),I288&gt;0),(J288-I288)/I288,"")</f>
        <v/>
      </c>
      <c r="M288" s="2">
        <f>IF(L288="","",IF(L288&lt;-0.05,"Bán phá giá",IF(L288&gt;0.05,"Bán cao hơn","Đúng giá niêm yết")))</f>
        <v/>
      </c>
      <c r="N288" s="2" t="n"/>
      <c r="O288" s="3" t="n"/>
      <c r="P288" s="3" t="n"/>
    </row>
    <row r="289">
      <c r="A289" s="2" t="n">
        <v>288</v>
      </c>
      <c r="B289" s="2" t="inlineStr">
        <is>
          <t>KH002</t>
        </is>
      </c>
      <c r="C289" s="3" t="inlineStr">
        <is>
          <t>Nguyễn Hoàng Phú</t>
        </is>
      </c>
      <c r="D289" s="2" t="inlineStr">
        <is>
          <t>HCM</t>
        </is>
      </c>
      <c r="E289" s="2" t="inlineStr">
        <is>
          <t>BẢO TRÂM</t>
        </is>
      </c>
      <c r="F289" s="2" t="inlineStr">
        <is>
          <t>Shopee</t>
        </is>
      </c>
      <c r="G289" s="2" t="inlineStr">
        <is>
          <t>CM17</t>
        </is>
      </c>
      <c r="H289" s="3" t="inlineStr">
        <is>
          <t>Đầu chụp bulon KingBlue CM17</t>
        </is>
      </c>
      <c r="I289" s="4" t="n">
        <v>154000</v>
      </c>
      <c r="J289" s="4" t="n"/>
      <c r="K289" s="4">
        <f>IF(AND(ISNUMBER(J289),ISNUMBER(I289)),J289-I289,"")</f>
        <v/>
      </c>
      <c r="L289" s="5">
        <f>IF(AND(ISNUMBER(J289),ISNUMBER(I289),I289&gt;0),(J289-I289)/I289,"")</f>
        <v/>
      </c>
      <c r="M289" s="2">
        <f>IF(L289="","",IF(L289&lt;-0.05,"Bán phá giá",IF(L289&gt;0.05,"Bán cao hơn","Đúng giá niêm yết")))</f>
        <v/>
      </c>
      <c r="N289" s="2" t="n"/>
      <c r="O289" s="3" t="n"/>
      <c r="P289" s="3" t="n"/>
    </row>
    <row r="290">
      <c r="A290" s="2" t="n">
        <v>289</v>
      </c>
      <c r="B290" s="2" t="inlineStr">
        <is>
          <t>KH002</t>
        </is>
      </c>
      <c r="C290" s="3" t="inlineStr">
        <is>
          <t>Nguyễn Hoàng Phú</t>
        </is>
      </c>
      <c r="D290" s="2" t="inlineStr">
        <is>
          <t>HCM</t>
        </is>
      </c>
      <c r="E290" s="2" t="inlineStr">
        <is>
          <t>BẢO TRÂM</t>
        </is>
      </c>
      <c r="F290" s="2" t="inlineStr">
        <is>
          <t>Shopee</t>
        </is>
      </c>
      <c r="G290" s="2" t="inlineStr">
        <is>
          <t>CM19</t>
        </is>
      </c>
      <c r="H290" s="3" t="inlineStr">
        <is>
          <t>Đầu chụp bulon KingBlue CM19</t>
        </is>
      </c>
      <c r="I290" s="4" t="n">
        <v>86001</v>
      </c>
      <c r="J290" s="4" t="n"/>
      <c r="K290" s="4">
        <f>IF(AND(ISNUMBER(J290),ISNUMBER(I290)),J290-I290,"")</f>
        <v/>
      </c>
      <c r="L290" s="5">
        <f>IF(AND(ISNUMBER(J290),ISNUMBER(I290),I290&gt;0),(J290-I290)/I290,"")</f>
        <v/>
      </c>
      <c r="M290" s="2">
        <f>IF(L290="","",IF(L290&lt;-0.05,"Bán phá giá",IF(L290&gt;0.05,"Bán cao hơn","Đúng giá niêm yết")))</f>
        <v/>
      </c>
      <c r="N290" s="2" t="n"/>
      <c r="O290" s="3" t="n"/>
      <c r="P290" s="3" t="n"/>
    </row>
    <row r="291">
      <c r="A291" s="2" t="n">
        <v>290</v>
      </c>
      <c r="B291" s="2" t="inlineStr">
        <is>
          <t>KH002</t>
        </is>
      </c>
      <c r="C291" s="3" t="inlineStr">
        <is>
          <t>Nguyễn Hoàng Phú</t>
        </is>
      </c>
      <c r="D291" s="2" t="inlineStr">
        <is>
          <t>HCM</t>
        </is>
      </c>
      <c r="E291" s="2" t="inlineStr">
        <is>
          <t>BẢO TRÂM</t>
        </is>
      </c>
      <c r="F291" s="2" t="inlineStr">
        <is>
          <t>Shopee</t>
        </is>
      </c>
      <c r="G291" s="2" t="inlineStr">
        <is>
          <t>K45M</t>
        </is>
      </c>
      <c r="H291" s="3" t="inlineStr">
        <is>
          <t>Đầu khò gas K45M</t>
        </is>
      </c>
      <c r="I291" s="4" t="n">
        <v>185000</v>
      </c>
      <c r="J291" s="4" t="n"/>
      <c r="K291" s="4">
        <f>IF(AND(ISNUMBER(J291),ISNUMBER(I291)),J291-I291,"")</f>
        <v/>
      </c>
      <c r="L291" s="5">
        <f>IF(AND(ISNUMBER(J291),ISNUMBER(I291),I291&gt;0),(J291-I291)/I291,"")</f>
        <v/>
      </c>
      <c r="M291" s="2">
        <f>IF(L291="","",IF(L291&lt;-0.05,"Bán phá giá",IF(L291&gt;0.05,"Bán cao hơn","Đúng giá niêm yết")))</f>
        <v/>
      </c>
      <c r="N291" s="2" t="n"/>
      <c r="O291" s="3" t="n"/>
      <c r="P291" s="3" t="n"/>
    </row>
    <row r="292">
      <c r="A292" s="2" t="n">
        <v>291</v>
      </c>
      <c r="B292" s="2" t="inlineStr">
        <is>
          <t>KH002</t>
        </is>
      </c>
      <c r="C292" s="3" t="inlineStr">
        <is>
          <t>Nguyễn Hoàng Phú</t>
        </is>
      </c>
      <c r="D292" s="2" t="inlineStr">
        <is>
          <t>HCM</t>
        </is>
      </c>
      <c r="E292" s="2" t="inlineStr">
        <is>
          <t>BẢO TRÂM</t>
        </is>
      </c>
      <c r="F292" s="2" t="inlineStr">
        <is>
          <t>Shopee</t>
        </is>
      </c>
      <c r="G292" s="2" t="inlineStr">
        <is>
          <t>K49M</t>
        </is>
      </c>
      <c r="H292" s="3" t="inlineStr">
        <is>
          <t>Đầu khò gas K49M</t>
        </is>
      </c>
      <c r="I292" s="4" t="n">
        <v>193000</v>
      </c>
      <c r="J292" s="4" t="n"/>
      <c r="K292" s="4">
        <f>IF(AND(ISNUMBER(J292),ISNUMBER(I292)),J292-I292,"")</f>
        <v/>
      </c>
      <c r="L292" s="5">
        <f>IF(AND(ISNUMBER(J292),ISNUMBER(I292),I292&gt;0),(J292-I292)/I292,"")</f>
        <v/>
      </c>
      <c r="M292" s="2">
        <f>IF(L292="","",IF(L292&lt;-0.05,"Bán phá giá",IF(L292&gt;0.05,"Bán cao hơn","Đúng giá niêm yết")))</f>
        <v/>
      </c>
      <c r="N292" s="2" t="n"/>
      <c r="O292" s="3" t="n"/>
      <c r="P292" s="3" t="n"/>
    </row>
    <row r="293">
      <c r="A293" s="2" t="n">
        <v>292</v>
      </c>
      <c r="B293" s="2" t="inlineStr">
        <is>
          <t>KH002</t>
        </is>
      </c>
      <c r="C293" s="3" t="inlineStr">
        <is>
          <t>Nguyễn Hoàng Phú</t>
        </is>
      </c>
      <c r="D293" s="2" t="inlineStr">
        <is>
          <t>HCM</t>
        </is>
      </c>
      <c r="E293" s="2" t="inlineStr">
        <is>
          <t>BẢO TRÂM</t>
        </is>
      </c>
      <c r="F293" s="2" t="inlineStr">
        <is>
          <t>Shopee</t>
        </is>
      </c>
      <c r="G293" s="2" t="inlineStr"/>
      <c r="H293" s="3" t="inlineStr">
        <is>
          <t>Đầu nạp gas</t>
        </is>
      </c>
      <c r="I293" s="4" t="n"/>
      <c r="J293" s="4" t="n"/>
      <c r="K293" s="4">
        <f>IF(AND(ISNUMBER(J293),ISNUMBER(I293)),J293-I293,"")</f>
        <v/>
      </c>
      <c r="L293" s="5">
        <f>IF(AND(ISNUMBER(J293),ISNUMBER(I293),I293&gt;0),(J293-I293)/I293,"")</f>
        <v/>
      </c>
      <c r="M293" s="2">
        <f>IF(L293="","",IF(L293&lt;-0.05,"Bán phá giá",IF(L293&gt;0.05,"Bán cao hơn","Đúng giá niêm yết")))</f>
        <v/>
      </c>
      <c r="N293" s="2" t="n"/>
      <c r="O293" s="3" t="n"/>
      <c r="P293" s="3" t="n"/>
    </row>
    <row r="294">
      <c r="A294" s="2" t="n">
        <v>293</v>
      </c>
      <c r="B294" s="2" t="inlineStr">
        <is>
          <t>KH002</t>
        </is>
      </c>
      <c r="C294" s="3" t="inlineStr">
        <is>
          <t>Nguyễn Hoàng Phú</t>
        </is>
      </c>
      <c r="D294" s="2" t="inlineStr">
        <is>
          <t>HCM</t>
        </is>
      </c>
      <c r="E294" s="2" t="inlineStr">
        <is>
          <t>BẢO TRÂM</t>
        </is>
      </c>
      <c r="F294" s="2" t="inlineStr">
        <is>
          <t>Shopee</t>
        </is>
      </c>
      <c r="G294" s="2" t="inlineStr">
        <is>
          <t>QC3</t>
        </is>
      </c>
      <c r="H294" s="3" t="inlineStr">
        <is>
          <t>Kéo cắt đa năng QC3</t>
        </is>
      </c>
      <c r="I294" s="4" t="n">
        <v>99000</v>
      </c>
      <c r="J294" s="4" t="n"/>
      <c r="K294" s="4">
        <f>IF(AND(ISNUMBER(J294),ISNUMBER(I294)),J294-I294,"")</f>
        <v/>
      </c>
      <c r="L294" s="5">
        <f>IF(AND(ISNUMBER(J294),ISNUMBER(I294),I294&gt;0),(J294-I294)/I294,"")</f>
        <v/>
      </c>
      <c r="M294" s="2">
        <f>IF(L294="","",IF(L294&lt;-0.05,"Bán phá giá",IF(L294&gt;0.05,"Bán cao hơn","Đúng giá niêm yết")))</f>
        <v/>
      </c>
      <c r="N294" s="2" t="n"/>
      <c r="O294" s="3" t="n"/>
      <c r="P294" s="3" t="n"/>
    </row>
    <row r="295">
      <c r="A295" s="2" t="n">
        <v>294</v>
      </c>
      <c r="B295" s="2" t="inlineStr">
        <is>
          <t>KH002</t>
        </is>
      </c>
      <c r="C295" s="3" t="inlineStr">
        <is>
          <t>Nguyễn Hoàng Phú</t>
        </is>
      </c>
      <c r="D295" s="2" t="inlineStr">
        <is>
          <t>HCM</t>
        </is>
      </c>
      <c r="E295" s="2" t="inlineStr">
        <is>
          <t>BẢO TRÂM</t>
        </is>
      </c>
      <c r="F295" s="2" t="inlineStr">
        <is>
          <t>Shopee</t>
        </is>
      </c>
      <c r="G295" s="2" t="inlineStr">
        <is>
          <t>KPC-164</t>
        </is>
      </c>
      <c r="H295" s="3" t="inlineStr">
        <is>
          <t>Kéo cắt ống KPC-164</t>
        </is>
      </c>
      <c r="I295" s="4" t="n">
        <v>298000</v>
      </c>
      <c r="J295" s="4" t="n"/>
      <c r="K295" s="4">
        <f>IF(AND(ISNUMBER(J295),ISNUMBER(I295)),J295-I295,"")</f>
        <v/>
      </c>
      <c r="L295" s="5">
        <f>IF(AND(ISNUMBER(J295),ISNUMBER(I295),I295&gt;0),(J295-I295)/I295,"")</f>
        <v/>
      </c>
      <c r="M295" s="2">
        <f>IF(L295="","",IF(L295&lt;-0.05,"Bán phá giá",IF(L295&gt;0.05,"Bán cao hơn","Đúng giá niêm yết")))</f>
        <v/>
      </c>
      <c r="N295" s="2" t="n"/>
      <c r="O295" s="3" t="n"/>
      <c r="P295" s="3" t="n"/>
    </row>
    <row r="296">
      <c r="A296" s="2" t="n">
        <v>295</v>
      </c>
      <c r="B296" s="2" t="inlineStr">
        <is>
          <t>KH002</t>
        </is>
      </c>
      <c r="C296" s="3" t="inlineStr">
        <is>
          <t>Nguyễn Hoàng Phú</t>
        </is>
      </c>
      <c r="D296" s="2" t="inlineStr">
        <is>
          <t>HCM</t>
        </is>
      </c>
      <c r="E296" s="2" t="inlineStr">
        <is>
          <t>BẢO TRÂM</t>
        </is>
      </c>
      <c r="F296" s="2" t="inlineStr">
        <is>
          <t>Shopee</t>
        </is>
      </c>
      <c r="G296" s="2" t="inlineStr">
        <is>
          <t>KPC-242</t>
        </is>
      </c>
      <c r="H296" s="3" t="inlineStr">
        <is>
          <t>Kéo cắt ống KPC-242</t>
        </is>
      </c>
      <c r="I296" s="4" t="n">
        <v>172000</v>
      </c>
      <c r="J296" s="4" t="n"/>
      <c r="K296" s="4">
        <f>IF(AND(ISNUMBER(J296),ISNUMBER(I296)),J296-I296,"")</f>
        <v/>
      </c>
      <c r="L296" s="5">
        <f>IF(AND(ISNUMBER(J296),ISNUMBER(I296),I296&gt;0),(J296-I296)/I296,"")</f>
        <v/>
      </c>
      <c r="M296" s="2">
        <f>IF(L296="","",IF(L296&lt;-0.05,"Bán phá giá",IF(L296&gt;0.05,"Bán cao hơn","Đúng giá niêm yết")))</f>
        <v/>
      </c>
      <c r="N296" s="2" t="n"/>
      <c r="O296" s="3" t="n"/>
      <c r="P296" s="3" t="n"/>
    </row>
    <row r="297">
      <c r="A297" s="2" t="n">
        <v>296</v>
      </c>
      <c r="B297" s="2" t="inlineStr">
        <is>
          <t>KH002</t>
        </is>
      </c>
      <c r="C297" s="3" t="inlineStr">
        <is>
          <t>Nguyễn Hoàng Phú</t>
        </is>
      </c>
      <c r="D297" s="2" t="inlineStr">
        <is>
          <t>HCM</t>
        </is>
      </c>
      <c r="E297" s="2" t="inlineStr">
        <is>
          <t>BẢO TRÂM</t>
        </is>
      </c>
      <c r="F297" s="2" t="inlineStr">
        <is>
          <t>Shopee</t>
        </is>
      </c>
      <c r="G297" s="2" t="inlineStr">
        <is>
          <t>KDT-250</t>
        </is>
      </c>
      <c r="H297" s="3" t="inlineStr">
        <is>
          <t>Kéo cắt tole KDT-250</t>
        </is>
      </c>
      <c r="I297" s="4" t="n">
        <v>116000</v>
      </c>
      <c r="J297" s="4" t="n"/>
      <c r="K297" s="4">
        <f>IF(AND(ISNUMBER(J297),ISNUMBER(I297)),J297-I297,"")</f>
        <v/>
      </c>
      <c r="L297" s="5">
        <f>IF(AND(ISNUMBER(J297),ISNUMBER(I297),I297&gt;0),(J297-I297)/I297,"")</f>
        <v/>
      </c>
      <c r="M297" s="2">
        <f>IF(L297="","",IF(L297&lt;-0.05,"Bán phá giá",IF(L297&gt;0.05,"Bán cao hơn","Đúng giá niêm yết")))</f>
        <v/>
      </c>
      <c r="N297" s="2" t="n"/>
      <c r="O297" s="3" t="n"/>
      <c r="P297" s="3" t="n"/>
    </row>
    <row r="298">
      <c r="A298" s="2" t="n">
        <v>297</v>
      </c>
      <c r="B298" s="2" t="inlineStr">
        <is>
          <t>KH002</t>
        </is>
      </c>
      <c r="C298" s="3" t="inlineStr">
        <is>
          <t>Nguyễn Hoàng Phú</t>
        </is>
      </c>
      <c r="D298" s="2" t="inlineStr">
        <is>
          <t>HCM</t>
        </is>
      </c>
      <c r="E298" s="2" t="inlineStr">
        <is>
          <t>BẢO TRÂM</t>
        </is>
      </c>
      <c r="F298" s="2" t="inlineStr">
        <is>
          <t>Shopee</t>
        </is>
      </c>
      <c r="G298" s="2" t="inlineStr">
        <is>
          <t>KCT-250</t>
        </is>
      </c>
      <c r="H298" s="3" t="inlineStr">
        <is>
          <t>Kéo cắt thạch cao (tole) KCT-250</t>
        </is>
      </c>
      <c r="I298" s="4" t="n">
        <v>131000</v>
      </c>
      <c r="J298" s="4" t="n"/>
      <c r="K298" s="4">
        <f>IF(AND(ISNUMBER(J298),ISNUMBER(I298)),J298-I298,"")</f>
        <v/>
      </c>
      <c r="L298" s="5">
        <f>IF(AND(ISNUMBER(J298),ISNUMBER(I298),I298&gt;0),(J298-I298)/I298,"")</f>
        <v/>
      </c>
      <c r="M298" s="2">
        <f>IF(L298="","",IF(L298&lt;-0.05,"Bán phá giá",IF(L298&gt;0.05,"Bán cao hơn","Đúng giá niêm yết")))</f>
        <v/>
      </c>
      <c r="N298" s="2" t="n"/>
      <c r="O298" s="3" t="n"/>
      <c r="P298" s="3" t="n"/>
    </row>
    <row r="299">
      <c r="A299" s="2" t="n">
        <v>298</v>
      </c>
      <c r="B299" s="2" t="inlineStr">
        <is>
          <t>KH002</t>
        </is>
      </c>
      <c r="C299" s="3" t="inlineStr">
        <is>
          <t>Nguyễn Hoàng Phú</t>
        </is>
      </c>
      <c r="D299" s="2" t="inlineStr">
        <is>
          <t>HCM</t>
        </is>
      </c>
      <c r="E299" s="2" t="inlineStr">
        <is>
          <t>BẢO TRÂM</t>
        </is>
      </c>
      <c r="F299" s="2" t="inlineStr">
        <is>
          <t>Shopee</t>
        </is>
      </c>
      <c r="G299" s="2" t="inlineStr">
        <is>
          <t>QC1</t>
        </is>
      </c>
      <c r="H299" s="3" t="inlineStr">
        <is>
          <t>Kéo cắt trái cây QC1</t>
        </is>
      </c>
      <c r="I299" s="4" t="n">
        <v>47000</v>
      </c>
      <c r="J299" s="4" t="n"/>
      <c r="K299" s="4">
        <f>IF(AND(ISNUMBER(J299),ISNUMBER(I299)),J299-I299,"")</f>
        <v/>
      </c>
      <c r="L299" s="5">
        <f>IF(AND(ISNUMBER(J299),ISNUMBER(I299),I299&gt;0),(J299-I299)/I299,"")</f>
        <v/>
      </c>
      <c r="M299" s="2">
        <f>IF(L299="","",IF(L299&lt;-0.05,"Bán phá giá",IF(L299&gt;0.05,"Bán cao hơn","Đúng giá niêm yết")))</f>
        <v/>
      </c>
      <c r="N299" s="2" t="n"/>
      <c r="O299" s="3" t="n"/>
      <c r="P299" s="3" t="n"/>
    </row>
    <row r="300">
      <c r="A300" s="2" t="n">
        <v>299</v>
      </c>
      <c r="B300" s="2" t="inlineStr">
        <is>
          <t>KH002</t>
        </is>
      </c>
      <c r="C300" s="3" t="inlineStr">
        <is>
          <t>Nguyễn Hoàng Phú</t>
        </is>
      </c>
      <c r="D300" s="2" t="inlineStr">
        <is>
          <t>HCM</t>
        </is>
      </c>
      <c r="E300" s="2" t="inlineStr">
        <is>
          <t>BẢO TRÂM</t>
        </is>
      </c>
      <c r="F300" s="2" t="inlineStr">
        <is>
          <t>Shopee</t>
        </is>
      </c>
      <c r="G300" s="2" t="inlineStr">
        <is>
          <t>KB001-Q1</t>
        </is>
      </c>
      <c r="H300" s="3" t="inlineStr">
        <is>
          <t>Kéo KB001-Q1</t>
        </is>
      </c>
      <c r="I300" s="4" t="n">
        <v>97000</v>
      </c>
      <c r="J300" s="4" t="n"/>
      <c r="K300" s="4">
        <f>IF(AND(ISNUMBER(J300),ISNUMBER(I300)),J300-I300,"")</f>
        <v/>
      </c>
      <c r="L300" s="5">
        <f>IF(AND(ISNUMBER(J300),ISNUMBER(I300),I300&gt;0),(J300-I300)/I300,"")</f>
        <v/>
      </c>
      <c r="M300" s="2">
        <f>IF(L300="","",IF(L300&lt;-0.05,"Bán phá giá",IF(L300&gt;0.05,"Bán cao hơn","Đúng giá niêm yết")))</f>
        <v/>
      </c>
      <c r="N300" s="2" t="n"/>
      <c r="O300" s="3" t="n"/>
      <c r="P300" s="3" t="n"/>
    </row>
    <row r="301">
      <c r="A301" s="2" t="n">
        <v>300</v>
      </c>
      <c r="B301" s="2" t="inlineStr">
        <is>
          <t>KH002</t>
        </is>
      </c>
      <c r="C301" s="3" t="inlineStr">
        <is>
          <t>Nguyễn Hoàng Phú</t>
        </is>
      </c>
      <c r="D301" s="2" t="inlineStr">
        <is>
          <t>HCM</t>
        </is>
      </c>
      <c r="E301" s="2" t="inlineStr">
        <is>
          <t>BẢO TRÂM</t>
        </is>
      </c>
      <c r="F301" s="2" t="inlineStr">
        <is>
          <t>Shopee</t>
        </is>
      </c>
      <c r="G301" s="2" t="inlineStr">
        <is>
          <t>NG107</t>
        </is>
      </c>
      <c r="H301" s="3" t="inlineStr">
        <is>
          <t>Kích nâng gạch NG107</t>
        </is>
      </c>
      <c r="I301" s="4" t="n">
        <v>105000</v>
      </c>
      <c r="J301" s="4" t="n"/>
      <c r="K301" s="4">
        <f>IF(AND(ISNUMBER(J301),ISNUMBER(I301)),J301-I301,"")</f>
        <v/>
      </c>
      <c r="L301" s="5">
        <f>IF(AND(ISNUMBER(J301),ISNUMBER(I301),I301&gt;0),(J301-I301)/I301,"")</f>
        <v/>
      </c>
      <c r="M301" s="2">
        <f>IF(L301="","",IF(L301&lt;-0.05,"Bán phá giá",IF(L301&gt;0.05,"Bán cao hơn","Đúng giá niêm yết")))</f>
        <v/>
      </c>
      <c r="N301" s="2" t="n"/>
      <c r="O301" s="3" t="n"/>
      <c r="P301" s="3" t="n"/>
    </row>
    <row r="302">
      <c r="A302" s="2" t="n">
        <v>301</v>
      </c>
      <c r="B302" s="2" t="inlineStr">
        <is>
          <t>KH002</t>
        </is>
      </c>
      <c r="C302" s="3" t="inlineStr">
        <is>
          <t>Nguyễn Hoàng Phú</t>
        </is>
      </c>
      <c r="D302" s="2" t="inlineStr">
        <is>
          <t>HCM</t>
        </is>
      </c>
      <c r="E302" s="2" t="inlineStr">
        <is>
          <t>BẢO TRÂM</t>
        </is>
      </c>
      <c r="F302" s="2" t="inlineStr">
        <is>
          <t>Shopee</t>
        </is>
      </c>
      <c r="G302" s="2" t="inlineStr">
        <is>
          <t>KND150</t>
        </is>
      </c>
      <c r="H302" s="3" t="inlineStr">
        <is>
          <t>Kìm cắt chân mạch đa năng KND150</t>
        </is>
      </c>
      <c r="I302" s="4" t="n">
        <v>80000</v>
      </c>
      <c r="J302" s="4" t="n"/>
      <c r="K302" s="4">
        <f>IF(AND(ISNUMBER(J302),ISNUMBER(I302)),J302-I302,"")</f>
        <v/>
      </c>
      <c r="L302" s="5">
        <f>IF(AND(ISNUMBER(J302),ISNUMBER(I302),I302&gt;0),(J302-I302)/I302,"")</f>
        <v/>
      </c>
      <c r="M302" s="2">
        <f>IF(L302="","",IF(L302&lt;-0.05,"Bán phá giá",IF(L302&gt;0.05,"Bán cao hơn","Đúng giá niêm yết")))</f>
        <v/>
      </c>
      <c r="N302" s="2" t="n"/>
      <c r="O302" s="3" t="n"/>
      <c r="P302" s="3" t="n"/>
    </row>
    <row r="303">
      <c r="A303" s="2" t="n">
        <v>302</v>
      </c>
      <c r="B303" s="2" t="inlineStr">
        <is>
          <t>KH002</t>
        </is>
      </c>
      <c r="C303" s="3" t="inlineStr">
        <is>
          <t>Nguyễn Hoàng Phú</t>
        </is>
      </c>
      <c r="D303" s="2" t="inlineStr">
        <is>
          <t>HCM</t>
        </is>
      </c>
      <c r="E303" s="2" t="inlineStr">
        <is>
          <t>BẢO TRÂM</t>
        </is>
      </c>
      <c r="F303" s="2" t="inlineStr">
        <is>
          <t>Shopee</t>
        </is>
      </c>
      <c r="G303" s="2" t="inlineStr">
        <is>
          <t>KND200</t>
        </is>
      </c>
      <c r="H303" s="3" t="inlineStr">
        <is>
          <t>Kìm cắt tuốt đa năng 5 in1 KND200</t>
        </is>
      </c>
      <c r="I303" s="4" t="n">
        <v>72000</v>
      </c>
      <c r="J303" s="4" t="n"/>
      <c r="K303" s="4">
        <f>IF(AND(ISNUMBER(J303),ISNUMBER(I303)),J303-I303,"")</f>
        <v/>
      </c>
      <c r="L303" s="5">
        <f>IF(AND(ISNUMBER(J303),ISNUMBER(I303),I303&gt;0),(J303-I303)/I303,"")</f>
        <v/>
      </c>
      <c r="M303" s="2">
        <f>IF(L303="","",IF(L303&lt;-0.05,"Bán phá giá",IF(L303&gt;0.05,"Bán cao hơn","Đúng giá niêm yết")))</f>
        <v/>
      </c>
      <c r="N303" s="2" t="n"/>
      <c r="O303" s="3" t="n"/>
      <c r="P303" s="3" t="n"/>
    </row>
    <row r="304">
      <c r="A304" s="2" t="n">
        <v>303</v>
      </c>
      <c r="B304" s="2" t="inlineStr">
        <is>
          <t>KH002</t>
        </is>
      </c>
      <c r="C304" s="3" t="inlineStr">
        <is>
          <t>Nguyễn Hoàng Phú</t>
        </is>
      </c>
      <c r="D304" s="2" t="inlineStr">
        <is>
          <t>HCM</t>
        </is>
      </c>
      <c r="E304" s="2" t="inlineStr">
        <is>
          <t>BẢO TRÂM</t>
        </is>
      </c>
      <c r="F304" s="2" t="inlineStr">
        <is>
          <t>Shopee</t>
        </is>
      </c>
      <c r="G304" s="2" t="inlineStr">
        <is>
          <t>KS1-250</t>
        </is>
      </c>
      <c r="H304" s="3" t="inlineStr">
        <is>
          <t>Kìm chết KS1-250</t>
        </is>
      </c>
      <c r="I304" s="4" t="n">
        <v>165000</v>
      </c>
      <c r="J304" s="4" t="n"/>
      <c r="K304" s="4">
        <f>IF(AND(ISNUMBER(J304),ISNUMBER(I304)),J304-I304,"")</f>
        <v/>
      </c>
      <c r="L304" s="5">
        <f>IF(AND(ISNUMBER(J304),ISNUMBER(I304),I304&gt;0),(J304-I304)/I304,"")</f>
        <v/>
      </c>
      <c r="M304" s="2">
        <f>IF(L304="","",IF(L304&lt;-0.05,"Bán phá giá",IF(L304&gt;0.05,"Bán cao hơn","Đúng giá niêm yết")))</f>
        <v/>
      </c>
      <c r="N304" s="2" t="n"/>
      <c r="O304" s="3" t="n"/>
      <c r="P304" s="3" t="n"/>
    </row>
    <row r="305">
      <c r="A305" s="2" t="n">
        <v>304</v>
      </c>
      <c r="B305" s="2" t="inlineStr">
        <is>
          <t>KH002</t>
        </is>
      </c>
      <c r="C305" s="3" t="inlineStr">
        <is>
          <t>Nguyễn Hoàng Phú</t>
        </is>
      </c>
      <c r="D305" s="2" t="inlineStr">
        <is>
          <t>HCM</t>
        </is>
      </c>
      <c r="E305" s="2" t="inlineStr">
        <is>
          <t>BẢO TRÂM</t>
        </is>
      </c>
      <c r="F305" s="2" t="inlineStr">
        <is>
          <t>Shopee</t>
        </is>
      </c>
      <c r="G305" s="2" t="inlineStr">
        <is>
          <t>KS2-250</t>
        </is>
      </c>
      <c r="H305" s="3" t="inlineStr">
        <is>
          <t>Kìm chết KS2-250</t>
        </is>
      </c>
      <c r="I305" s="4" t="n">
        <v>186000</v>
      </c>
      <c r="J305" s="4" t="n"/>
      <c r="K305" s="4">
        <f>IF(AND(ISNUMBER(J305),ISNUMBER(I305)),J305-I305,"")</f>
        <v/>
      </c>
      <c r="L305" s="5">
        <f>IF(AND(ISNUMBER(J305),ISNUMBER(I305),I305&gt;0),(J305-I305)/I305,"")</f>
        <v/>
      </c>
      <c r="M305" s="2">
        <f>IF(L305="","",IF(L305&lt;-0.05,"Bán phá giá",IF(L305&gt;0.05,"Bán cao hơn","Đúng giá niêm yết")))</f>
        <v/>
      </c>
      <c r="N305" s="2" t="n"/>
      <c r="O305" s="3" t="n"/>
      <c r="P305" s="3" t="n"/>
    </row>
    <row r="306">
      <c r="A306" s="2" t="n">
        <v>305</v>
      </c>
      <c r="B306" s="2" t="inlineStr">
        <is>
          <t>KH002</t>
        </is>
      </c>
      <c r="C306" s="3" t="inlineStr">
        <is>
          <t>Nguyễn Hoàng Phú</t>
        </is>
      </c>
      <c r="D306" s="2" t="inlineStr">
        <is>
          <t>HCM</t>
        </is>
      </c>
      <c r="E306" s="2" t="inlineStr">
        <is>
          <t>BẢO TRÂM</t>
        </is>
      </c>
      <c r="F306" s="2" t="inlineStr">
        <is>
          <t>Shopee</t>
        </is>
      </c>
      <c r="G306" s="2" t="inlineStr">
        <is>
          <t>KS5-254</t>
        </is>
      </c>
      <c r="H306" s="3" t="inlineStr">
        <is>
          <t>Kìm chết mỏ dẹt KS5-254</t>
        </is>
      </c>
      <c r="I306" s="4" t="n">
        <v>220000</v>
      </c>
      <c r="J306" s="4" t="n"/>
      <c r="K306" s="4">
        <f>IF(AND(ISNUMBER(J306),ISNUMBER(I306)),J306-I306,"")</f>
        <v/>
      </c>
      <c r="L306" s="5">
        <f>IF(AND(ISNUMBER(J306),ISNUMBER(I306),I306&gt;0),(J306-I306)/I306,"")</f>
        <v/>
      </c>
      <c r="M306" s="2">
        <f>IF(L306="","",IF(L306&lt;-0.05,"Bán phá giá",IF(L306&gt;0.05,"Bán cao hơn","Đúng giá niêm yết")))</f>
        <v/>
      </c>
      <c r="N306" s="2" t="n"/>
      <c r="O306" s="3" t="n"/>
      <c r="P306" s="3" t="n"/>
    </row>
    <row r="307">
      <c r="A307" s="2" t="n">
        <v>306</v>
      </c>
      <c r="B307" s="2" t="inlineStr">
        <is>
          <t>KH002</t>
        </is>
      </c>
      <c r="C307" s="3" t="inlineStr">
        <is>
          <t>Nguyễn Hoàng Phú</t>
        </is>
      </c>
      <c r="D307" s="2" t="inlineStr">
        <is>
          <t>HCM</t>
        </is>
      </c>
      <c r="E307" s="2" t="inlineStr">
        <is>
          <t>BẢO TRÂM</t>
        </is>
      </c>
      <c r="F307" s="2" t="inlineStr">
        <is>
          <t>Shopee</t>
        </is>
      </c>
      <c r="G307" s="2" t="inlineStr">
        <is>
          <t>KS4-260</t>
        </is>
      </c>
      <c r="H307" s="3" t="inlineStr">
        <is>
          <t>Kìm chết ngàm rộng 4 chế độ KS4-260</t>
        </is>
      </c>
      <c r="I307" s="4" t="n">
        <v>306000</v>
      </c>
      <c r="J307" s="4" t="n"/>
      <c r="K307" s="4">
        <f>IF(AND(ISNUMBER(J307),ISNUMBER(I307)),J307-I307,"")</f>
        <v/>
      </c>
      <c r="L307" s="5">
        <f>IF(AND(ISNUMBER(J307),ISNUMBER(I307),I307&gt;0),(J307-I307)/I307,"")</f>
        <v/>
      </c>
      <c r="M307" s="2">
        <f>IF(L307="","",IF(L307&lt;-0.05,"Bán phá giá",IF(L307&gt;0.05,"Bán cao hơn","Đúng giá niêm yết")))</f>
        <v/>
      </c>
      <c r="N307" s="2" t="n"/>
      <c r="O307" s="3" t="n"/>
      <c r="P307" s="3" t="n"/>
    </row>
    <row r="308">
      <c r="A308" s="2" t="n">
        <v>307</v>
      </c>
      <c r="B308" s="2" t="inlineStr">
        <is>
          <t>KH002</t>
        </is>
      </c>
      <c r="C308" s="3" t="inlineStr">
        <is>
          <t>Nguyễn Hoàng Phú</t>
        </is>
      </c>
      <c r="D308" s="2" t="inlineStr">
        <is>
          <t>HCM</t>
        </is>
      </c>
      <c r="E308" s="2" t="inlineStr">
        <is>
          <t>BẢO TRÂM</t>
        </is>
      </c>
      <c r="F308" s="2" t="inlineStr">
        <is>
          <t>Shopee</t>
        </is>
      </c>
      <c r="G308" s="2" t="inlineStr">
        <is>
          <t>KS-264</t>
        </is>
      </c>
      <c r="H308" s="3" t="inlineStr">
        <is>
          <t>Kìm chết ngàm rộng KS-264</t>
        </is>
      </c>
      <c r="I308" s="4" t="n">
        <v>352000</v>
      </c>
      <c r="J308" s="4" t="n"/>
      <c r="K308" s="4">
        <f>IF(AND(ISNUMBER(J308),ISNUMBER(I308)),J308-I308,"")</f>
        <v/>
      </c>
      <c r="L308" s="5">
        <f>IF(AND(ISNUMBER(J308),ISNUMBER(I308),I308&gt;0),(J308-I308)/I308,"")</f>
        <v/>
      </c>
      <c r="M308" s="2">
        <f>IF(L308="","",IF(L308&lt;-0.05,"Bán phá giá",IF(L308&gt;0.05,"Bán cao hơn","Đúng giá niêm yết")))</f>
        <v/>
      </c>
      <c r="N308" s="2" t="n"/>
      <c r="O308" s="3" t="n"/>
      <c r="P308" s="3" t="n"/>
    </row>
    <row r="309">
      <c r="A309" s="2" t="n">
        <v>308</v>
      </c>
      <c r="B309" s="2" t="inlineStr">
        <is>
          <t>KH002</t>
        </is>
      </c>
      <c r="C309" s="3" t="inlineStr">
        <is>
          <t>Nguyễn Hoàng Phú</t>
        </is>
      </c>
      <c r="D309" s="2" t="inlineStr">
        <is>
          <t>HCM</t>
        </is>
      </c>
      <c r="E309" s="2" t="inlineStr">
        <is>
          <t>BẢO TRÂM</t>
        </is>
      </c>
      <c r="F309" s="2" t="inlineStr">
        <is>
          <t>Shopee</t>
        </is>
      </c>
      <c r="G309" s="2" t="inlineStr">
        <is>
          <t>KS3-208</t>
        </is>
      </c>
      <c r="H309" s="3" t="inlineStr">
        <is>
          <t>Kìm chữ C KS3-208</t>
        </is>
      </c>
      <c r="I309" s="4" t="n">
        <v>150000</v>
      </c>
      <c r="J309" s="4" t="n"/>
      <c r="K309" s="4">
        <f>IF(AND(ISNUMBER(J309),ISNUMBER(I309)),J309-I309,"")</f>
        <v/>
      </c>
      <c r="L309" s="5">
        <f>IF(AND(ISNUMBER(J309),ISNUMBER(I309),I309&gt;0),(J309-I309)/I309,"")</f>
        <v/>
      </c>
      <c r="M309" s="2">
        <f>IF(L309="","",IF(L309&lt;-0.05,"Bán phá giá",IF(L309&gt;0.05,"Bán cao hơn","Đúng giá niêm yết")))</f>
        <v/>
      </c>
      <c r="N309" s="2" t="n"/>
      <c r="O309" s="3" t="n"/>
      <c r="P309" s="3" t="n"/>
    </row>
    <row r="310">
      <c r="A310" s="2" t="n">
        <v>309</v>
      </c>
      <c r="B310" s="2" t="inlineStr">
        <is>
          <t>KH002</t>
        </is>
      </c>
      <c r="C310" s="3" t="inlineStr">
        <is>
          <t>Nguyễn Hoàng Phú</t>
        </is>
      </c>
      <c r="D310" s="2" t="inlineStr">
        <is>
          <t>HCM</t>
        </is>
      </c>
      <c r="E310" s="2" t="inlineStr">
        <is>
          <t>BẢO TRÂM</t>
        </is>
      </c>
      <c r="F310" s="2" t="inlineStr">
        <is>
          <t>Shopee</t>
        </is>
      </c>
      <c r="G310" s="2" t="inlineStr">
        <is>
          <t>KJ-105</t>
        </is>
      </c>
      <c r="H310" s="3" t="inlineStr">
        <is>
          <t>Kìm rút đinh rút KJ-105</t>
        </is>
      </c>
      <c r="I310" s="4" t="n">
        <v>154000</v>
      </c>
      <c r="J310" s="4" t="n"/>
      <c r="K310" s="4">
        <f>IF(AND(ISNUMBER(J310),ISNUMBER(I310)),J310-I310,"")</f>
        <v/>
      </c>
      <c r="L310" s="5">
        <f>IF(AND(ISNUMBER(J310),ISNUMBER(I310),I310&gt;0),(J310-I310)/I310,"")</f>
        <v/>
      </c>
      <c r="M310" s="2">
        <f>IF(L310="","",IF(L310&lt;-0.05,"Bán phá giá",IF(L310&gt;0.05,"Bán cao hơn","Đúng giá niêm yết")))</f>
        <v/>
      </c>
      <c r="N310" s="2" t="n"/>
      <c r="O310" s="3" t="n"/>
      <c r="P310" s="3" t="n"/>
    </row>
    <row r="311">
      <c r="A311" s="2" t="n">
        <v>310</v>
      </c>
      <c r="B311" s="2" t="inlineStr">
        <is>
          <t>KH002</t>
        </is>
      </c>
      <c r="C311" s="3" t="inlineStr">
        <is>
          <t>Nguyễn Hoàng Phú</t>
        </is>
      </c>
      <c r="D311" s="2" t="inlineStr">
        <is>
          <t>HCM</t>
        </is>
      </c>
      <c r="E311" s="2" t="inlineStr">
        <is>
          <t>BẢO TRÂM</t>
        </is>
      </c>
      <c r="F311" s="2" t="inlineStr">
        <is>
          <t>Shopee</t>
        </is>
      </c>
      <c r="G311" s="2" t="inlineStr">
        <is>
          <t>KND180</t>
        </is>
      </c>
      <c r="H311" s="3" t="inlineStr">
        <is>
          <t>Kìm tuốt dây điện đa năng KND180</t>
        </is>
      </c>
      <c r="I311" s="4" t="n">
        <v>158000</v>
      </c>
      <c r="J311" s="4" t="n"/>
      <c r="K311" s="4">
        <f>IF(AND(ISNUMBER(J311),ISNUMBER(I311)),J311-I311,"")</f>
        <v/>
      </c>
      <c r="L311" s="5">
        <f>IF(AND(ISNUMBER(J311),ISNUMBER(I311),I311&gt;0),(J311-I311)/I311,"")</f>
        <v/>
      </c>
      <c r="M311" s="2">
        <f>IF(L311="","",IF(L311&lt;-0.05,"Bán phá giá",IF(L311&gt;0.05,"Bán cao hơn","Đúng giá niêm yết")))</f>
        <v/>
      </c>
      <c r="N311" s="2" t="n"/>
      <c r="O311" s="3" t="n"/>
      <c r="P311" s="3" t="n"/>
    </row>
    <row r="312">
      <c r="A312" s="2" t="n">
        <v>311</v>
      </c>
      <c r="B312" s="2" t="inlineStr">
        <is>
          <t>KH002</t>
        </is>
      </c>
      <c r="C312" s="3" t="inlineStr">
        <is>
          <t>Nguyễn Hoàng Phú</t>
        </is>
      </c>
      <c r="D312" s="2" t="inlineStr">
        <is>
          <t>HCM</t>
        </is>
      </c>
      <c r="E312" s="2" t="inlineStr">
        <is>
          <t>BẢO TRÂM</t>
        </is>
      </c>
      <c r="F312" s="2" t="inlineStr">
        <is>
          <t>Shopee</t>
        </is>
      </c>
      <c r="G312" s="2" t="inlineStr">
        <is>
          <t>KND205</t>
        </is>
      </c>
      <c r="H312" s="3" t="inlineStr">
        <is>
          <t>Kìm tuốt dây điện đa năng KND205</t>
        </is>
      </c>
      <c r="I312" s="4" t="n">
        <v>199000</v>
      </c>
      <c r="J312" s="4" t="n"/>
      <c r="K312" s="4">
        <f>IF(AND(ISNUMBER(J312),ISNUMBER(I312)),J312-I312,"")</f>
        <v/>
      </c>
      <c r="L312" s="5">
        <f>IF(AND(ISNUMBER(J312),ISNUMBER(I312),I312&gt;0),(J312-I312)/I312,"")</f>
        <v/>
      </c>
      <c r="M312" s="2">
        <f>IF(L312="","",IF(L312&lt;-0.05,"Bán phá giá",IF(L312&gt;0.05,"Bán cao hơn","Đúng giá niêm yết")))</f>
        <v/>
      </c>
      <c r="N312" s="2" t="n"/>
      <c r="O312" s="3" t="n"/>
      <c r="P312" s="3" t="n"/>
    </row>
    <row r="313">
      <c r="A313" s="2" t="n">
        <v>312</v>
      </c>
      <c r="B313" s="2" t="inlineStr">
        <is>
          <t>KH002</t>
        </is>
      </c>
      <c r="C313" s="3" t="inlineStr">
        <is>
          <t>Nguyễn Hoàng Phú</t>
        </is>
      </c>
      <c r="D313" s="2" t="inlineStr">
        <is>
          <t>HCM</t>
        </is>
      </c>
      <c r="E313" s="2" t="inlineStr">
        <is>
          <t>BẢO TRÂM</t>
        </is>
      </c>
      <c r="F313" s="2" t="inlineStr">
        <is>
          <t>Shopee</t>
        </is>
      </c>
      <c r="G313" s="2" t="inlineStr">
        <is>
          <t>KBM2-06*160</t>
        </is>
      </c>
      <c r="H313" s="3" t="inlineStr">
        <is>
          <t>Khoan bê tông chuôi lục giác KBM2-06*160</t>
        </is>
      </c>
      <c r="I313" s="4" t="n">
        <v>29000</v>
      </c>
      <c r="J313" s="4" t="n"/>
      <c r="K313" s="4">
        <f>IF(AND(ISNUMBER(J313),ISNUMBER(I313)),J313-I313,"")</f>
        <v/>
      </c>
      <c r="L313" s="5">
        <f>IF(AND(ISNUMBER(J313),ISNUMBER(I313),I313&gt;0),(J313-I313)/I313,"")</f>
        <v/>
      </c>
      <c r="M313" s="2">
        <f>IF(L313="","",IF(L313&lt;-0.05,"Bán phá giá",IF(L313&gt;0.05,"Bán cao hơn","Đúng giá niêm yết")))</f>
        <v/>
      </c>
      <c r="N313" s="2" t="n"/>
      <c r="O313" s="3" t="n"/>
      <c r="P313" s="3" t="n"/>
    </row>
    <row r="314">
      <c r="A314" s="2" t="n">
        <v>313</v>
      </c>
      <c r="B314" s="2" t="inlineStr">
        <is>
          <t>KH002</t>
        </is>
      </c>
      <c r="C314" s="3" t="inlineStr">
        <is>
          <t>Nguyễn Hoàng Phú</t>
        </is>
      </c>
      <c r="D314" s="2" t="inlineStr">
        <is>
          <t>HCM</t>
        </is>
      </c>
      <c r="E314" s="2" t="inlineStr">
        <is>
          <t>BẢO TRÂM</t>
        </is>
      </c>
      <c r="F314" s="2" t="inlineStr">
        <is>
          <t>Shopee</t>
        </is>
      </c>
      <c r="G314" s="2" t="inlineStr">
        <is>
          <t>KBM2-08*160</t>
        </is>
      </c>
      <c r="H314" s="3" t="inlineStr">
        <is>
          <t>Khoan bê tông chuôi lục giác KBM2-08*160</t>
        </is>
      </c>
      <c r="I314" s="4" t="n">
        <v>32000</v>
      </c>
      <c r="J314" s="4" t="n"/>
      <c r="K314" s="4">
        <f>IF(AND(ISNUMBER(J314),ISNUMBER(I314)),J314-I314,"")</f>
        <v/>
      </c>
      <c r="L314" s="5">
        <f>IF(AND(ISNUMBER(J314),ISNUMBER(I314),I314&gt;0),(J314-I314)/I314,"")</f>
        <v/>
      </c>
      <c r="M314" s="2">
        <f>IF(L314="","",IF(L314&lt;-0.05,"Bán phá giá",IF(L314&gt;0.05,"Bán cao hơn","Đúng giá niêm yết")))</f>
        <v/>
      </c>
      <c r="N314" s="2" t="n"/>
      <c r="O314" s="3" t="n"/>
      <c r="P314" s="3" t="n"/>
    </row>
    <row r="315">
      <c r="A315" s="2" t="n">
        <v>314</v>
      </c>
      <c r="B315" s="2" t="inlineStr">
        <is>
          <t>KH002</t>
        </is>
      </c>
      <c r="C315" s="3" t="inlineStr">
        <is>
          <t>Nguyễn Hoàng Phú</t>
        </is>
      </c>
      <c r="D315" s="2" t="inlineStr">
        <is>
          <t>HCM</t>
        </is>
      </c>
      <c r="E315" s="2" t="inlineStr">
        <is>
          <t>BẢO TRÂM</t>
        </is>
      </c>
      <c r="F315" s="2" t="inlineStr">
        <is>
          <t>Shopee</t>
        </is>
      </c>
      <c r="G315" s="2" t="inlineStr">
        <is>
          <t>KBM2-10*160</t>
        </is>
      </c>
      <c r="H315" s="3" t="inlineStr">
        <is>
          <t>Khoan bê tông chuôi lục giác KBM2-10*160</t>
        </is>
      </c>
      <c r="I315" s="4" t="n">
        <v>37000</v>
      </c>
      <c r="J315" s="4" t="n"/>
      <c r="K315" s="4">
        <f>IF(AND(ISNUMBER(J315),ISNUMBER(I315)),J315-I315,"")</f>
        <v/>
      </c>
      <c r="L315" s="5">
        <f>IF(AND(ISNUMBER(J315),ISNUMBER(I315),I315&gt;0),(J315-I315)/I315,"")</f>
        <v/>
      </c>
      <c r="M315" s="2">
        <f>IF(L315="","",IF(L315&lt;-0.05,"Bán phá giá",IF(L315&gt;0.05,"Bán cao hơn","Đúng giá niêm yết")))</f>
        <v/>
      </c>
      <c r="N315" s="2" t="n"/>
      <c r="O315" s="3" t="n"/>
      <c r="P315" s="3" t="n"/>
    </row>
    <row r="316">
      <c r="A316" s="2" t="n">
        <v>315</v>
      </c>
      <c r="B316" s="2" t="inlineStr">
        <is>
          <t>KH002</t>
        </is>
      </c>
      <c r="C316" s="3" t="inlineStr">
        <is>
          <t>Nguyễn Hoàng Phú</t>
        </is>
      </c>
      <c r="D316" s="2" t="inlineStr">
        <is>
          <t>HCM</t>
        </is>
      </c>
      <c r="E316" s="2" t="inlineStr">
        <is>
          <t>BẢO TRÂM</t>
        </is>
      </c>
      <c r="F316" s="2" t="inlineStr">
        <is>
          <t>Shopee</t>
        </is>
      </c>
      <c r="G316" s="2" t="inlineStr">
        <is>
          <t>KBY3-020CO</t>
        </is>
      </c>
      <c r="H316" s="3" t="inlineStr">
        <is>
          <t>Khoan inox chuôi lục KBY3-020CO</t>
        </is>
      </c>
      <c r="I316" s="4" t="n">
        <v>18000</v>
      </c>
      <c r="J316" s="4" t="n"/>
      <c r="K316" s="4">
        <f>IF(AND(ISNUMBER(J316),ISNUMBER(I316)),J316-I316,"")</f>
        <v/>
      </c>
      <c r="L316" s="5">
        <f>IF(AND(ISNUMBER(J316),ISNUMBER(I316),I316&gt;0),(J316-I316)/I316,"")</f>
        <v/>
      </c>
      <c r="M316" s="2">
        <f>IF(L316="","",IF(L316&lt;-0.05,"Bán phá giá",IF(L316&gt;0.05,"Bán cao hơn","Đúng giá niêm yết")))</f>
        <v/>
      </c>
      <c r="N316" s="2" t="n"/>
      <c r="O316" s="3" t="n"/>
      <c r="P316" s="3" t="n"/>
    </row>
    <row r="317">
      <c r="A317" s="2" t="n">
        <v>316</v>
      </c>
      <c r="B317" s="2" t="inlineStr">
        <is>
          <t>KH002</t>
        </is>
      </c>
      <c r="C317" s="3" t="inlineStr">
        <is>
          <t>Nguyễn Hoàng Phú</t>
        </is>
      </c>
      <c r="D317" s="2" t="inlineStr">
        <is>
          <t>HCM</t>
        </is>
      </c>
      <c r="E317" s="2" t="inlineStr">
        <is>
          <t>BẢO TRÂM</t>
        </is>
      </c>
      <c r="F317" s="2" t="inlineStr">
        <is>
          <t>Shopee</t>
        </is>
      </c>
      <c r="G317" s="2" t="inlineStr">
        <is>
          <t>KBY3-025CO</t>
        </is>
      </c>
      <c r="H317" s="3" t="inlineStr">
        <is>
          <t>Khoan inox chuôi lục KBY3-025CO</t>
        </is>
      </c>
      <c r="I317" s="4" t="n">
        <v>25500</v>
      </c>
      <c r="J317" s="4" t="n"/>
      <c r="K317" s="4">
        <f>IF(AND(ISNUMBER(J317),ISNUMBER(I317)),J317-I317,"")</f>
        <v/>
      </c>
      <c r="L317" s="5">
        <f>IF(AND(ISNUMBER(J317),ISNUMBER(I317),I317&gt;0),(J317-I317)/I317,"")</f>
        <v/>
      </c>
      <c r="M317" s="2">
        <f>IF(L317="","",IF(L317&lt;-0.05,"Bán phá giá",IF(L317&gt;0.05,"Bán cao hơn","Đúng giá niêm yết")))</f>
        <v/>
      </c>
      <c r="N317" s="2" t="n"/>
      <c r="O317" s="3" t="n"/>
      <c r="P317" s="3" t="n"/>
    </row>
    <row r="318">
      <c r="A318" s="2" t="n">
        <v>317</v>
      </c>
      <c r="B318" s="2" t="inlineStr">
        <is>
          <t>KH002</t>
        </is>
      </c>
      <c r="C318" s="3" t="inlineStr">
        <is>
          <t>Nguyễn Hoàng Phú</t>
        </is>
      </c>
      <c r="D318" s="2" t="inlineStr">
        <is>
          <t>HCM</t>
        </is>
      </c>
      <c r="E318" s="2" t="inlineStr">
        <is>
          <t>BẢO TRÂM</t>
        </is>
      </c>
      <c r="F318" s="2" t="inlineStr">
        <is>
          <t>Shopee</t>
        </is>
      </c>
      <c r="G318" s="2" t="inlineStr">
        <is>
          <t>KBY3-030CO</t>
        </is>
      </c>
      <c r="H318" s="3" t="inlineStr">
        <is>
          <t>Khoan inox chuôi lục KBY3-030CO</t>
        </is>
      </c>
      <c r="I318" s="4" t="n">
        <v>28500</v>
      </c>
      <c r="J318" s="4" t="n"/>
      <c r="K318" s="4">
        <f>IF(AND(ISNUMBER(J318),ISNUMBER(I318)),J318-I318,"")</f>
        <v/>
      </c>
      <c r="L318" s="5">
        <f>IF(AND(ISNUMBER(J318),ISNUMBER(I318),I318&gt;0),(J318-I318)/I318,"")</f>
        <v/>
      </c>
      <c r="M318" s="2">
        <f>IF(L318="","",IF(L318&lt;-0.05,"Bán phá giá",IF(L318&gt;0.05,"Bán cao hơn","Đúng giá niêm yết")))</f>
        <v/>
      </c>
      <c r="N318" s="2" t="n"/>
      <c r="O318" s="3" t="n"/>
      <c r="P318" s="3" t="n"/>
    </row>
    <row r="319">
      <c r="A319" s="2" t="n">
        <v>318</v>
      </c>
      <c r="B319" s="2" t="inlineStr">
        <is>
          <t>KH002</t>
        </is>
      </c>
      <c r="C319" s="3" t="inlineStr">
        <is>
          <t>Nguyễn Hoàng Phú</t>
        </is>
      </c>
      <c r="D319" s="2" t="inlineStr">
        <is>
          <t>HCM</t>
        </is>
      </c>
      <c r="E319" s="2" t="inlineStr">
        <is>
          <t>BẢO TRÂM</t>
        </is>
      </c>
      <c r="F319" s="2" t="inlineStr">
        <is>
          <t>Shopee</t>
        </is>
      </c>
      <c r="G319" s="2" t="inlineStr">
        <is>
          <t>KBY3-032CO</t>
        </is>
      </c>
      <c r="H319" s="3" t="inlineStr">
        <is>
          <t>Khoan inox chuôi lục KBY3-032CO</t>
        </is>
      </c>
      <c r="I319" s="4" t="n">
        <v>32000</v>
      </c>
      <c r="J319" s="4" t="n"/>
      <c r="K319" s="4">
        <f>IF(AND(ISNUMBER(J319),ISNUMBER(I319)),J319-I319,"")</f>
        <v/>
      </c>
      <c r="L319" s="5">
        <f>IF(AND(ISNUMBER(J319),ISNUMBER(I319),I319&gt;0),(J319-I319)/I319,"")</f>
        <v/>
      </c>
      <c r="M319" s="2">
        <f>IF(L319="","",IF(L319&lt;-0.05,"Bán phá giá",IF(L319&gt;0.05,"Bán cao hơn","Đúng giá niêm yết")))</f>
        <v/>
      </c>
      <c r="N319" s="2" t="n"/>
      <c r="O319" s="3" t="n"/>
      <c r="P319" s="3" t="n"/>
    </row>
    <row r="320">
      <c r="A320" s="2" t="n">
        <v>319</v>
      </c>
      <c r="B320" s="2" t="inlineStr">
        <is>
          <t>KH002</t>
        </is>
      </c>
      <c r="C320" s="3" t="inlineStr">
        <is>
          <t>Nguyễn Hoàng Phú</t>
        </is>
      </c>
      <c r="D320" s="2" t="inlineStr">
        <is>
          <t>HCM</t>
        </is>
      </c>
      <c r="E320" s="2" t="inlineStr">
        <is>
          <t>BẢO TRÂM</t>
        </is>
      </c>
      <c r="F320" s="2" t="inlineStr">
        <is>
          <t>Shopee</t>
        </is>
      </c>
      <c r="G320" s="2" t="inlineStr">
        <is>
          <t>KBY3-035CO</t>
        </is>
      </c>
      <c r="H320" s="3" t="inlineStr">
        <is>
          <t>Khoan inox chuôi lục KBY3-035CO</t>
        </is>
      </c>
      <c r="I320" s="4" t="n">
        <v>33000</v>
      </c>
      <c r="J320" s="4" t="n"/>
      <c r="K320" s="4">
        <f>IF(AND(ISNUMBER(J320),ISNUMBER(I320)),J320-I320,"")</f>
        <v/>
      </c>
      <c r="L320" s="5">
        <f>IF(AND(ISNUMBER(J320),ISNUMBER(I320),I320&gt;0),(J320-I320)/I320,"")</f>
        <v/>
      </c>
      <c r="M320" s="2">
        <f>IF(L320="","",IF(L320&lt;-0.05,"Bán phá giá",IF(L320&gt;0.05,"Bán cao hơn","Đúng giá niêm yết")))</f>
        <v/>
      </c>
      <c r="N320" s="2" t="n"/>
      <c r="O320" s="3" t="n"/>
      <c r="P320" s="3" t="n"/>
    </row>
    <row r="321">
      <c r="A321" s="2" t="n">
        <v>320</v>
      </c>
      <c r="B321" s="2" t="inlineStr">
        <is>
          <t>KH002</t>
        </is>
      </c>
      <c r="C321" s="3" t="inlineStr">
        <is>
          <t>Nguyễn Hoàng Phú</t>
        </is>
      </c>
      <c r="D321" s="2" t="inlineStr">
        <is>
          <t>HCM</t>
        </is>
      </c>
      <c r="E321" s="2" t="inlineStr">
        <is>
          <t>BẢO TRÂM</t>
        </is>
      </c>
      <c r="F321" s="2" t="inlineStr">
        <is>
          <t>Shopee</t>
        </is>
      </c>
      <c r="G321" s="2" t="inlineStr">
        <is>
          <t>KBY3-040CO</t>
        </is>
      </c>
      <c r="H321" s="3" t="inlineStr">
        <is>
          <t>Khoan inox chuôi lục KBY3-040CO</t>
        </is>
      </c>
      <c r="I321" s="4" t="n">
        <v>36000</v>
      </c>
      <c r="J321" s="4" t="n"/>
      <c r="K321" s="4">
        <f>IF(AND(ISNUMBER(J321),ISNUMBER(I321)),J321-I321,"")</f>
        <v/>
      </c>
      <c r="L321" s="5">
        <f>IF(AND(ISNUMBER(J321),ISNUMBER(I321),I321&gt;0),(J321-I321)/I321,"")</f>
        <v/>
      </c>
      <c r="M321" s="2">
        <f>IF(L321="","",IF(L321&lt;-0.05,"Bán phá giá",IF(L321&gt;0.05,"Bán cao hơn","Đúng giá niêm yết")))</f>
        <v/>
      </c>
      <c r="N321" s="2" t="n"/>
      <c r="O321" s="3" t="n"/>
      <c r="P321" s="3" t="n"/>
    </row>
    <row r="322">
      <c r="A322" s="2" t="n">
        <v>321</v>
      </c>
      <c r="B322" s="2" t="inlineStr">
        <is>
          <t>KH002</t>
        </is>
      </c>
      <c r="C322" s="3" t="inlineStr">
        <is>
          <t>Nguyễn Hoàng Phú</t>
        </is>
      </c>
      <c r="D322" s="2" t="inlineStr">
        <is>
          <t>HCM</t>
        </is>
      </c>
      <c r="E322" s="2" t="inlineStr">
        <is>
          <t>BẢO TRÂM</t>
        </is>
      </c>
      <c r="F322" s="2" t="inlineStr">
        <is>
          <t>Shopee</t>
        </is>
      </c>
      <c r="G322" s="2" t="inlineStr">
        <is>
          <t>KBY3-042CO</t>
        </is>
      </c>
      <c r="H322" s="3" t="inlineStr">
        <is>
          <t>Khoan inox chuôi lục KBY3-042CO</t>
        </is>
      </c>
      <c r="I322" s="4" t="n">
        <v>41000</v>
      </c>
      <c r="J322" s="4" t="n"/>
      <c r="K322" s="4">
        <f>IF(AND(ISNUMBER(J322),ISNUMBER(I322)),J322-I322,"")</f>
        <v/>
      </c>
      <c r="L322" s="5">
        <f>IF(AND(ISNUMBER(J322),ISNUMBER(I322),I322&gt;0),(J322-I322)/I322,"")</f>
        <v/>
      </c>
      <c r="M322" s="2">
        <f>IF(L322="","",IF(L322&lt;-0.05,"Bán phá giá",IF(L322&gt;0.05,"Bán cao hơn","Đúng giá niêm yết")))</f>
        <v/>
      </c>
      <c r="N322" s="2" t="n"/>
      <c r="O322" s="3" t="n"/>
      <c r="P322" s="3" t="n"/>
    </row>
    <row r="323">
      <c r="A323" s="2" t="n">
        <v>322</v>
      </c>
      <c r="B323" s="2" t="inlineStr">
        <is>
          <t>KH002</t>
        </is>
      </c>
      <c r="C323" s="3" t="inlineStr">
        <is>
          <t>Nguyễn Hoàng Phú</t>
        </is>
      </c>
      <c r="D323" s="2" t="inlineStr">
        <is>
          <t>HCM</t>
        </is>
      </c>
      <c r="E323" s="2" t="inlineStr">
        <is>
          <t>BẢO TRÂM</t>
        </is>
      </c>
      <c r="F323" s="2" t="inlineStr">
        <is>
          <t>Shopee</t>
        </is>
      </c>
      <c r="G323" s="2" t="inlineStr">
        <is>
          <t>KBY3-045CO</t>
        </is>
      </c>
      <c r="H323" s="3" t="inlineStr">
        <is>
          <t>Khoan inox chuôi lục KBY3-045CO</t>
        </is>
      </c>
      <c r="I323" s="4" t="n">
        <v>29500</v>
      </c>
      <c r="J323" s="4" t="n"/>
      <c r="K323" s="4">
        <f>IF(AND(ISNUMBER(J323),ISNUMBER(I323)),J323-I323,"")</f>
        <v/>
      </c>
      <c r="L323" s="5">
        <f>IF(AND(ISNUMBER(J323),ISNUMBER(I323),I323&gt;0),(J323-I323)/I323,"")</f>
        <v/>
      </c>
      <c r="M323" s="2">
        <f>IF(L323="","",IF(L323&lt;-0.05,"Bán phá giá",IF(L323&gt;0.05,"Bán cao hơn","Đúng giá niêm yết")))</f>
        <v/>
      </c>
      <c r="N323" s="2" t="n"/>
      <c r="O323" s="3" t="n"/>
      <c r="P323" s="3" t="n"/>
    </row>
    <row r="324">
      <c r="A324" s="2" t="n">
        <v>323</v>
      </c>
      <c r="B324" s="2" t="inlineStr">
        <is>
          <t>KH002</t>
        </is>
      </c>
      <c r="C324" s="3" t="inlineStr">
        <is>
          <t>Nguyễn Hoàng Phú</t>
        </is>
      </c>
      <c r="D324" s="2" t="inlineStr">
        <is>
          <t>HCM</t>
        </is>
      </c>
      <c r="E324" s="2" t="inlineStr">
        <is>
          <t>BẢO TRÂM</t>
        </is>
      </c>
      <c r="F324" s="2" t="inlineStr">
        <is>
          <t>Shopee</t>
        </is>
      </c>
      <c r="G324" s="2" t="inlineStr">
        <is>
          <t>KBY3-050CO</t>
        </is>
      </c>
      <c r="H324" s="3" t="inlineStr">
        <is>
          <t>Khoan inox chuôi lục KBY3-050CO</t>
        </is>
      </c>
      <c r="I324" s="4" t="n">
        <v>48000</v>
      </c>
      <c r="J324" s="4" t="n"/>
      <c r="K324" s="4">
        <f>IF(AND(ISNUMBER(J324),ISNUMBER(I324)),J324-I324,"")</f>
        <v/>
      </c>
      <c r="L324" s="5">
        <f>IF(AND(ISNUMBER(J324),ISNUMBER(I324),I324&gt;0),(J324-I324)/I324,"")</f>
        <v/>
      </c>
      <c r="M324" s="2">
        <f>IF(L324="","",IF(L324&lt;-0.05,"Bán phá giá",IF(L324&gt;0.05,"Bán cao hơn","Đúng giá niêm yết")))</f>
        <v/>
      </c>
      <c r="N324" s="2" t="n"/>
      <c r="O324" s="3" t="n"/>
      <c r="P324" s="3" t="n"/>
    </row>
    <row r="325">
      <c r="A325" s="2" t="n">
        <v>324</v>
      </c>
      <c r="B325" s="2" t="inlineStr">
        <is>
          <t>KH002</t>
        </is>
      </c>
      <c r="C325" s="3" t="inlineStr">
        <is>
          <t>Nguyễn Hoàng Phú</t>
        </is>
      </c>
      <c r="D325" s="2" t="inlineStr">
        <is>
          <t>HCM</t>
        </is>
      </c>
      <c r="E325" s="2" t="inlineStr">
        <is>
          <t>BẢO TRÂM</t>
        </is>
      </c>
      <c r="F325" s="2" t="inlineStr">
        <is>
          <t>Shopee</t>
        </is>
      </c>
      <c r="G325" s="2" t="inlineStr">
        <is>
          <t>KBY3-055CO</t>
        </is>
      </c>
      <c r="H325" s="3" t="inlineStr">
        <is>
          <t>Khoan inox chuôi lục KBY3-055CO</t>
        </is>
      </c>
      <c r="I325" s="4" t="n">
        <v>46000</v>
      </c>
      <c r="J325" s="4" t="n"/>
      <c r="K325" s="4">
        <f>IF(AND(ISNUMBER(J325),ISNUMBER(I325)),J325-I325,"")</f>
        <v/>
      </c>
      <c r="L325" s="5">
        <f>IF(AND(ISNUMBER(J325),ISNUMBER(I325),I325&gt;0),(J325-I325)/I325,"")</f>
        <v/>
      </c>
      <c r="M325" s="2">
        <f>IF(L325="","",IF(L325&lt;-0.05,"Bán phá giá",IF(L325&gt;0.05,"Bán cao hơn","Đúng giá niêm yết")))</f>
        <v/>
      </c>
      <c r="N325" s="2" t="n"/>
      <c r="O325" s="3" t="n"/>
      <c r="P325" s="3" t="n"/>
    </row>
    <row r="326">
      <c r="A326" s="2" t="n">
        <v>325</v>
      </c>
      <c r="B326" s="2" t="inlineStr">
        <is>
          <t>KH002</t>
        </is>
      </c>
      <c r="C326" s="3" t="inlineStr">
        <is>
          <t>Nguyễn Hoàng Phú</t>
        </is>
      </c>
      <c r="D326" s="2" t="inlineStr">
        <is>
          <t>HCM</t>
        </is>
      </c>
      <c r="E326" s="2" t="inlineStr">
        <is>
          <t>BẢO TRÂM</t>
        </is>
      </c>
      <c r="F326" s="2" t="inlineStr">
        <is>
          <t>Shopee</t>
        </is>
      </c>
      <c r="G326" s="2" t="inlineStr">
        <is>
          <t>KBY3-060CO</t>
        </is>
      </c>
      <c r="H326" s="3" t="inlineStr">
        <is>
          <t>Khoan inox chuôi lục KBY3-060CO</t>
        </is>
      </c>
      <c r="I326" s="4" t="n">
        <v>59000</v>
      </c>
      <c r="J326" s="4" t="n"/>
      <c r="K326" s="4">
        <f>IF(AND(ISNUMBER(J326),ISNUMBER(I326)),J326-I326,"")</f>
        <v/>
      </c>
      <c r="L326" s="5">
        <f>IF(AND(ISNUMBER(J326),ISNUMBER(I326),I326&gt;0),(J326-I326)/I326,"")</f>
        <v/>
      </c>
      <c r="M326" s="2">
        <f>IF(L326="","",IF(L326&lt;-0.05,"Bán phá giá",IF(L326&gt;0.05,"Bán cao hơn","Đúng giá niêm yết")))</f>
        <v/>
      </c>
      <c r="N326" s="2" t="n"/>
      <c r="O326" s="3" t="n"/>
      <c r="P326" s="3" t="n"/>
    </row>
    <row r="327">
      <c r="A327" s="2" t="n">
        <v>326</v>
      </c>
      <c r="B327" s="2" t="inlineStr">
        <is>
          <t>KH002</t>
        </is>
      </c>
      <c r="C327" s="3" t="inlineStr">
        <is>
          <t>Nguyễn Hoàng Phú</t>
        </is>
      </c>
      <c r="D327" s="2" t="inlineStr">
        <is>
          <t>HCM</t>
        </is>
      </c>
      <c r="E327" s="2" t="inlineStr">
        <is>
          <t>BẢO TRÂM</t>
        </is>
      </c>
      <c r="F327" s="2" t="inlineStr">
        <is>
          <t>Shopee</t>
        </is>
      </c>
      <c r="G327" s="2" t="inlineStr">
        <is>
          <t>KBY3-065CO</t>
        </is>
      </c>
      <c r="H327" s="3" t="inlineStr">
        <is>
          <t>Khoan inox chuôi lục KBY3-065CO</t>
        </is>
      </c>
      <c r="I327" s="4" t="n">
        <v>38000</v>
      </c>
      <c r="J327" s="4" t="n"/>
      <c r="K327" s="4">
        <f>IF(AND(ISNUMBER(J327),ISNUMBER(I327)),J327-I327,"")</f>
        <v/>
      </c>
      <c r="L327" s="5">
        <f>IF(AND(ISNUMBER(J327),ISNUMBER(I327),I327&gt;0),(J327-I327)/I327,"")</f>
        <v/>
      </c>
      <c r="M327" s="2">
        <f>IF(L327="","",IF(L327&lt;-0.05,"Bán phá giá",IF(L327&gt;0.05,"Bán cao hơn","Đúng giá niêm yết")))</f>
        <v/>
      </c>
      <c r="N327" s="2" t="n"/>
      <c r="O327" s="3" t="n"/>
      <c r="P327" s="3" t="n"/>
    </row>
    <row r="328">
      <c r="A328" s="2" t="n">
        <v>327</v>
      </c>
      <c r="B328" s="2" t="inlineStr">
        <is>
          <t>KH002</t>
        </is>
      </c>
      <c r="C328" s="3" t="inlineStr">
        <is>
          <t>Nguyễn Hoàng Phú</t>
        </is>
      </c>
      <c r="D328" s="2" t="inlineStr">
        <is>
          <t>HCM</t>
        </is>
      </c>
      <c r="E328" s="2" t="inlineStr">
        <is>
          <t>BẢO TRÂM</t>
        </is>
      </c>
      <c r="F328" s="2" t="inlineStr">
        <is>
          <t>Shopee</t>
        </is>
      </c>
      <c r="G328" s="2" t="inlineStr">
        <is>
          <t>KBY3-070CO</t>
        </is>
      </c>
      <c r="H328" s="3" t="inlineStr">
        <is>
          <t>Khoan inox chuôi lục KBY3-070CO</t>
        </is>
      </c>
      <c r="I328" s="4" t="n">
        <v>57000</v>
      </c>
      <c r="J328" s="4" t="n"/>
      <c r="K328" s="4">
        <f>IF(AND(ISNUMBER(J328),ISNUMBER(I328)),J328-I328,"")</f>
        <v/>
      </c>
      <c r="L328" s="5">
        <f>IF(AND(ISNUMBER(J328),ISNUMBER(I328),I328&gt;0),(J328-I328)/I328,"")</f>
        <v/>
      </c>
      <c r="M328" s="2">
        <f>IF(L328="","",IF(L328&lt;-0.05,"Bán phá giá",IF(L328&gt;0.05,"Bán cao hơn","Đúng giá niêm yết")))</f>
        <v/>
      </c>
      <c r="N328" s="2" t="n"/>
      <c r="O328" s="3" t="n"/>
      <c r="P328" s="3" t="n"/>
    </row>
    <row r="329">
      <c r="A329" s="2" t="n">
        <v>328</v>
      </c>
      <c r="B329" s="2" t="inlineStr">
        <is>
          <t>KH002</t>
        </is>
      </c>
      <c r="C329" s="3" t="inlineStr">
        <is>
          <t>Nguyễn Hoàng Phú</t>
        </is>
      </c>
      <c r="D329" s="2" t="inlineStr">
        <is>
          <t>HCM</t>
        </is>
      </c>
      <c r="E329" s="2" t="inlineStr">
        <is>
          <t>BẢO TRÂM</t>
        </is>
      </c>
      <c r="F329" s="2" t="inlineStr">
        <is>
          <t>Shopee</t>
        </is>
      </c>
      <c r="G329" s="2" t="inlineStr">
        <is>
          <t>KBY3-080CO</t>
        </is>
      </c>
      <c r="H329" s="3" t="inlineStr">
        <is>
          <t>Khoan inox chuôi lục KBY3-080CO</t>
        </is>
      </c>
      <c r="I329" s="4" t="n">
        <v>75000</v>
      </c>
      <c r="J329" s="4" t="n"/>
      <c r="K329" s="4">
        <f>IF(AND(ISNUMBER(J329),ISNUMBER(I329)),J329-I329,"")</f>
        <v/>
      </c>
      <c r="L329" s="5">
        <f>IF(AND(ISNUMBER(J329),ISNUMBER(I329),I329&gt;0),(J329-I329)/I329,"")</f>
        <v/>
      </c>
      <c r="M329" s="2">
        <f>IF(L329="","",IF(L329&lt;-0.05,"Bán phá giá",IF(L329&gt;0.05,"Bán cao hơn","Đúng giá niêm yết")))</f>
        <v/>
      </c>
      <c r="N329" s="2" t="n"/>
      <c r="O329" s="3" t="n"/>
      <c r="P329" s="3" t="n"/>
    </row>
    <row r="330">
      <c r="A330" s="2" t="n">
        <v>329</v>
      </c>
      <c r="B330" s="2" t="inlineStr">
        <is>
          <t>KH002</t>
        </is>
      </c>
      <c r="C330" s="3" t="inlineStr">
        <is>
          <t>Nguyễn Hoàng Phú</t>
        </is>
      </c>
      <c r="D330" s="2" t="inlineStr">
        <is>
          <t>HCM</t>
        </is>
      </c>
      <c r="E330" s="2" t="inlineStr">
        <is>
          <t>BẢO TRÂM</t>
        </is>
      </c>
      <c r="F330" s="2" t="inlineStr">
        <is>
          <t>Shopee</t>
        </is>
      </c>
      <c r="G330" s="2" t="inlineStr">
        <is>
          <t>KBY3-090CO</t>
        </is>
      </c>
      <c r="H330" s="3" t="inlineStr">
        <is>
          <t>Khoan inox chuôi lục KBY3-090CO</t>
        </is>
      </c>
      <c r="I330" s="4" t="n">
        <v>66000</v>
      </c>
      <c r="J330" s="4" t="n"/>
      <c r="K330" s="4">
        <f>IF(AND(ISNUMBER(J330),ISNUMBER(I330)),J330-I330,"")</f>
        <v/>
      </c>
      <c r="L330" s="5">
        <f>IF(AND(ISNUMBER(J330),ISNUMBER(I330),I330&gt;0),(J330-I330)/I330,"")</f>
        <v/>
      </c>
      <c r="M330" s="2">
        <f>IF(L330="","",IF(L330&lt;-0.05,"Bán phá giá",IF(L330&gt;0.05,"Bán cao hơn","Đúng giá niêm yết")))</f>
        <v/>
      </c>
      <c r="N330" s="2" t="n"/>
      <c r="O330" s="3" t="n"/>
      <c r="P330" s="3" t="n"/>
    </row>
    <row r="331">
      <c r="A331" s="2" t="n">
        <v>330</v>
      </c>
      <c r="B331" s="2" t="inlineStr">
        <is>
          <t>KH002</t>
        </is>
      </c>
      <c r="C331" s="3" t="inlineStr">
        <is>
          <t>Nguyễn Hoàng Phú</t>
        </is>
      </c>
      <c r="D331" s="2" t="inlineStr">
        <is>
          <t>HCM</t>
        </is>
      </c>
      <c r="E331" s="2" t="inlineStr">
        <is>
          <t>BẢO TRÂM</t>
        </is>
      </c>
      <c r="F331" s="2" t="inlineStr">
        <is>
          <t>Shopee</t>
        </is>
      </c>
      <c r="G331" s="2" t="inlineStr">
        <is>
          <t>KBY3-100CO</t>
        </is>
      </c>
      <c r="H331" s="3" t="inlineStr">
        <is>
          <t>Khoan inox chuôi lục KBY3-100CO</t>
        </is>
      </c>
      <c r="I331" s="4" t="n">
        <v>115000</v>
      </c>
      <c r="J331" s="4" t="n"/>
      <c r="K331" s="4">
        <f>IF(AND(ISNUMBER(J331),ISNUMBER(I331)),J331-I331,"")</f>
        <v/>
      </c>
      <c r="L331" s="5">
        <f>IF(AND(ISNUMBER(J331),ISNUMBER(I331),I331&gt;0),(J331-I331)/I331,"")</f>
        <v/>
      </c>
      <c r="M331" s="2">
        <f>IF(L331="","",IF(L331&lt;-0.05,"Bán phá giá",IF(L331&gt;0.05,"Bán cao hơn","Đúng giá niêm yết")))</f>
        <v/>
      </c>
      <c r="N331" s="2" t="n"/>
      <c r="O331" s="3" t="n"/>
      <c r="P331" s="3" t="n"/>
    </row>
    <row r="332">
      <c r="A332" s="2" t="n">
        <v>331</v>
      </c>
      <c r="B332" s="2" t="inlineStr">
        <is>
          <t>KH002</t>
        </is>
      </c>
      <c r="C332" s="3" t="inlineStr">
        <is>
          <t>Nguyễn Hoàng Phú</t>
        </is>
      </c>
      <c r="D332" s="2" t="inlineStr">
        <is>
          <t>HCM</t>
        </is>
      </c>
      <c r="E332" s="2" t="inlineStr">
        <is>
          <t>BẢO TRÂM</t>
        </is>
      </c>
      <c r="F332" s="2" t="inlineStr">
        <is>
          <t>Shopee</t>
        </is>
      </c>
      <c r="G332" s="2" t="inlineStr">
        <is>
          <t>KBY2-010CO</t>
        </is>
      </c>
      <c r="H332" s="3" t="inlineStr">
        <is>
          <t>Khoan inox KingBlue KBY2-010CO</t>
        </is>
      </c>
      <c r="I332" s="4" t="n">
        <v>5800</v>
      </c>
      <c r="J332" s="4" t="n"/>
      <c r="K332" s="4">
        <f>IF(AND(ISNUMBER(J332),ISNUMBER(I332)),J332-I332,"")</f>
        <v/>
      </c>
      <c r="L332" s="5">
        <f>IF(AND(ISNUMBER(J332),ISNUMBER(I332),I332&gt;0),(J332-I332)/I332,"")</f>
        <v/>
      </c>
      <c r="M332" s="2">
        <f>IF(L332="","",IF(L332&lt;-0.05,"Bán phá giá",IF(L332&gt;0.05,"Bán cao hơn","Đúng giá niêm yết")))</f>
        <v/>
      </c>
      <c r="N332" s="2" t="n"/>
      <c r="O332" s="3" t="n"/>
      <c r="P332" s="3" t="n"/>
    </row>
    <row r="333">
      <c r="A333" s="2" t="n">
        <v>332</v>
      </c>
      <c r="B333" s="2" t="inlineStr">
        <is>
          <t>KH002</t>
        </is>
      </c>
      <c r="C333" s="3" t="inlineStr">
        <is>
          <t>Nguyễn Hoàng Phú</t>
        </is>
      </c>
      <c r="D333" s="2" t="inlineStr">
        <is>
          <t>HCM</t>
        </is>
      </c>
      <c r="E333" s="2" t="inlineStr">
        <is>
          <t>BẢO TRÂM</t>
        </is>
      </c>
      <c r="F333" s="2" t="inlineStr">
        <is>
          <t>Shopee</t>
        </is>
      </c>
      <c r="G333" s="2" t="inlineStr">
        <is>
          <t>KBY2-015CO</t>
        </is>
      </c>
      <c r="H333" s="3" t="inlineStr">
        <is>
          <t>Khoan inox KingBlue KBY2-015CO</t>
        </is>
      </c>
      <c r="I333" s="4" t="n">
        <v>6900</v>
      </c>
      <c r="J333" s="4" t="n"/>
      <c r="K333" s="4">
        <f>IF(AND(ISNUMBER(J333),ISNUMBER(I333)),J333-I333,"")</f>
        <v/>
      </c>
      <c r="L333" s="5">
        <f>IF(AND(ISNUMBER(J333),ISNUMBER(I333),I333&gt;0),(J333-I333)/I333,"")</f>
        <v/>
      </c>
      <c r="M333" s="2">
        <f>IF(L333="","",IF(L333&lt;-0.05,"Bán phá giá",IF(L333&gt;0.05,"Bán cao hơn","Đúng giá niêm yết")))</f>
        <v/>
      </c>
      <c r="N333" s="2" t="n"/>
      <c r="O333" s="3" t="n"/>
      <c r="P333" s="3" t="n"/>
    </row>
    <row r="334">
      <c r="A334" s="2" t="n">
        <v>333</v>
      </c>
      <c r="B334" s="2" t="inlineStr">
        <is>
          <t>KH002</t>
        </is>
      </c>
      <c r="C334" s="3" t="inlineStr">
        <is>
          <t>Nguyễn Hoàng Phú</t>
        </is>
      </c>
      <c r="D334" s="2" t="inlineStr">
        <is>
          <t>HCM</t>
        </is>
      </c>
      <c r="E334" s="2" t="inlineStr">
        <is>
          <t>BẢO TRÂM</t>
        </is>
      </c>
      <c r="F334" s="2" t="inlineStr">
        <is>
          <t>Shopee</t>
        </is>
      </c>
      <c r="G334" s="2" t="inlineStr">
        <is>
          <t>KBY2-020CO</t>
        </is>
      </c>
      <c r="H334" s="3" t="inlineStr">
        <is>
          <t>Khoan inox KingBlue KBY2-020CO</t>
        </is>
      </c>
      <c r="I334" s="4" t="n">
        <v>7500</v>
      </c>
      <c r="J334" s="4" t="n"/>
      <c r="K334" s="4">
        <f>IF(AND(ISNUMBER(J334),ISNUMBER(I334)),J334-I334,"")</f>
        <v/>
      </c>
      <c r="L334" s="5">
        <f>IF(AND(ISNUMBER(J334),ISNUMBER(I334),I334&gt;0),(J334-I334)/I334,"")</f>
        <v/>
      </c>
      <c r="M334" s="2">
        <f>IF(L334="","",IF(L334&lt;-0.05,"Bán phá giá",IF(L334&gt;0.05,"Bán cao hơn","Đúng giá niêm yết")))</f>
        <v/>
      </c>
      <c r="N334" s="2" t="n"/>
      <c r="O334" s="3" t="n"/>
      <c r="P334" s="3" t="n"/>
    </row>
    <row r="335">
      <c r="A335" s="2" t="n">
        <v>334</v>
      </c>
      <c r="B335" s="2" t="inlineStr">
        <is>
          <t>KH002</t>
        </is>
      </c>
      <c r="C335" s="3" t="inlineStr">
        <is>
          <t>Nguyễn Hoàng Phú</t>
        </is>
      </c>
      <c r="D335" s="2" t="inlineStr">
        <is>
          <t>HCM</t>
        </is>
      </c>
      <c r="E335" s="2" t="inlineStr">
        <is>
          <t>BẢO TRÂM</t>
        </is>
      </c>
      <c r="F335" s="2" t="inlineStr">
        <is>
          <t>Shopee</t>
        </is>
      </c>
      <c r="G335" s="2" t="inlineStr">
        <is>
          <t>KBY2-025CO</t>
        </is>
      </c>
      <c r="H335" s="3" t="inlineStr">
        <is>
          <t>Khoan inox KingBlue KBY2-025CO</t>
        </is>
      </c>
      <c r="I335" s="4" t="n">
        <v>8600</v>
      </c>
      <c r="J335" s="4" t="n"/>
      <c r="K335" s="4">
        <f>IF(AND(ISNUMBER(J335),ISNUMBER(I335)),J335-I335,"")</f>
        <v/>
      </c>
      <c r="L335" s="5">
        <f>IF(AND(ISNUMBER(J335),ISNUMBER(I335),I335&gt;0),(J335-I335)/I335,"")</f>
        <v/>
      </c>
      <c r="M335" s="2">
        <f>IF(L335="","",IF(L335&lt;-0.05,"Bán phá giá",IF(L335&gt;0.05,"Bán cao hơn","Đúng giá niêm yết")))</f>
        <v/>
      </c>
      <c r="N335" s="2" t="n"/>
      <c r="O335" s="3" t="n"/>
      <c r="P335" s="3" t="n"/>
    </row>
    <row r="336">
      <c r="A336" s="2" t="n">
        <v>335</v>
      </c>
      <c r="B336" s="2" t="inlineStr">
        <is>
          <t>KH002</t>
        </is>
      </c>
      <c r="C336" s="3" t="inlineStr">
        <is>
          <t>Nguyễn Hoàng Phú</t>
        </is>
      </c>
      <c r="D336" s="2" t="inlineStr">
        <is>
          <t>HCM</t>
        </is>
      </c>
      <c r="E336" s="2" t="inlineStr">
        <is>
          <t>BẢO TRÂM</t>
        </is>
      </c>
      <c r="F336" s="2" t="inlineStr">
        <is>
          <t>Shopee</t>
        </is>
      </c>
      <c r="G336" s="2" t="inlineStr">
        <is>
          <t>KBY2-030CO</t>
        </is>
      </c>
      <c r="H336" s="3" t="inlineStr">
        <is>
          <t>Khoan inox KingBlue KBY2-030CO</t>
        </is>
      </c>
      <c r="I336" s="4" t="n">
        <v>14000</v>
      </c>
      <c r="J336" s="4" t="n"/>
      <c r="K336" s="4">
        <f>IF(AND(ISNUMBER(J336),ISNUMBER(I336)),J336-I336,"")</f>
        <v/>
      </c>
      <c r="L336" s="5">
        <f>IF(AND(ISNUMBER(J336),ISNUMBER(I336),I336&gt;0),(J336-I336)/I336,"")</f>
        <v/>
      </c>
      <c r="M336" s="2">
        <f>IF(L336="","",IF(L336&lt;-0.05,"Bán phá giá",IF(L336&gt;0.05,"Bán cao hơn","Đúng giá niêm yết")))</f>
        <v/>
      </c>
      <c r="N336" s="2" t="n"/>
      <c r="O336" s="3" t="n"/>
      <c r="P336" s="3" t="n"/>
    </row>
    <row r="337">
      <c r="A337" s="2" t="n">
        <v>336</v>
      </c>
      <c r="B337" s="2" t="inlineStr">
        <is>
          <t>KH002</t>
        </is>
      </c>
      <c r="C337" s="3" t="inlineStr">
        <is>
          <t>Nguyễn Hoàng Phú</t>
        </is>
      </c>
      <c r="D337" s="2" t="inlineStr">
        <is>
          <t>HCM</t>
        </is>
      </c>
      <c r="E337" s="2" t="inlineStr">
        <is>
          <t>BẢO TRÂM</t>
        </is>
      </c>
      <c r="F337" s="2" t="inlineStr">
        <is>
          <t>Shopee</t>
        </is>
      </c>
      <c r="G337" s="2" t="inlineStr">
        <is>
          <t>KBY2-032CO</t>
        </is>
      </c>
      <c r="H337" s="3" t="inlineStr">
        <is>
          <t>Khoan inox KingBlue KBY2-032CO</t>
        </is>
      </c>
      <c r="I337" s="4" t="n">
        <v>10900</v>
      </c>
      <c r="J337" s="4" t="n"/>
      <c r="K337" s="4">
        <f>IF(AND(ISNUMBER(J337),ISNUMBER(I337)),J337-I337,"")</f>
        <v/>
      </c>
      <c r="L337" s="5">
        <f>IF(AND(ISNUMBER(J337),ISNUMBER(I337),I337&gt;0),(J337-I337)/I337,"")</f>
        <v/>
      </c>
      <c r="M337" s="2">
        <f>IF(L337="","",IF(L337&lt;-0.05,"Bán phá giá",IF(L337&gt;0.05,"Bán cao hơn","Đúng giá niêm yết")))</f>
        <v/>
      </c>
      <c r="N337" s="2" t="n"/>
      <c r="O337" s="3" t="n"/>
      <c r="P337" s="3" t="n"/>
    </row>
    <row r="338">
      <c r="A338" s="2" t="n">
        <v>337</v>
      </c>
      <c r="B338" s="2" t="inlineStr">
        <is>
          <t>KH002</t>
        </is>
      </c>
      <c r="C338" s="3" t="inlineStr">
        <is>
          <t>Nguyễn Hoàng Phú</t>
        </is>
      </c>
      <c r="D338" s="2" t="inlineStr">
        <is>
          <t>HCM</t>
        </is>
      </c>
      <c r="E338" s="2" t="inlineStr">
        <is>
          <t>BẢO TRÂM</t>
        </is>
      </c>
      <c r="F338" s="2" t="inlineStr">
        <is>
          <t>Shopee</t>
        </is>
      </c>
      <c r="G338" s="2" t="inlineStr">
        <is>
          <t>KBY2-035CO</t>
        </is>
      </c>
      <c r="H338" s="3" t="inlineStr">
        <is>
          <t>Khoan inox KingBlue KBY2-035CO</t>
        </is>
      </c>
      <c r="I338" s="4" t="n">
        <v>18500</v>
      </c>
      <c r="J338" s="4" t="n"/>
      <c r="K338" s="4">
        <f>IF(AND(ISNUMBER(J338),ISNUMBER(I338)),J338-I338,"")</f>
        <v/>
      </c>
      <c r="L338" s="5">
        <f>IF(AND(ISNUMBER(J338),ISNUMBER(I338),I338&gt;0),(J338-I338)/I338,"")</f>
        <v/>
      </c>
      <c r="M338" s="2">
        <f>IF(L338="","",IF(L338&lt;-0.05,"Bán phá giá",IF(L338&gt;0.05,"Bán cao hơn","Đúng giá niêm yết")))</f>
        <v/>
      </c>
      <c r="N338" s="2" t="n"/>
      <c r="O338" s="3" t="n"/>
      <c r="P338" s="3" t="n"/>
    </row>
    <row r="339">
      <c r="A339" s="2" t="n">
        <v>338</v>
      </c>
      <c r="B339" s="2" t="inlineStr">
        <is>
          <t>KH002</t>
        </is>
      </c>
      <c r="C339" s="3" t="inlineStr">
        <is>
          <t>Nguyễn Hoàng Phú</t>
        </is>
      </c>
      <c r="D339" s="2" t="inlineStr">
        <is>
          <t>HCM</t>
        </is>
      </c>
      <c r="E339" s="2" t="inlineStr">
        <is>
          <t>BẢO TRÂM</t>
        </is>
      </c>
      <c r="F339" s="2" t="inlineStr">
        <is>
          <t>Shopee</t>
        </is>
      </c>
      <c r="G339" s="2" t="inlineStr">
        <is>
          <t>KBY2-040CO</t>
        </is>
      </c>
      <c r="H339" s="3" t="inlineStr">
        <is>
          <t>Khoan inox KingBlue KBY2-040CO</t>
        </is>
      </c>
      <c r="I339" s="4" t="n">
        <v>15000</v>
      </c>
      <c r="J339" s="4" t="n"/>
      <c r="K339" s="4">
        <f>IF(AND(ISNUMBER(J339),ISNUMBER(I339)),J339-I339,"")</f>
        <v/>
      </c>
      <c r="L339" s="5">
        <f>IF(AND(ISNUMBER(J339),ISNUMBER(I339),I339&gt;0),(J339-I339)/I339,"")</f>
        <v/>
      </c>
      <c r="M339" s="2">
        <f>IF(L339="","",IF(L339&lt;-0.05,"Bán phá giá",IF(L339&gt;0.05,"Bán cao hơn","Đúng giá niêm yết")))</f>
        <v/>
      </c>
      <c r="N339" s="2" t="n"/>
      <c r="O339" s="3" t="n"/>
      <c r="P339" s="3" t="n"/>
    </row>
    <row r="340">
      <c r="A340" s="2" t="n">
        <v>339</v>
      </c>
      <c r="B340" s="2" t="inlineStr">
        <is>
          <t>KH002</t>
        </is>
      </c>
      <c r="C340" s="3" t="inlineStr">
        <is>
          <t>Nguyễn Hoàng Phú</t>
        </is>
      </c>
      <c r="D340" s="2" t="inlineStr">
        <is>
          <t>HCM</t>
        </is>
      </c>
      <c r="E340" s="2" t="inlineStr">
        <is>
          <t>BẢO TRÂM</t>
        </is>
      </c>
      <c r="F340" s="2" t="inlineStr">
        <is>
          <t>Shopee</t>
        </is>
      </c>
      <c r="G340" s="2" t="inlineStr">
        <is>
          <t>KBY2-042CO</t>
        </is>
      </c>
      <c r="H340" s="3" t="inlineStr">
        <is>
          <t>Khoan inox KingBlue KBY2-042CO</t>
        </is>
      </c>
      <c r="I340" s="4" t="n">
        <v>17500</v>
      </c>
      <c r="J340" s="4" t="n"/>
      <c r="K340" s="4">
        <f>IF(AND(ISNUMBER(J340),ISNUMBER(I340)),J340-I340,"")</f>
        <v/>
      </c>
      <c r="L340" s="5">
        <f>IF(AND(ISNUMBER(J340),ISNUMBER(I340),I340&gt;0),(J340-I340)/I340,"")</f>
        <v/>
      </c>
      <c r="M340" s="2">
        <f>IF(L340="","",IF(L340&lt;-0.05,"Bán phá giá",IF(L340&gt;0.05,"Bán cao hơn","Đúng giá niêm yết")))</f>
        <v/>
      </c>
      <c r="N340" s="2" t="n"/>
      <c r="O340" s="3" t="n"/>
      <c r="P340" s="3" t="n"/>
    </row>
    <row r="341">
      <c r="A341" s="2" t="n">
        <v>340</v>
      </c>
      <c r="B341" s="2" t="inlineStr">
        <is>
          <t>KH002</t>
        </is>
      </c>
      <c r="C341" s="3" t="inlineStr">
        <is>
          <t>Nguyễn Hoàng Phú</t>
        </is>
      </c>
      <c r="D341" s="2" t="inlineStr">
        <is>
          <t>HCM</t>
        </is>
      </c>
      <c r="E341" s="2" t="inlineStr">
        <is>
          <t>BẢO TRÂM</t>
        </is>
      </c>
      <c r="F341" s="2" t="inlineStr">
        <is>
          <t>Shopee</t>
        </is>
      </c>
      <c r="G341" s="2" t="inlineStr">
        <is>
          <t>KBY2-045CO</t>
        </is>
      </c>
      <c r="H341" s="3" t="inlineStr">
        <is>
          <t>Khoan inox KingBlue KBY2-045CO</t>
        </is>
      </c>
      <c r="I341" s="4" t="n">
        <v>19000</v>
      </c>
      <c r="J341" s="4" t="n"/>
      <c r="K341" s="4">
        <f>IF(AND(ISNUMBER(J341),ISNUMBER(I341)),J341-I341,"")</f>
        <v/>
      </c>
      <c r="L341" s="5">
        <f>IF(AND(ISNUMBER(J341),ISNUMBER(I341),I341&gt;0),(J341-I341)/I341,"")</f>
        <v/>
      </c>
      <c r="M341" s="2">
        <f>IF(L341="","",IF(L341&lt;-0.05,"Bán phá giá",IF(L341&gt;0.05,"Bán cao hơn","Đúng giá niêm yết")))</f>
        <v/>
      </c>
      <c r="N341" s="2" t="n"/>
      <c r="O341" s="3" t="n"/>
      <c r="P341" s="3" t="n"/>
    </row>
    <row r="342">
      <c r="A342" s="2" t="n">
        <v>341</v>
      </c>
      <c r="B342" s="2" t="inlineStr">
        <is>
          <t>KH002</t>
        </is>
      </c>
      <c r="C342" s="3" t="inlineStr">
        <is>
          <t>Nguyễn Hoàng Phú</t>
        </is>
      </c>
      <c r="D342" s="2" t="inlineStr">
        <is>
          <t>HCM</t>
        </is>
      </c>
      <c r="E342" s="2" t="inlineStr">
        <is>
          <t>BẢO TRÂM</t>
        </is>
      </c>
      <c r="F342" s="2" t="inlineStr">
        <is>
          <t>Shopee</t>
        </is>
      </c>
      <c r="G342" s="2" t="inlineStr">
        <is>
          <t>KBY2-050CO</t>
        </is>
      </c>
      <c r="H342" s="3" t="inlineStr">
        <is>
          <t>Khoan inox KingBlue KBY2-050CO</t>
        </is>
      </c>
      <c r="I342" s="4" t="n">
        <v>23000</v>
      </c>
      <c r="J342" s="4" t="n"/>
      <c r="K342" s="4">
        <f>IF(AND(ISNUMBER(J342),ISNUMBER(I342)),J342-I342,"")</f>
        <v/>
      </c>
      <c r="L342" s="5">
        <f>IF(AND(ISNUMBER(J342),ISNUMBER(I342),I342&gt;0),(J342-I342)/I342,"")</f>
        <v/>
      </c>
      <c r="M342" s="2">
        <f>IF(L342="","",IF(L342&lt;-0.05,"Bán phá giá",IF(L342&gt;0.05,"Bán cao hơn","Đúng giá niêm yết")))</f>
        <v/>
      </c>
      <c r="N342" s="2" t="n"/>
      <c r="O342" s="3" t="n"/>
      <c r="P342" s="3" t="n"/>
    </row>
    <row r="343">
      <c r="A343" s="2" t="n">
        <v>342</v>
      </c>
      <c r="B343" s="2" t="inlineStr">
        <is>
          <t>KH002</t>
        </is>
      </c>
      <c r="C343" s="3" t="inlineStr">
        <is>
          <t>Nguyễn Hoàng Phú</t>
        </is>
      </c>
      <c r="D343" s="2" t="inlineStr">
        <is>
          <t>HCM</t>
        </is>
      </c>
      <c r="E343" s="2" t="inlineStr">
        <is>
          <t>BẢO TRÂM</t>
        </is>
      </c>
      <c r="F343" s="2" t="inlineStr">
        <is>
          <t>Shopee</t>
        </is>
      </c>
      <c r="G343" s="2" t="inlineStr">
        <is>
          <t>KBY2-052CO</t>
        </is>
      </c>
      <c r="H343" s="3" t="inlineStr">
        <is>
          <t>Khoan inox KingBlue KBY2-052CO</t>
        </is>
      </c>
      <c r="I343" s="4" t="n">
        <v>26000</v>
      </c>
      <c r="J343" s="4" t="n"/>
      <c r="K343" s="4">
        <f>IF(AND(ISNUMBER(J343),ISNUMBER(I343)),J343-I343,"")</f>
        <v/>
      </c>
      <c r="L343" s="5">
        <f>IF(AND(ISNUMBER(J343),ISNUMBER(I343),I343&gt;0),(J343-I343)/I343,"")</f>
        <v/>
      </c>
      <c r="M343" s="2">
        <f>IF(L343="","",IF(L343&lt;-0.05,"Bán phá giá",IF(L343&gt;0.05,"Bán cao hơn","Đúng giá niêm yết")))</f>
        <v/>
      </c>
      <c r="N343" s="2" t="n"/>
      <c r="O343" s="3" t="n"/>
      <c r="P343" s="3" t="n"/>
    </row>
    <row r="344">
      <c r="A344" s="2" t="n">
        <v>343</v>
      </c>
      <c r="B344" s="2" t="inlineStr">
        <is>
          <t>KH002</t>
        </is>
      </c>
      <c r="C344" s="3" t="inlineStr">
        <is>
          <t>Nguyễn Hoàng Phú</t>
        </is>
      </c>
      <c r="D344" s="2" t="inlineStr">
        <is>
          <t>HCM</t>
        </is>
      </c>
      <c r="E344" s="2" t="inlineStr">
        <is>
          <t>BẢO TRÂM</t>
        </is>
      </c>
      <c r="F344" s="2" t="inlineStr">
        <is>
          <t>Shopee</t>
        </is>
      </c>
      <c r="G344" s="2" t="inlineStr">
        <is>
          <t>KBY2-055CO</t>
        </is>
      </c>
      <c r="H344" s="3" t="inlineStr">
        <is>
          <t>Khoan inox KingBlue KBY2-055CO</t>
        </is>
      </c>
      <c r="I344" s="4" t="n">
        <v>27500</v>
      </c>
      <c r="J344" s="4" t="n"/>
      <c r="K344" s="4">
        <f>IF(AND(ISNUMBER(J344),ISNUMBER(I344)),J344-I344,"")</f>
        <v/>
      </c>
      <c r="L344" s="5">
        <f>IF(AND(ISNUMBER(J344),ISNUMBER(I344),I344&gt;0),(J344-I344)/I344,"")</f>
        <v/>
      </c>
      <c r="M344" s="2">
        <f>IF(L344="","",IF(L344&lt;-0.05,"Bán phá giá",IF(L344&gt;0.05,"Bán cao hơn","Đúng giá niêm yết")))</f>
        <v/>
      </c>
      <c r="N344" s="2" t="n"/>
      <c r="O344" s="3" t="n"/>
      <c r="P344" s="3" t="n"/>
    </row>
    <row r="345">
      <c r="A345" s="2" t="n">
        <v>344</v>
      </c>
      <c r="B345" s="2" t="inlineStr">
        <is>
          <t>KH002</t>
        </is>
      </c>
      <c r="C345" s="3" t="inlineStr">
        <is>
          <t>Nguyễn Hoàng Phú</t>
        </is>
      </c>
      <c r="D345" s="2" t="inlineStr">
        <is>
          <t>HCM</t>
        </is>
      </c>
      <c r="E345" s="2" t="inlineStr">
        <is>
          <t>BẢO TRÂM</t>
        </is>
      </c>
      <c r="F345" s="2" t="inlineStr">
        <is>
          <t>Shopee</t>
        </is>
      </c>
      <c r="G345" s="2" t="inlineStr">
        <is>
          <t>KBY2-060CO</t>
        </is>
      </c>
      <c r="H345" s="3" t="inlineStr">
        <is>
          <t>Khoan inox KingBlue KBY2-060CO</t>
        </is>
      </c>
      <c r="I345" s="4" t="n">
        <v>41000</v>
      </c>
      <c r="J345" s="4" t="n"/>
      <c r="K345" s="4">
        <f>IF(AND(ISNUMBER(J345),ISNUMBER(I345)),J345-I345,"")</f>
        <v/>
      </c>
      <c r="L345" s="5">
        <f>IF(AND(ISNUMBER(J345),ISNUMBER(I345),I345&gt;0),(J345-I345)/I345,"")</f>
        <v/>
      </c>
      <c r="M345" s="2">
        <f>IF(L345="","",IF(L345&lt;-0.05,"Bán phá giá",IF(L345&gt;0.05,"Bán cao hơn","Đúng giá niêm yết")))</f>
        <v/>
      </c>
      <c r="N345" s="2" t="n"/>
      <c r="O345" s="3" t="n"/>
      <c r="P345" s="3" t="n"/>
    </row>
    <row r="346">
      <c r="A346" s="2" t="n">
        <v>345</v>
      </c>
      <c r="B346" s="2" t="inlineStr">
        <is>
          <t>KH002</t>
        </is>
      </c>
      <c r="C346" s="3" t="inlineStr">
        <is>
          <t>Nguyễn Hoàng Phú</t>
        </is>
      </c>
      <c r="D346" s="2" t="inlineStr">
        <is>
          <t>HCM</t>
        </is>
      </c>
      <c r="E346" s="2" t="inlineStr">
        <is>
          <t>BẢO TRÂM</t>
        </is>
      </c>
      <c r="F346" s="2" t="inlineStr">
        <is>
          <t>Shopee</t>
        </is>
      </c>
      <c r="G346" s="2" t="inlineStr">
        <is>
          <t>KBY2-065CO</t>
        </is>
      </c>
      <c r="H346" s="3" t="inlineStr">
        <is>
          <t>Khoan inox KingBlue KBY2-065CO</t>
        </is>
      </c>
      <c r="I346" s="4" t="n">
        <v>34000</v>
      </c>
      <c r="J346" s="4" t="n"/>
      <c r="K346" s="4">
        <f>IF(AND(ISNUMBER(J346),ISNUMBER(I346)),J346-I346,"")</f>
        <v/>
      </c>
      <c r="L346" s="5">
        <f>IF(AND(ISNUMBER(J346),ISNUMBER(I346),I346&gt;0),(J346-I346)/I346,"")</f>
        <v/>
      </c>
      <c r="M346" s="2">
        <f>IF(L346="","",IF(L346&lt;-0.05,"Bán phá giá",IF(L346&gt;0.05,"Bán cao hơn","Đúng giá niêm yết")))</f>
        <v/>
      </c>
      <c r="N346" s="2" t="n"/>
      <c r="O346" s="3" t="n"/>
      <c r="P346" s="3" t="n"/>
    </row>
    <row r="347">
      <c r="A347" s="2" t="n">
        <v>346</v>
      </c>
      <c r="B347" s="2" t="inlineStr">
        <is>
          <t>KH002</t>
        </is>
      </c>
      <c r="C347" s="3" t="inlineStr">
        <is>
          <t>Nguyễn Hoàng Phú</t>
        </is>
      </c>
      <c r="D347" s="2" t="inlineStr">
        <is>
          <t>HCM</t>
        </is>
      </c>
      <c r="E347" s="2" t="inlineStr">
        <is>
          <t>BẢO TRÂM</t>
        </is>
      </c>
      <c r="F347" s="2" t="inlineStr">
        <is>
          <t>Shopee</t>
        </is>
      </c>
      <c r="G347" s="2" t="inlineStr">
        <is>
          <t>KBY2-070CO</t>
        </is>
      </c>
      <c r="H347" s="3" t="inlineStr">
        <is>
          <t>Khoan inox KingBlue KBY2-070CO</t>
        </is>
      </c>
      <c r="I347" s="4" t="n">
        <v>41000</v>
      </c>
      <c r="J347" s="4" t="n"/>
      <c r="K347" s="4">
        <f>IF(AND(ISNUMBER(J347),ISNUMBER(I347)),J347-I347,"")</f>
        <v/>
      </c>
      <c r="L347" s="5">
        <f>IF(AND(ISNUMBER(J347),ISNUMBER(I347),I347&gt;0),(J347-I347)/I347,"")</f>
        <v/>
      </c>
      <c r="M347" s="2">
        <f>IF(L347="","",IF(L347&lt;-0.05,"Bán phá giá",IF(L347&gt;0.05,"Bán cao hơn","Đúng giá niêm yết")))</f>
        <v/>
      </c>
      <c r="N347" s="2" t="n"/>
      <c r="O347" s="3" t="n"/>
      <c r="P347" s="3" t="n"/>
    </row>
    <row r="348">
      <c r="A348" s="2" t="n">
        <v>347</v>
      </c>
      <c r="B348" s="2" t="inlineStr">
        <is>
          <t>KH002</t>
        </is>
      </c>
      <c r="C348" s="3" t="inlineStr">
        <is>
          <t>Nguyễn Hoàng Phú</t>
        </is>
      </c>
      <c r="D348" s="2" t="inlineStr">
        <is>
          <t>HCM</t>
        </is>
      </c>
      <c r="E348" s="2" t="inlineStr">
        <is>
          <t>BẢO TRÂM</t>
        </is>
      </c>
      <c r="F348" s="2" t="inlineStr">
        <is>
          <t>Shopee</t>
        </is>
      </c>
      <c r="G348" s="2" t="inlineStr">
        <is>
          <t>KBY2-075CO</t>
        </is>
      </c>
      <c r="H348" s="3" t="inlineStr">
        <is>
          <t>Khoan inox KingBlue KBY2-075CO</t>
        </is>
      </c>
      <c r="I348" s="4" t="n">
        <v>44000</v>
      </c>
      <c r="J348" s="4" t="n"/>
      <c r="K348" s="4">
        <f>IF(AND(ISNUMBER(J348),ISNUMBER(I348)),J348-I348,"")</f>
        <v/>
      </c>
      <c r="L348" s="5">
        <f>IF(AND(ISNUMBER(J348),ISNUMBER(I348),I348&gt;0),(J348-I348)/I348,"")</f>
        <v/>
      </c>
      <c r="M348" s="2">
        <f>IF(L348="","",IF(L348&lt;-0.05,"Bán phá giá",IF(L348&gt;0.05,"Bán cao hơn","Đúng giá niêm yết")))</f>
        <v/>
      </c>
      <c r="N348" s="2" t="n"/>
      <c r="O348" s="3" t="n"/>
      <c r="P348" s="3" t="n"/>
    </row>
    <row r="349">
      <c r="A349" s="2" t="n">
        <v>348</v>
      </c>
      <c r="B349" s="2" t="inlineStr">
        <is>
          <t>KH002</t>
        </is>
      </c>
      <c r="C349" s="3" t="inlineStr">
        <is>
          <t>Nguyễn Hoàng Phú</t>
        </is>
      </c>
      <c r="D349" s="2" t="inlineStr">
        <is>
          <t>HCM</t>
        </is>
      </c>
      <c r="E349" s="2" t="inlineStr">
        <is>
          <t>BẢO TRÂM</t>
        </is>
      </c>
      <c r="F349" s="2" t="inlineStr">
        <is>
          <t>Shopee</t>
        </is>
      </c>
      <c r="G349" s="2" t="inlineStr">
        <is>
          <t>KBY2-080CO</t>
        </is>
      </c>
      <c r="H349" s="3" t="inlineStr">
        <is>
          <t>Khoan inox KingBlue KBY2-080CO</t>
        </is>
      </c>
      <c r="I349" s="4" t="n">
        <v>68000</v>
      </c>
      <c r="J349" s="4" t="n"/>
      <c r="K349" s="4">
        <f>IF(AND(ISNUMBER(J349),ISNUMBER(I349)),J349-I349,"")</f>
        <v/>
      </c>
      <c r="L349" s="5">
        <f>IF(AND(ISNUMBER(J349),ISNUMBER(I349),I349&gt;0),(J349-I349)/I349,"")</f>
        <v/>
      </c>
      <c r="M349" s="2">
        <f>IF(L349="","",IF(L349&lt;-0.05,"Bán phá giá",IF(L349&gt;0.05,"Bán cao hơn","Đúng giá niêm yết")))</f>
        <v/>
      </c>
      <c r="N349" s="2" t="n"/>
      <c r="O349" s="3" t="n"/>
      <c r="P349" s="3" t="n"/>
    </row>
    <row r="350">
      <c r="A350" s="2" t="n">
        <v>349</v>
      </c>
      <c r="B350" s="2" t="inlineStr">
        <is>
          <t>KH002</t>
        </is>
      </c>
      <c r="C350" s="3" t="inlineStr">
        <is>
          <t>Nguyễn Hoàng Phú</t>
        </is>
      </c>
      <c r="D350" s="2" t="inlineStr">
        <is>
          <t>HCM</t>
        </is>
      </c>
      <c r="E350" s="2" t="inlineStr">
        <is>
          <t>BẢO TRÂM</t>
        </is>
      </c>
      <c r="F350" s="2" t="inlineStr">
        <is>
          <t>Shopee</t>
        </is>
      </c>
      <c r="G350" s="2" t="inlineStr">
        <is>
          <t>KBY2-090CO</t>
        </is>
      </c>
      <c r="H350" s="3" t="inlineStr">
        <is>
          <t>Khoan inox KingBlue KBY2-090CO</t>
        </is>
      </c>
      <c r="I350" s="4" t="n">
        <v>63000</v>
      </c>
      <c r="J350" s="4" t="n"/>
      <c r="K350" s="4">
        <f>IF(AND(ISNUMBER(J350),ISNUMBER(I350)),J350-I350,"")</f>
        <v/>
      </c>
      <c r="L350" s="5">
        <f>IF(AND(ISNUMBER(J350),ISNUMBER(I350),I350&gt;0),(J350-I350)/I350,"")</f>
        <v/>
      </c>
      <c r="M350" s="2">
        <f>IF(L350="","",IF(L350&lt;-0.05,"Bán phá giá",IF(L350&gt;0.05,"Bán cao hơn","Đúng giá niêm yết")))</f>
        <v/>
      </c>
      <c r="N350" s="2" t="n"/>
      <c r="O350" s="3" t="n"/>
      <c r="P350" s="3" t="n"/>
    </row>
    <row r="351">
      <c r="A351" s="2" t="n">
        <v>350</v>
      </c>
      <c r="B351" s="2" t="inlineStr">
        <is>
          <t>KH002</t>
        </is>
      </c>
      <c r="C351" s="3" t="inlineStr">
        <is>
          <t>Nguyễn Hoàng Phú</t>
        </is>
      </c>
      <c r="D351" s="2" t="inlineStr">
        <is>
          <t>HCM</t>
        </is>
      </c>
      <c r="E351" s="2" t="inlineStr">
        <is>
          <t>BẢO TRÂM</t>
        </is>
      </c>
      <c r="F351" s="2" t="inlineStr">
        <is>
          <t>Shopee</t>
        </is>
      </c>
      <c r="G351" s="2" t="inlineStr">
        <is>
          <t>KBY2-100CO</t>
        </is>
      </c>
      <c r="H351" s="3" t="inlineStr">
        <is>
          <t>Khoan inox KingBlue KBY2-100CO</t>
        </is>
      </c>
      <c r="I351" s="4" t="n">
        <v>102000</v>
      </c>
      <c r="J351" s="4" t="n"/>
      <c r="K351" s="4">
        <f>IF(AND(ISNUMBER(J351),ISNUMBER(I351)),J351-I351,"")</f>
        <v/>
      </c>
      <c r="L351" s="5">
        <f>IF(AND(ISNUMBER(J351),ISNUMBER(I351),I351&gt;0),(J351-I351)/I351,"")</f>
        <v/>
      </c>
      <c r="M351" s="2">
        <f>IF(L351="","",IF(L351&lt;-0.05,"Bán phá giá",IF(L351&gt;0.05,"Bán cao hơn","Đúng giá niêm yết")))</f>
        <v/>
      </c>
      <c r="N351" s="2" t="n"/>
      <c r="O351" s="3" t="n"/>
      <c r="P351" s="3" t="n"/>
    </row>
    <row r="352">
      <c r="A352" s="2" t="n">
        <v>351</v>
      </c>
      <c r="B352" s="2" t="inlineStr">
        <is>
          <t>KH002</t>
        </is>
      </c>
      <c r="C352" s="3" t="inlineStr">
        <is>
          <t>Nguyễn Hoàng Phú</t>
        </is>
      </c>
      <c r="D352" s="2" t="inlineStr">
        <is>
          <t>HCM</t>
        </is>
      </c>
      <c r="E352" s="2" t="inlineStr">
        <is>
          <t>BẢO TRÂM</t>
        </is>
      </c>
      <c r="F352" s="2" t="inlineStr">
        <is>
          <t>Shopee</t>
        </is>
      </c>
      <c r="G352" s="2" t="inlineStr">
        <is>
          <t>KBY2-105CO</t>
        </is>
      </c>
      <c r="H352" s="3" t="inlineStr">
        <is>
          <t>Khoan inox KingBlue KBY2-105CO</t>
        </is>
      </c>
      <c r="I352" s="4" t="n">
        <v>97000</v>
      </c>
      <c r="J352" s="4" t="n"/>
      <c r="K352" s="4">
        <f>IF(AND(ISNUMBER(J352),ISNUMBER(I352)),J352-I352,"")</f>
        <v/>
      </c>
      <c r="L352" s="5">
        <f>IF(AND(ISNUMBER(J352),ISNUMBER(I352),I352&gt;0),(J352-I352)/I352,"")</f>
        <v/>
      </c>
      <c r="M352" s="2">
        <f>IF(L352="","",IF(L352&lt;-0.05,"Bán phá giá",IF(L352&gt;0.05,"Bán cao hơn","Đúng giá niêm yết")))</f>
        <v/>
      </c>
      <c r="N352" s="2" t="n"/>
      <c r="O352" s="3" t="n"/>
      <c r="P352" s="3" t="n"/>
    </row>
    <row r="353">
      <c r="A353" s="2" t="n">
        <v>352</v>
      </c>
      <c r="B353" s="2" t="inlineStr">
        <is>
          <t>KH002</t>
        </is>
      </c>
      <c r="C353" s="3" t="inlineStr">
        <is>
          <t>Nguyễn Hoàng Phú</t>
        </is>
      </c>
      <c r="D353" s="2" t="inlineStr">
        <is>
          <t>HCM</t>
        </is>
      </c>
      <c r="E353" s="2" t="inlineStr">
        <is>
          <t>BẢO TRÂM</t>
        </is>
      </c>
      <c r="F353" s="2" t="inlineStr">
        <is>
          <t>Shopee</t>
        </is>
      </c>
      <c r="G353" s="2" t="inlineStr">
        <is>
          <t>KBY2-120CO</t>
        </is>
      </c>
      <c r="H353" s="3" t="inlineStr">
        <is>
          <t>Khoan inox KingBlue KBY2-120CO</t>
        </is>
      </c>
      <c r="I353" s="4" t="n">
        <v>135000</v>
      </c>
      <c r="J353" s="4" t="n"/>
      <c r="K353" s="4">
        <f>IF(AND(ISNUMBER(J353),ISNUMBER(I353)),J353-I353,"")</f>
        <v/>
      </c>
      <c r="L353" s="5">
        <f>IF(AND(ISNUMBER(J353),ISNUMBER(I353),I353&gt;0),(J353-I353)/I353,"")</f>
        <v/>
      </c>
      <c r="M353" s="2">
        <f>IF(L353="","",IF(L353&lt;-0.05,"Bán phá giá",IF(L353&gt;0.05,"Bán cao hơn","Đúng giá niêm yết")))</f>
        <v/>
      </c>
      <c r="N353" s="2" t="n"/>
      <c r="O353" s="3" t="n"/>
      <c r="P353" s="3" t="n"/>
    </row>
    <row r="354">
      <c r="A354" s="2" t="n">
        <v>353</v>
      </c>
      <c r="B354" s="2" t="inlineStr">
        <is>
          <t>KH002</t>
        </is>
      </c>
      <c r="C354" s="3" t="inlineStr">
        <is>
          <t>Nguyễn Hoàng Phú</t>
        </is>
      </c>
      <c r="D354" s="2" t="inlineStr">
        <is>
          <t>HCM</t>
        </is>
      </c>
      <c r="E354" s="2" t="inlineStr">
        <is>
          <t>BẢO TRÂM</t>
        </is>
      </c>
      <c r="F354" s="2" t="inlineStr">
        <is>
          <t>Shopee</t>
        </is>
      </c>
      <c r="G354" s="2" t="inlineStr">
        <is>
          <t>KBY2-130CO</t>
        </is>
      </c>
      <c r="H354" s="3" t="inlineStr">
        <is>
          <t>Khoan inox KingBlue KBY2-130CO</t>
        </is>
      </c>
      <c r="I354" s="4" t="n">
        <v>158000</v>
      </c>
      <c r="J354" s="4" t="n"/>
      <c r="K354" s="4">
        <f>IF(AND(ISNUMBER(J354),ISNUMBER(I354)),J354-I354,"")</f>
        <v/>
      </c>
      <c r="L354" s="5">
        <f>IF(AND(ISNUMBER(J354),ISNUMBER(I354),I354&gt;0),(J354-I354)/I354,"")</f>
        <v/>
      </c>
      <c r="M354" s="2">
        <f>IF(L354="","",IF(L354&lt;-0.05,"Bán phá giá",IF(L354&gt;0.05,"Bán cao hơn","Đúng giá niêm yết")))</f>
        <v/>
      </c>
      <c r="N354" s="2" t="n"/>
      <c r="O354" s="3" t="n"/>
      <c r="P354" s="3" t="n"/>
    </row>
    <row r="355">
      <c r="A355" s="2" t="n">
        <v>354</v>
      </c>
      <c r="B355" s="2" t="inlineStr">
        <is>
          <t>KH002</t>
        </is>
      </c>
      <c r="C355" s="3" t="inlineStr">
        <is>
          <t>Nguyễn Hoàng Phú</t>
        </is>
      </c>
      <c r="D355" s="2" t="inlineStr">
        <is>
          <t>HCM</t>
        </is>
      </c>
      <c r="E355" s="2" t="inlineStr">
        <is>
          <t>BẢO TRÂM</t>
        </is>
      </c>
      <c r="F355" s="2" t="inlineStr">
        <is>
          <t>Shopee</t>
        </is>
      </c>
      <c r="G355" s="2" t="inlineStr">
        <is>
          <t>KBB-08MM</t>
        </is>
      </c>
      <c r="H355" s="3" t="inlineStr">
        <is>
          <t>Khoan Kính KingBlue KBB-08MM</t>
        </is>
      </c>
      <c r="I355" s="4" t="n">
        <v>7900</v>
      </c>
      <c r="J355" s="4" t="n"/>
      <c r="K355" s="4">
        <f>IF(AND(ISNUMBER(J355),ISNUMBER(I355)),J355-I355,"")</f>
        <v/>
      </c>
      <c r="L355" s="5">
        <f>IF(AND(ISNUMBER(J355),ISNUMBER(I355),I355&gt;0),(J355-I355)/I355,"")</f>
        <v/>
      </c>
      <c r="M355" s="2">
        <f>IF(L355="","",IF(L355&lt;-0.05,"Bán phá giá",IF(L355&gt;0.05,"Bán cao hơn","Đúng giá niêm yết")))</f>
        <v/>
      </c>
      <c r="N355" s="2" t="n"/>
      <c r="O355" s="3" t="n"/>
      <c r="P355" s="3" t="n"/>
    </row>
    <row r="356">
      <c r="A356" s="2" t="n">
        <v>355</v>
      </c>
      <c r="B356" s="2" t="inlineStr">
        <is>
          <t>KH002</t>
        </is>
      </c>
      <c r="C356" s="3" t="inlineStr">
        <is>
          <t>Nguyễn Hoàng Phú</t>
        </is>
      </c>
      <c r="D356" s="2" t="inlineStr">
        <is>
          <t>HCM</t>
        </is>
      </c>
      <c r="E356" s="2" t="inlineStr">
        <is>
          <t>BẢO TRÂM</t>
        </is>
      </c>
      <c r="F356" s="2" t="inlineStr">
        <is>
          <t>Shopee</t>
        </is>
      </c>
      <c r="G356" s="2" t="inlineStr">
        <is>
          <t>KBB-16MM</t>
        </is>
      </c>
      <c r="H356" s="3" t="inlineStr">
        <is>
          <t>Khoan Kính KingBlue KBB-16MM</t>
        </is>
      </c>
      <c r="I356" s="4" t="n">
        <v>16000</v>
      </c>
      <c r="J356" s="4" t="n"/>
      <c r="K356" s="4">
        <f>IF(AND(ISNUMBER(J356),ISNUMBER(I356)),J356-I356,"")</f>
        <v/>
      </c>
      <c r="L356" s="5">
        <f>IF(AND(ISNUMBER(J356),ISNUMBER(I356),I356&gt;0),(J356-I356)/I356,"")</f>
        <v/>
      </c>
      <c r="M356" s="2">
        <f>IF(L356="","",IF(L356&lt;-0.05,"Bán phá giá",IF(L356&gt;0.05,"Bán cao hơn","Đúng giá niêm yết")))</f>
        <v/>
      </c>
      <c r="N356" s="2" t="n"/>
      <c r="O356" s="3" t="n"/>
      <c r="P356" s="3" t="n"/>
    </row>
    <row r="357">
      <c r="A357" s="2" t="n">
        <v>356</v>
      </c>
      <c r="B357" s="2" t="inlineStr">
        <is>
          <t>KH002</t>
        </is>
      </c>
      <c r="C357" s="3" t="inlineStr">
        <is>
          <t>Nguyễn Hoàng Phú</t>
        </is>
      </c>
      <c r="D357" s="2" t="inlineStr">
        <is>
          <t>HCM</t>
        </is>
      </c>
      <c r="E357" s="2" t="inlineStr">
        <is>
          <t>BẢO TRÂM</t>
        </is>
      </c>
      <c r="F357" s="2" t="inlineStr">
        <is>
          <t>Shopee</t>
        </is>
      </c>
      <c r="G357" s="2" t="inlineStr">
        <is>
          <t>KBB-27MM</t>
        </is>
      </c>
      <c r="H357" s="3" t="inlineStr">
        <is>
          <t>Khoan Kính KingBlue KBB-27MM</t>
        </is>
      </c>
      <c r="I357" s="4" t="n">
        <v>26000</v>
      </c>
      <c r="J357" s="4" t="n"/>
      <c r="K357" s="4">
        <f>IF(AND(ISNUMBER(J357),ISNUMBER(I357)),J357-I357,"")</f>
        <v/>
      </c>
      <c r="L357" s="5">
        <f>IF(AND(ISNUMBER(J357),ISNUMBER(I357),I357&gt;0),(J357-I357)/I357,"")</f>
        <v/>
      </c>
      <c r="M357" s="2">
        <f>IF(L357="","",IF(L357&lt;-0.05,"Bán phá giá",IF(L357&gt;0.05,"Bán cao hơn","Đúng giá niêm yết")))</f>
        <v/>
      </c>
      <c r="N357" s="2" t="n"/>
      <c r="O357" s="3" t="n"/>
      <c r="P357" s="3" t="n"/>
    </row>
    <row r="358">
      <c r="A358" s="2" t="n">
        <v>357</v>
      </c>
      <c r="B358" s="2" t="inlineStr">
        <is>
          <t>KH002</t>
        </is>
      </c>
      <c r="C358" s="3" t="inlineStr">
        <is>
          <t>Nguyễn Hoàng Phú</t>
        </is>
      </c>
      <c r="D358" s="2" t="inlineStr">
        <is>
          <t>HCM</t>
        </is>
      </c>
      <c r="E358" s="2" t="inlineStr">
        <is>
          <t>BẢO TRÂM</t>
        </is>
      </c>
      <c r="F358" s="2" t="inlineStr">
        <is>
          <t>Shopee</t>
        </is>
      </c>
      <c r="G358" s="2" t="inlineStr">
        <is>
          <t>KBB-35MM</t>
        </is>
      </c>
      <c r="H358" s="3" t="inlineStr">
        <is>
          <t>Khoan Kính KingBlue KBB-35MM</t>
        </is>
      </c>
      <c r="I358" s="4" t="n">
        <v>34000</v>
      </c>
      <c r="J358" s="4" t="n"/>
      <c r="K358" s="4">
        <f>IF(AND(ISNUMBER(J358),ISNUMBER(I358)),J358-I358,"")</f>
        <v/>
      </c>
      <c r="L358" s="5">
        <f>IF(AND(ISNUMBER(J358),ISNUMBER(I358),I358&gt;0),(J358-I358)/I358,"")</f>
        <v/>
      </c>
      <c r="M358" s="2">
        <f>IF(L358="","",IF(L358&lt;-0.05,"Bán phá giá",IF(L358&gt;0.05,"Bán cao hơn","Đúng giá niêm yết")))</f>
        <v/>
      </c>
      <c r="N358" s="2" t="n"/>
      <c r="O358" s="3" t="n"/>
      <c r="P358" s="3" t="n"/>
    </row>
    <row r="359">
      <c r="A359" s="2" t="n">
        <v>358</v>
      </c>
      <c r="B359" s="2" t="inlineStr">
        <is>
          <t>KH002</t>
        </is>
      </c>
      <c r="C359" s="3" t="inlineStr">
        <is>
          <t>Nguyễn Hoàng Phú</t>
        </is>
      </c>
      <c r="D359" s="2" t="inlineStr">
        <is>
          <t>HCM</t>
        </is>
      </c>
      <c r="E359" s="2" t="inlineStr">
        <is>
          <t>BẢO TRÂM</t>
        </is>
      </c>
      <c r="F359" s="2" t="inlineStr">
        <is>
          <t>Shopee</t>
        </is>
      </c>
      <c r="G359" s="2" t="inlineStr">
        <is>
          <t>KBB-60MM</t>
        </is>
      </c>
      <c r="H359" s="3" t="inlineStr">
        <is>
          <t>Khoan Kính KingBlue KBB-60MM</t>
        </is>
      </c>
      <c r="I359" s="4" t="n">
        <v>58000</v>
      </c>
      <c r="J359" s="4" t="n"/>
      <c r="K359" s="4">
        <f>IF(AND(ISNUMBER(J359),ISNUMBER(I359)),J359-I359,"")</f>
        <v/>
      </c>
      <c r="L359" s="5">
        <f>IF(AND(ISNUMBER(J359),ISNUMBER(I359),I359&gt;0),(J359-I359)/I359,"")</f>
        <v/>
      </c>
      <c r="M359" s="2">
        <f>IF(L359="","",IF(L359&lt;-0.05,"Bán phá giá",IF(L359&gt;0.05,"Bán cao hơn","Đúng giá niêm yết")))</f>
        <v/>
      </c>
      <c r="N359" s="2" t="n"/>
      <c r="O359" s="3" t="n"/>
      <c r="P359" s="3" t="n"/>
    </row>
    <row r="360">
      <c r="A360" s="2" t="n">
        <v>359</v>
      </c>
      <c r="B360" s="2" t="inlineStr">
        <is>
          <t>KH002</t>
        </is>
      </c>
      <c r="C360" s="3" t="inlineStr">
        <is>
          <t>Nguyễn Hoàng Phú</t>
        </is>
      </c>
      <c r="D360" s="2" t="inlineStr">
        <is>
          <t>HCM</t>
        </is>
      </c>
      <c r="E360" s="2" t="inlineStr">
        <is>
          <t>BẢO TRÂM</t>
        </is>
      </c>
      <c r="F360" s="2" t="inlineStr">
        <is>
          <t>Shopee</t>
        </is>
      </c>
      <c r="G360" s="2" t="inlineStr">
        <is>
          <t>KRLK-27*370</t>
        </is>
      </c>
      <c r="H360" s="3" t="inlineStr">
        <is>
          <t>Khoan rút lõi bê tông nước + khô KRLK-27*370</t>
        </is>
      </c>
      <c r="I360" s="4" t="n">
        <v>189000</v>
      </c>
      <c r="J360" s="4" t="n"/>
      <c r="K360" s="4">
        <f>IF(AND(ISNUMBER(J360),ISNUMBER(I360)),J360-I360,"")</f>
        <v/>
      </c>
      <c r="L360" s="5">
        <f>IF(AND(ISNUMBER(J360),ISNUMBER(I360),I360&gt;0),(J360-I360)/I360,"")</f>
        <v/>
      </c>
      <c r="M360" s="2">
        <f>IF(L360="","",IF(L360&lt;-0.05,"Bán phá giá",IF(L360&gt;0.05,"Bán cao hơn","Đúng giá niêm yết")))</f>
        <v/>
      </c>
      <c r="N360" s="2" t="n"/>
      <c r="O360" s="3" t="n"/>
      <c r="P360" s="3" t="n"/>
    </row>
    <row r="361">
      <c r="A361" s="2" t="n">
        <v>360</v>
      </c>
      <c r="B361" s="2" t="inlineStr">
        <is>
          <t>KH002</t>
        </is>
      </c>
      <c r="C361" s="3" t="inlineStr">
        <is>
          <t>Nguyễn Hoàng Phú</t>
        </is>
      </c>
      <c r="D361" s="2" t="inlineStr">
        <is>
          <t>HCM</t>
        </is>
      </c>
      <c r="E361" s="2" t="inlineStr">
        <is>
          <t>BẢO TRÂM</t>
        </is>
      </c>
      <c r="F361" s="2" t="inlineStr">
        <is>
          <t>Shopee</t>
        </is>
      </c>
      <c r="G361" s="2" t="inlineStr">
        <is>
          <t>KRLK-32*370</t>
        </is>
      </c>
      <c r="H361" s="3" t="inlineStr">
        <is>
          <t>Khoan rút lõi bê tông nước + khô KRLK-32*370</t>
        </is>
      </c>
      <c r="I361" s="4" t="n">
        <v>200000</v>
      </c>
      <c r="J361" s="4" t="n"/>
      <c r="K361" s="4">
        <f>IF(AND(ISNUMBER(J361),ISNUMBER(I361)),J361-I361,"")</f>
        <v/>
      </c>
      <c r="L361" s="5">
        <f>IF(AND(ISNUMBER(J361),ISNUMBER(I361),I361&gt;0),(J361-I361)/I361,"")</f>
        <v/>
      </c>
      <c r="M361" s="2">
        <f>IF(L361="","",IF(L361&lt;-0.05,"Bán phá giá",IF(L361&gt;0.05,"Bán cao hơn","Đúng giá niêm yết")))</f>
        <v/>
      </c>
      <c r="N361" s="2" t="n"/>
      <c r="O361" s="3" t="n"/>
      <c r="P361" s="3" t="n"/>
    </row>
    <row r="362">
      <c r="A362" s="2" t="n">
        <v>361</v>
      </c>
      <c r="B362" s="2" t="inlineStr">
        <is>
          <t>KH002</t>
        </is>
      </c>
      <c r="C362" s="3" t="inlineStr">
        <is>
          <t>Nguyễn Hoàng Phú</t>
        </is>
      </c>
      <c r="D362" s="2" t="inlineStr">
        <is>
          <t>HCM</t>
        </is>
      </c>
      <c r="E362" s="2" t="inlineStr">
        <is>
          <t>BẢO TRÂM</t>
        </is>
      </c>
      <c r="F362" s="2" t="inlineStr">
        <is>
          <t>Shopee</t>
        </is>
      </c>
      <c r="G362" s="2" t="inlineStr">
        <is>
          <t>KRLK-36*370</t>
        </is>
      </c>
      <c r="H362" s="3" t="inlineStr">
        <is>
          <t>Khoan rút lõi bê tông nước + khô KRLK-36*370</t>
        </is>
      </c>
      <c r="I362" s="4" t="n">
        <v>224000</v>
      </c>
      <c r="J362" s="4" t="n"/>
      <c r="K362" s="4">
        <f>IF(AND(ISNUMBER(J362),ISNUMBER(I362)),J362-I362,"")</f>
        <v/>
      </c>
      <c r="L362" s="5">
        <f>IF(AND(ISNUMBER(J362),ISNUMBER(I362),I362&gt;0),(J362-I362)/I362,"")</f>
        <v/>
      </c>
      <c r="M362" s="2">
        <f>IF(L362="","",IF(L362&lt;-0.05,"Bán phá giá",IF(L362&gt;0.05,"Bán cao hơn","Đúng giá niêm yết")))</f>
        <v/>
      </c>
      <c r="N362" s="2" t="n"/>
      <c r="O362" s="3" t="n"/>
      <c r="P362" s="3" t="n"/>
    </row>
    <row r="363">
      <c r="A363" s="2" t="n">
        <v>362</v>
      </c>
      <c r="B363" s="2" t="inlineStr">
        <is>
          <t>KH002</t>
        </is>
      </c>
      <c r="C363" s="3" t="inlineStr">
        <is>
          <t>Nguyễn Hoàng Phú</t>
        </is>
      </c>
      <c r="D363" s="2" t="inlineStr">
        <is>
          <t>HCM</t>
        </is>
      </c>
      <c r="E363" s="2" t="inlineStr">
        <is>
          <t>BẢO TRÂM</t>
        </is>
      </c>
      <c r="F363" s="2" t="inlineStr">
        <is>
          <t>Shopee</t>
        </is>
      </c>
      <c r="G363" s="2" t="inlineStr">
        <is>
          <t>KRLK-40*370</t>
        </is>
      </c>
      <c r="H363" s="3" t="inlineStr">
        <is>
          <t>Khoan rút lõi bê tông nước + khô KRLK-40*370</t>
        </is>
      </c>
      <c r="I363" s="4" t="n">
        <v>251000</v>
      </c>
      <c r="J363" s="4" t="n"/>
      <c r="K363" s="4">
        <f>IF(AND(ISNUMBER(J363),ISNUMBER(I363)),J363-I363,"")</f>
        <v/>
      </c>
      <c r="L363" s="5">
        <f>IF(AND(ISNUMBER(J363),ISNUMBER(I363),I363&gt;0),(J363-I363)/I363,"")</f>
        <v/>
      </c>
      <c r="M363" s="2">
        <f>IF(L363="","",IF(L363&lt;-0.05,"Bán phá giá",IF(L363&gt;0.05,"Bán cao hơn","Đúng giá niêm yết")))</f>
        <v/>
      </c>
      <c r="N363" s="2" t="n"/>
      <c r="O363" s="3" t="n"/>
      <c r="P363" s="3" t="n"/>
    </row>
    <row r="364">
      <c r="A364" s="2" t="n">
        <v>363</v>
      </c>
      <c r="B364" s="2" t="inlineStr">
        <is>
          <t>KH002</t>
        </is>
      </c>
      <c r="C364" s="3" t="inlineStr">
        <is>
          <t>Nguyễn Hoàng Phú</t>
        </is>
      </c>
      <c r="D364" s="2" t="inlineStr">
        <is>
          <t>HCM</t>
        </is>
      </c>
      <c r="E364" s="2" t="inlineStr">
        <is>
          <t>BẢO TRÂM</t>
        </is>
      </c>
      <c r="F364" s="2" t="inlineStr">
        <is>
          <t>Shopee</t>
        </is>
      </c>
      <c r="G364" s="2" t="inlineStr">
        <is>
          <t>KRLK-44*370</t>
        </is>
      </c>
      <c r="H364" s="3" t="inlineStr">
        <is>
          <t>Khoan rút lõi bê tông nước + khô KRLK-44*370</t>
        </is>
      </c>
      <c r="I364" s="4" t="n">
        <v>276000</v>
      </c>
      <c r="J364" s="4" t="n"/>
      <c r="K364" s="4">
        <f>IF(AND(ISNUMBER(J364),ISNUMBER(I364)),J364-I364,"")</f>
        <v/>
      </c>
      <c r="L364" s="5">
        <f>IF(AND(ISNUMBER(J364),ISNUMBER(I364),I364&gt;0),(J364-I364)/I364,"")</f>
        <v/>
      </c>
      <c r="M364" s="2">
        <f>IF(L364="","",IF(L364&lt;-0.05,"Bán phá giá",IF(L364&gt;0.05,"Bán cao hơn","Đúng giá niêm yết")))</f>
        <v/>
      </c>
      <c r="N364" s="2" t="n"/>
      <c r="O364" s="3" t="n"/>
      <c r="P364" s="3" t="n"/>
    </row>
    <row r="365">
      <c r="A365" s="2" t="n">
        <v>364</v>
      </c>
      <c r="B365" s="2" t="inlineStr">
        <is>
          <t>KH002</t>
        </is>
      </c>
      <c r="C365" s="3" t="inlineStr">
        <is>
          <t>Nguyễn Hoàng Phú</t>
        </is>
      </c>
      <c r="D365" s="2" t="inlineStr">
        <is>
          <t>HCM</t>
        </is>
      </c>
      <c r="E365" s="2" t="inlineStr">
        <is>
          <t>BẢO TRÂM</t>
        </is>
      </c>
      <c r="F365" s="2" t="inlineStr">
        <is>
          <t>Shopee</t>
        </is>
      </c>
      <c r="G365" s="2" t="inlineStr">
        <is>
          <t>KRLK-51*370</t>
        </is>
      </c>
      <c r="H365" s="3" t="inlineStr">
        <is>
          <t>Khoan rút lõi bê tông nước + khô KRLK-51*370</t>
        </is>
      </c>
      <c r="I365" s="4" t="n">
        <v>300000</v>
      </c>
      <c r="J365" s="4" t="n"/>
      <c r="K365" s="4">
        <f>IF(AND(ISNUMBER(J365),ISNUMBER(I365)),J365-I365,"")</f>
        <v/>
      </c>
      <c r="L365" s="5">
        <f>IF(AND(ISNUMBER(J365),ISNUMBER(I365),I365&gt;0),(J365-I365)/I365,"")</f>
        <v/>
      </c>
      <c r="M365" s="2">
        <f>IF(L365="","",IF(L365&lt;-0.05,"Bán phá giá",IF(L365&gt;0.05,"Bán cao hơn","Đúng giá niêm yết")))</f>
        <v/>
      </c>
      <c r="N365" s="2" t="n"/>
      <c r="O365" s="3" t="n"/>
      <c r="P365" s="3" t="n"/>
    </row>
    <row r="366">
      <c r="A366" s="2" t="n">
        <v>365</v>
      </c>
      <c r="B366" s="2" t="inlineStr">
        <is>
          <t>KH002</t>
        </is>
      </c>
      <c r="C366" s="3" t="inlineStr">
        <is>
          <t>Nguyễn Hoàng Phú</t>
        </is>
      </c>
      <c r="D366" s="2" t="inlineStr">
        <is>
          <t>HCM</t>
        </is>
      </c>
      <c r="E366" s="2" t="inlineStr">
        <is>
          <t>BẢO TRÂM</t>
        </is>
      </c>
      <c r="F366" s="2" t="inlineStr">
        <is>
          <t>Shopee</t>
        </is>
      </c>
      <c r="G366" s="2" t="inlineStr">
        <is>
          <t>KRLK-56*370</t>
        </is>
      </c>
      <c r="H366" s="3" t="inlineStr">
        <is>
          <t>Khoan rút lõi bê tông nước + khô KRLK-56*370</t>
        </is>
      </c>
      <c r="I366" s="4" t="n">
        <v>319000</v>
      </c>
      <c r="J366" s="4" t="n"/>
      <c r="K366" s="4">
        <f>IF(AND(ISNUMBER(J366),ISNUMBER(I366)),J366-I366,"")</f>
        <v/>
      </c>
      <c r="L366" s="5">
        <f>IF(AND(ISNUMBER(J366),ISNUMBER(I366),I366&gt;0),(J366-I366)/I366,"")</f>
        <v/>
      </c>
      <c r="M366" s="2">
        <f>IF(L366="","",IF(L366&lt;-0.05,"Bán phá giá",IF(L366&gt;0.05,"Bán cao hơn","Đúng giá niêm yết")))</f>
        <v/>
      </c>
      <c r="N366" s="2" t="n"/>
      <c r="O366" s="3" t="n"/>
      <c r="P366" s="3" t="n"/>
    </row>
    <row r="367">
      <c r="A367" s="2" t="n">
        <v>366</v>
      </c>
      <c r="B367" s="2" t="inlineStr">
        <is>
          <t>KH002</t>
        </is>
      </c>
      <c r="C367" s="3" t="inlineStr">
        <is>
          <t>Nguyễn Hoàng Phú</t>
        </is>
      </c>
      <c r="D367" s="2" t="inlineStr">
        <is>
          <t>HCM</t>
        </is>
      </c>
      <c r="E367" s="2" t="inlineStr">
        <is>
          <t>BẢO TRÂM</t>
        </is>
      </c>
      <c r="F367" s="2" t="inlineStr">
        <is>
          <t>Shopee</t>
        </is>
      </c>
      <c r="G367" s="2" t="inlineStr">
        <is>
          <t>KRLK-63*370</t>
        </is>
      </c>
      <c r="H367" s="3" t="inlineStr">
        <is>
          <t>Khoan rút lõi bê tông nước + khô KRLK-63*370</t>
        </is>
      </c>
      <c r="I367" s="4" t="n">
        <v>366000</v>
      </c>
      <c r="J367" s="4" t="n"/>
      <c r="K367" s="4">
        <f>IF(AND(ISNUMBER(J367),ISNUMBER(I367)),J367-I367,"")</f>
        <v/>
      </c>
      <c r="L367" s="5">
        <f>IF(AND(ISNUMBER(J367),ISNUMBER(I367),I367&gt;0),(J367-I367)/I367,"")</f>
        <v/>
      </c>
      <c r="M367" s="2">
        <f>IF(L367="","",IF(L367&lt;-0.05,"Bán phá giá",IF(L367&gt;0.05,"Bán cao hơn","Đúng giá niêm yết")))</f>
        <v/>
      </c>
      <c r="N367" s="2" t="n"/>
      <c r="O367" s="3" t="n"/>
      <c r="P367" s="3" t="n"/>
    </row>
    <row r="368">
      <c r="A368" s="2" t="n">
        <v>367</v>
      </c>
      <c r="B368" s="2" t="inlineStr">
        <is>
          <t>KH002</t>
        </is>
      </c>
      <c r="C368" s="3" t="inlineStr">
        <is>
          <t>Nguyễn Hoàng Phú</t>
        </is>
      </c>
      <c r="D368" s="2" t="inlineStr">
        <is>
          <t>HCM</t>
        </is>
      </c>
      <c r="E368" s="2" t="inlineStr">
        <is>
          <t>BẢO TRÂM</t>
        </is>
      </c>
      <c r="F368" s="2" t="inlineStr">
        <is>
          <t>Shopee</t>
        </is>
      </c>
      <c r="G368" s="2" t="inlineStr">
        <is>
          <t>E3-105DN</t>
        </is>
      </c>
      <c r="H368" s="3" t="inlineStr">
        <is>
          <t>Lưỡi cắt KingBlue E3-105DN</t>
        </is>
      </c>
      <c r="I368" s="4" t="n">
        <v>90000</v>
      </c>
      <c r="J368" s="4" t="n"/>
      <c r="K368" s="4">
        <f>IF(AND(ISNUMBER(J368),ISNUMBER(I368)),J368-I368,"")</f>
        <v/>
      </c>
      <c r="L368" s="5">
        <f>IF(AND(ISNUMBER(J368),ISNUMBER(I368),I368&gt;0),(J368-I368)/I368,"")</f>
        <v/>
      </c>
      <c r="M368" s="2">
        <f>IF(L368="","",IF(L368&lt;-0.05,"Bán phá giá",IF(L368&gt;0.05,"Bán cao hơn","Đúng giá niêm yết")))</f>
        <v/>
      </c>
      <c r="N368" s="2" t="n"/>
      <c r="O368" s="3" t="n"/>
      <c r="P368" s="3" t="n"/>
    </row>
    <row r="369">
      <c r="A369" s="2" t="n">
        <v>368</v>
      </c>
      <c r="B369" s="2" t="inlineStr">
        <is>
          <t>KH002</t>
        </is>
      </c>
      <c r="C369" s="3" t="inlineStr">
        <is>
          <t>Nguyễn Hoàng Phú</t>
        </is>
      </c>
      <c r="D369" s="2" t="inlineStr">
        <is>
          <t>HCM</t>
        </is>
      </c>
      <c r="E369" s="2" t="inlineStr">
        <is>
          <t>BẢO TRÂM</t>
        </is>
      </c>
      <c r="F369" s="2" t="inlineStr">
        <is>
          <t>Shopee</t>
        </is>
      </c>
      <c r="G369" s="2" t="inlineStr">
        <is>
          <t>E3-125DN</t>
        </is>
      </c>
      <c r="H369" s="3" t="inlineStr">
        <is>
          <t>Lưỡi cắt KingBlue E3-125DN</t>
        </is>
      </c>
      <c r="I369" s="4" t="n">
        <v>112000</v>
      </c>
      <c r="J369" s="4" t="n"/>
      <c r="K369" s="4">
        <f>IF(AND(ISNUMBER(J369),ISNUMBER(I369)),J369-I369,"")</f>
        <v/>
      </c>
      <c r="L369" s="5">
        <f>IF(AND(ISNUMBER(J369),ISNUMBER(I369),I369&gt;0),(J369-I369)/I369,"")</f>
        <v/>
      </c>
      <c r="M369" s="2">
        <f>IF(L369="","",IF(L369&lt;-0.05,"Bán phá giá",IF(L369&gt;0.05,"Bán cao hơn","Đúng giá niêm yết")))</f>
        <v/>
      </c>
      <c r="N369" s="2" t="n"/>
      <c r="O369" s="3" t="n"/>
      <c r="P369" s="3" t="n"/>
    </row>
    <row r="370">
      <c r="A370" s="2" t="n">
        <v>369</v>
      </c>
      <c r="B370" s="2" t="inlineStr">
        <is>
          <t>KH002</t>
        </is>
      </c>
      <c r="C370" s="3" t="inlineStr">
        <is>
          <t>Nguyễn Hoàng Phú</t>
        </is>
      </c>
      <c r="D370" s="2" t="inlineStr">
        <is>
          <t>HCM</t>
        </is>
      </c>
      <c r="E370" s="2" t="inlineStr">
        <is>
          <t>BẢO TRÂM</t>
        </is>
      </c>
      <c r="F370" s="2" t="inlineStr">
        <is>
          <t>Shopee</t>
        </is>
      </c>
      <c r="G370" s="2" t="inlineStr">
        <is>
          <t>S1-105DN</t>
        </is>
      </c>
      <c r="H370" s="3" t="inlineStr">
        <is>
          <t>Lưỡi cắt KingBlue S1-105DN</t>
        </is>
      </c>
      <c r="I370" s="4" t="n">
        <v>80000</v>
      </c>
      <c r="J370" s="4" t="n"/>
      <c r="K370" s="4">
        <f>IF(AND(ISNUMBER(J370),ISNUMBER(I370)),J370-I370,"")</f>
        <v/>
      </c>
      <c r="L370" s="5">
        <f>IF(AND(ISNUMBER(J370),ISNUMBER(I370),I370&gt;0),(J370-I370)/I370,"")</f>
        <v/>
      </c>
      <c r="M370" s="2">
        <f>IF(L370="","",IF(L370&lt;-0.05,"Bán phá giá",IF(L370&gt;0.05,"Bán cao hơn","Đúng giá niêm yết")))</f>
        <v/>
      </c>
      <c r="N370" s="2" t="n"/>
      <c r="O370" s="3" t="n"/>
      <c r="P370" s="3" t="n"/>
    </row>
    <row r="371">
      <c r="A371" s="2" t="n">
        <v>370</v>
      </c>
      <c r="B371" s="2" t="inlineStr">
        <is>
          <t>KH002</t>
        </is>
      </c>
      <c r="C371" s="3" t="inlineStr">
        <is>
          <t>Nguyễn Hoàng Phú</t>
        </is>
      </c>
      <c r="D371" s="2" t="inlineStr">
        <is>
          <t>HCM</t>
        </is>
      </c>
      <c r="E371" s="2" t="inlineStr">
        <is>
          <t>BẢO TRÂM</t>
        </is>
      </c>
      <c r="F371" s="2" t="inlineStr">
        <is>
          <t>Shopee</t>
        </is>
      </c>
      <c r="G371" s="2" t="inlineStr">
        <is>
          <t>S1-125DN</t>
        </is>
      </c>
      <c r="H371" s="3" t="inlineStr">
        <is>
          <t>Lưỡi cắt KingBlue S1-125DN</t>
        </is>
      </c>
      <c r="I371" s="4" t="n">
        <v>107000</v>
      </c>
      <c r="J371" s="4" t="n"/>
      <c r="K371" s="4">
        <f>IF(AND(ISNUMBER(J371),ISNUMBER(I371)),J371-I371,"")</f>
        <v/>
      </c>
      <c r="L371" s="5">
        <f>IF(AND(ISNUMBER(J371),ISNUMBER(I371),I371&gt;0),(J371-I371)/I371,"")</f>
        <v/>
      </c>
      <c r="M371" s="2">
        <f>IF(L371="","",IF(L371&lt;-0.05,"Bán phá giá",IF(L371&gt;0.05,"Bán cao hơn","Đúng giá niêm yết")))</f>
        <v/>
      </c>
      <c r="N371" s="2" t="n"/>
      <c r="O371" s="3" t="n"/>
      <c r="P371" s="3" t="n"/>
    </row>
    <row r="372">
      <c r="A372" s="2" t="n">
        <v>371</v>
      </c>
      <c r="B372" s="2" t="inlineStr">
        <is>
          <t>KH002</t>
        </is>
      </c>
      <c r="C372" s="3" t="inlineStr">
        <is>
          <t>Nguyễn Hoàng Phú</t>
        </is>
      </c>
      <c r="D372" s="2" t="inlineStr">
        <is>
          <t>HCM</t>
        </is>
      </c>
      <c r="E372" s="2" t="inlineStr">
        <is>
          <t>BẢO TRÂM</t>
        </is>
      </c>
      <c r="F372" s="2" t="inlineStr">
        <is>
          <t>Shopee</t>
        </is>
      </c>
      <c r="G372" s="2" t="inlineStr">
        <is>
          <t>TS-114R</t>
        </is>
      </c>
      <c r="H372" s="3" t="inlineStr">
        <is>
          <t>Lưỡi cắt KingBlue TS-114R</t>
        </is>
      </c>
      <c r="I372" s="4" t="n">
        <v>63000</v>
      </c>
      <c r="J372" s="4" t="n"/>
      <c r="K372" s="4">
        <f>IF(AND(ISNUMBER(J372),ISNUMBER(I372)),J372-I372,"")</f>
        <v/>
      </c>
      <c r="L372" s="5">
        <f>IF(AND(ISNUMBER(J372),ISNUMBER(I372),I372&gt;0),(J372-I372)/I372,"")</f>
        <v/>
      </c>
      <c r="M372" s="2">
        <f>IF(L372="","",IF(L372&lt;-0.05,"Bán phá giá",IF(L372&gt;0.05,"Bán cao hơn","Đúng giá niêm yết")))</f>
        <v/>
      </c>
      <c r="N372" s="2" t="n"/>
      <c r="O372" s="3" t="n"/>
      <c r="P372" s="3" t="n"/>
    </row>
    <row r="373">
      <c r="A373" s="2" t="n">
        <v>372</v>
      </c>
      <c r="B373" s="2" t="inlineStr">
        <is>
          <t>KH002</t>
        </is>
      </c>
      <c r="C373" s="3" t="inlineStr">
        <is>
          <t>Nguyễn Hoàng Phú</t>
        </is>
      </c>
      <c r="D373" s="2" t="inlineStr">
        <is>
          <t>HCM</t>
        </is>
      </c>
      <c r="E373" s="2" t="inlineStr">
        <is>
          <t>BẢO TRÂM</t>
        </is>
      </c>
      <c r="F373" s="2" t="inlineStr">
        <is>
          <t>Shopee</t>
        </is>
      </c>
      <c r="G373" s="2" t="inlineStr">
        <is>
          <t>V1</t>
        </is>
      </c>
      <c r="H373" s="3" t="inlineStr">
        <is>
          <t>Lưỡi cắt KingBlue V1 110ĐN</t>
        </is>
      </c>
      <c r="I373" s="4" t="n">
        <v>78000</v>
      </c>
      <c r="J373" s="4" t="n"/>
      <c r="K373" s="4">
        <f>IF(AND(ISNUMBER(J373),ISNUMBER(I373)),J373-I373,"")</f>
        <v/>
      </c>
      <c r="L373" s="5">
        <f>IF(AND(ISNUMBER(J373),ISNUMBER(I373),I373&gt;0),(J373-I373)/I373,"")</f>
        <v/>
      </c>
      <c r="M373" s="2">
        <f>IF(L373="","",IF(L373&lt;-0.05,"Bán phá giá",IF(L373&gt;0.05,"Bán cao hơn","Đúng giá niêm yết")))</f>
        <v/>
      </c>
      <c r="N373" s="2" t="n"/>
      <c r="O373" s="3" t="n"/>
      <c r="P373" s="3" t="n"/>
    </row>
    <row r="374">
      <c r="A374" s="2" t="n">
        <v>373</v>
      </c>
      <c r="B374" s="2" t="inlineStr">
        <is>
          <t>KH002</t>
        </is>
      </c>
      <c r="C374" s="3" t="inlineStr">
        <is>
          <t>Nguyễn Hoàng Phú</t>
        </is>
      </c>
      <c r="D374" s="2" t="inlineStr">
        <is>
          <t>HCM</t>
        </is>
      </c>
      <c r="E374" s="2" t="inlineStr">
        <is>
          <t>BẢO TRÂM</t>
        </is>
      </c>
      <c r="F374" s="2" t="inlineStr">
        <is>
          <t>Shopee</t>
        </is>
      </c>
      <c r="G374" s="2" t="inlineStr">
        <is>
          <t>X1-110x30T</t>
        </is>
      </c>
      <c r="H374" s="3" t="inlineStr">
        <is>
          <t>Lưỡi cưa Kingblue X1-110x30T (Cưa gỗ)-NEW</t>
        </is>
      </c>
      <c r="I374" s="4" t="n">
        <v>110000</v>
      </c>
      <c r="J374" s="4" t="n"/>
      <c r="K374" s="4">
        <f>IF(AND(ISNUMBER(J374),ISNUMBER(I374)),J374-I374,"")</f>
        <v/>
      </c>
      <c r="L374" s="5">
        <f>IF(AND(ISNUMBER(J374),ISNUMBER(I374),I374&gt;0),(J374-I374)/I374,"")</f>
        <v/>
      </c>
      <c r="M374" s="2">
        <f>IF(L374="","",IF(L374&lt;-0.05,"Bán phá giá",IF(L374&gt;0.05,"Bán cao hơn","Đúng giá niêm yết")))</f>
        <v/>
      </c>
      <c r="N374" s="2" t="n"/>
      <c r="O374" s="3" t="n"/>
      <c r="P374" s="3" t="n"/>
    </row>
    <row r="375">
      <c r="A375" s="2" t="n">
        <v>374</v>
      </c>
      <c r="B375" s="2" t="inlineStr">
        <is>
          <t>KH002</t>
        </is>
      </c>
      <c r="C375" s="3" t="inlineStr">
        <is>
          <t>Nguyễn Hoàng Phú</t>
        </is>
      </c>
      <c r="D375" s="2" t="inlineStr">
        <is>
          <t>HCM</t>
        </is>
      </c>
      <c r="E375" s="2" t="inlineStr">
        <is>
          <t>BẢO TRÂM</t>
        </is>
      </c>
      <c r="F375" s="2" t="inlineStr">
        <is>
          <t>Shopee</t>
        </is>
      </c>
      <c r="G375" s="2" t="inlineStr">
        <is>
          <t>KBA-UL1200</t>
        </is>
      </c>
      <c r="H375" s="3" t="inlineStr">
        <is>
          <t>Máy rửa xe áp lực cao KBA-UL1200</t>
        </is>
      </c>
      <c r="I375" s="4" t="n"/>
      <c r="J375" s="4" t="n"/>
      <c r="K375" s="4">
        <f>IF(AND(ISNUMBER(J375),ISNUMBER(I375)),J375-I375,"")</f>
        <v/>
      </c>
      <c r="L375" s="5">
        <f>IF(AND(ISNUMBER(J375),ISNUMBER(I375),I375&gt;0),(J375-I375)/I375,"")</f>
        <v/>
      </c>
      <c r="M375" s="2">
        <f>IF(L375="","",IF(L375&lt;-0.05,"Bán phá giá",IF(L375&gt;0.05,"Bán cao hơn","Đúng giá niêm yết")))</f>
        <v/>
      </c>
      <c r="N375" s="2" t="n"/>
      <c r="O375" s="3" t="n"/>
      <c r="P375" s="3" t="n"/>
    </row>
    <row r="376">
      <c r="A376" s="2" t="n">
        <v>375</v>
      </c>
      <c r="B376" s="2" t="inlineStr">
        <is>
          <t>KH002</t>
        </is>
      </c>
      <c r="C376" s="3" t="inlineStr">
        <is>
          <t>Nguyễn Hoàng Phú</t>
        </is>
      </c>
      <c r="D376" s="2" t="inlineStr">
        <is>
          <t>HCM</t>
        </is>
      </c>
      <c r="E376" s="2" t="inlineStr">
        <is>
          <t>BẢO TRÂM</t>
        </is>
      </c>
      <c r="F376" s="2" t="inlineStr">
        <is>
          <t>Shopee</t>
        </is>
      </c>
      <c r="G376" s="2" t="inlineStr">
        <is>
          <t>V100R</t>
        </is>
      </c>
      <c r="H376" s="3" t="inlineStr">
        <is>
          <t>Mũi bắn vít chống trượt KingBlue V100R</t>
        </is>
      </c>
      <c r="I376" s="4" t="n">
        <v>42000</v>
      </c>
      <c r="J376" s="4" t="n"/>
      <c r="K376" s="4">
        <f>IF(AND(ISNUMBER(J376),ISNUMBER(I376)),J376-I376,"")</f>
        <v/>
      </c>
      <c r="L376" s="5">
        <f>IF(AND(ISNUMBER(J376),ISNUMBER(I376),I376&gt;0),(J376-I376)/I376,"")</f>
        <v/>
      </c>
      <c r="M376" s="2">
        <f>IF(L376="","",IF(L376&lt;-0.05,"Bán phá giá",IF(L376&gt;0.05,"Bán cao hơn","Đúng giá niêm yết")))</f>
        <v/>
      </c>
      <c r="N376" s="2" t="n"/>
      <c r="O376" s="3" t="n"/>
      <c r="P376" s="3" t="n"/>
    </row>
    <row r="377">
      <c r="A377" s="2" t="n">
        <v>376</v>
      </c>
      <c r="B377" s="2" t="inlineStr">
        <is>
          <t>KH002</t>
        </is>
      </c>
      <c r="C377" s="3" t="inlineStr">
        <is>
          <t>Nguyễn Hoàng Phú</t>
        </is>
      </c>
      <c r="D377" s="2" t="inlineStr">
        <is>
          <t>HCM</t>
        </is>
      </c>
      <c r="E377" s="2" t="inlineStr">
        <is>
          <t>BẢO TRÂM</t>
        </is>
      </c>
      <c r="F377" s="2" t="inlineStr">
        <is>
          <t>Shopee</t>
        </is>
      </c>
      <c r="G377" s="2" t="inlineStr">
        <is>
          <t>V150R</t>
        </is>
      </c>
      <c r="H377" s="3" t="inlineStr">
        <is>
          <t>Mũi bắn vít chống trượt KingBlue V150R</t>
        </is>
      </c>
      <c r="I377" s="4" t="n">
        <v>40000</v>
      </c>
      <c r="J377" s="4" t="n"/>
      <c r="K377" s="4">
        <f>IF(AND(ISNUMBER(J377),ISNUMBER(I377)),J377-I377,"")</f>
        <v/>
      </c>
      <c r="L377" s="5">
        <f>IF(AND(ISNUMBER(J377),ISNUMBER(I377),I377&gt;0),(J377-I377)/I377,"")</f>
        <v/>
      </c>
      <c r="M377" s="2">
        <f>IF(L377="","",IF(L377&lt;-0.05,"Bán phá giá",IF(L377&gt;0.05,"Bán cao hơn","Đúng giá niêm yết")))</f>
        <v/>
      </c>
      <c r="N377" s="2" t="n"/>
      <c r="O377" s="3" t="n"/>
      <c r="P377" s="3" t="n"/>
    </row>
    <row r="378">
      <c r="A378" s="2" t="n">
        <v>377</v>
      </c>
      <c r="B378" s="2" t="inlineStr">
        <is>
          <t>KH002</t>
        </is>
      </c>
      <c r="C378" s="3" t="inlineStr">
        <is>
          <t>Nguyễn Hoàng Phú</t>
        </is>
      </c>
      <c r="D378" s="2" t="inlineStr">
        <is>
          <t>HCM</t>
        </is>
      </c>
      <c r="E378" s="2" t="inlineStr">
        <is>
          <t>BẢO TRÂM</t>
        </is>
      </c>
      <c r="F378" s="2" t="inlineStr">
        <is>
          <t>Shopee</t>
        </is>
      </c>
      <c r="G378" s="2" t="inlineStr">
        <is>
          <t>V65R</t>
        </is>
      </c>
      <c r="H378" s="3" t="inlineStr">
        <is>
          <t>Mũi bắn vít chống trượt KingBlue V65R</t>
        </is>
      </c>
      <c r="I378" s="4" t="n">
        <v>31000</v>
      </c>
      <c r="J378" s="4" t="n"/>
      <c r="K378" s="4">
        <f>IF(AND(ISNUMBER(J378),ISNUMBER(I378)),J378-I378,"")</f>
        <v/>
      </c>
      <c r="L378" s="5">
        <f>IF(AND(ISNUMBER(J378),ISNUMBER(I378),I378&gt;0),(J378-I378)/I378,"")</f>
        <v/>
      </c>
      <c r="M378" s="2">
        <f>IF(L378="","",IF(L378&lt;-0.05,"Bán phá giá",IF(L378&gt;0.05,"Bán cao hơn","Đúng giá niêm yết")))</f>
        <v/>
      </c>
      <c r="N378" s="2" t="n"/>
      <c r="O378" s="3" t="n"/>
      <c r="P378" s="3" t="n"/>
    </row>
    <row r="379">
      <c r="A379" s="2" t="n">
        <v>378</v>
      </c>
      <c r="B379" s="2" t="inlineStr">
        <is>
          <t>KH002</t>
        </is>
      </c>
      <c r="C379" s="3" t="inlineStr">
        <is>
          <t>Nguyễn Hoàng Phú</t>
        </is>
      </c>
      <c r="D379" s="2" t="inlineStr">
        <is>
          <t>HCM</t>
        </is>
      </c>
      <c r="E379" s="2" t="inlineStr">
        <is>
          <t>BẢO TRÂM</t>
        </is>
      </c>
      <c r="F379" s="2" t="inlineStr">
        <is>
          <t>Shopee</t>
        </is>
      </c>
      <c r="G379" s="2" t="inlineStr"/>
      <c r="H379" s="3" t="inlineStr">
        <is>
          <t>Mũi đục bê tông KBVd-14*250*22</t>
        </is>
      </c>
      <c r="I379" s="4" t="n">
        <v>63000</v>
      </c>
      <c r="J379" s="4" t="n"/>
      <c r="K379" s="4">
        <f>IF(AND(ISNUMBER(J379),ISNUMBER(I379)),J379-I379,"")</f>
        <v/>
      </c>
      <c r="L379" s="5">
        <f>IF(AND(ISNUMBER(J379),ISNUMBER(I379),I379&gt;0),(J379-I379)/I379,"")</f>
        <v/>
      </c>
      <c r="M379" s="2">
        <f>IF(L379="","",IF(L379&lt;-0.05,"Bán phá giá",IF(L379&gt;0.05,"Bán cao hơn","Đúng giá niêm yết")))</f>
        <v/>
      </c>
      <c r="N379" s="2" t="n"/>
      <c r="O379" s="3" t="n"/>
      <c r="P379" s="3" t="n"/>
    </row>
    <row r="380">
      <c r="A380" s="2" t="n">
        <v>379</v>
      </c>
      <c r="B380" s="2" t="inlineStr">
        <is>
          <t>KH002</t>
        </is>
      </c>
      <c r="C380" s="3" t="inlineStr">
        <is>
          <t>Nguyễn Hoàng Phú</t>
        </is>
      </c>
      <c r="D380" s="2" t="inlineStr">
        <is>
          <t>HCM</t>
        </is>
      </c>
      <c r="E380" s="2" t="inlineStr">
        <is>
          <t>BẢO TRÂM</t>
        </is>
      </c>
      <c r="F380" s="2" t="inlineStr">
        <is>
          <t>Shopee</t>
        </is>
      </c>
      <c r="G380" s="2" t="inlineStr"/>
      <c r="H380" s="3" t="inlineStr">
        <is>
          <t>Mũi đục bê tông KBVd-17*280*25</t>
        </is>
      </c>
      <c r="I380" s="4" t="n">
        <v>82000</v>
      </c>
      <c r="J380" s="4" t="n"/>
      <c r="K380" s="4">
        <f>IF(AND(ISNUMBER(J380),ISNUMBER(I380)),J380-I380,"")</f>
        <v/>
      </c>
      <c r="L380" s="5">
        <f>IF(AND(ISNUMBER(J380),ISNUMBER(I380),I380&gt;0),(J380-I380)/I380,"")</f>
        <v/>
      </c>
      <c r="M380" s="2">
        <f>IF(L380="","",IF(L380&lt;-0.05,"Bán phá giá",IF(L380&gt;0.05,"Bán cao hơn","Đúng giá niêm yết")))</f>
        <v/>
      </c>
      <c r="N380" s="2" t="n"/>
      <c r="O380" s="3" t="n"/>
      <c r="P380" s="3" t="n"/>
    </row>
    <row r="381">
      <c r="A381" s="2" t="n">
        <v>380</v>
      </c>
      <c r="B381" s="2" t="inlineStr">
        <is>
          <t>KH002</t>
        </is>
      </c>
      <c r="C381" s="3" t="inlineStr">
        <is>
          <t>Nguyễn Hoàng Phú</t>
        </is>
      </c>
      <c r="D381" s="2" t="inlineStr">
        <is>
          <t>HCM</t>
        </is>
      </c>
      <c r="E381" s="2" t="inlineStr">
        <is>
          <t>BẢO TRÂM</t>
        </is>
      </c>
      <c r="F381" s="2" t="inlineStr">
        <is>
          <t>Shopee</t>
        </is>
      </c>
      <c r="G381" s="2" t="inlineStr"/>
      <c r="H381" s="3" t="inlineStr">
        <is>
          <t>Mũi đục bê tông KBVn 30*420</t>
        </is>
      </c>
      <c r="I381" s="4" t="n">
        <v>236000</v>
      </c>
      <c r="J381" s="4" t="n"/>
      <c r="K381" s="4">
        <f>IF(AND(ISNUMBER(J381),ISNUMBER(I381)),J381-I381,"")</f>
        <v/>
      </c>
      <c r="L381" s="5">
        <f>IF(AND(ISNUMBER(J381),ISNUMBER(I381),I381&gt;0),(J381-I381)/I381,"")</f>
        <v/>
      </c>
      <c r="M381" s="2">
        <f>IF(L381="","",IF(L381&lt;-0.05,"Bán phá giá",IF(L381&gt;0.05,"Bán cao hơn","Đúng giá niêm yết")))</f>
        <v/>
      </c>
      <c r="N381" s="2" t="n"/>
      <c r="O381" s="3" t="n"/>
      <c r="P381" s="3" t="n"/>
    </row>
    <row r="382">
      <c r="A382" s="2" t="n">
        <v>381</v>
      </c>
      <c r="B382" s="2" t="inlineStr">
        <is>
          <t>KH002</t>
        </is>
      </c>
      <c r="C382" s="3" t="inlineStr">
        <is>
          <t>Nguyễn Hoàng Phú</t>
        </is>
      </c>
      <c r="D382" s="2" t="inlineStr">
        <is>
          <t>HCM</t>
        </is>
      </c>
      <c r="E382" s="2" t="inlineStr">
        <is>
          <t>BẢO TRÂM</t>
        </is>
      </c>
      <c r="F382" s="2" t="inlineStr">
        <is>
          <t>Shopee</t>
        </is>
      </c>
      <c r="G382" s="2" t="inlineStr"/>
      <c r="H382" s="3" t="inlineStr">
        <is>
          <t>Mũi đục bê tông KBVn-14*250</t>
        </is>
      </c>
      <c r="I382" s="4" t="n">
        <v>63000</v>
      </c>
      <c r="J382" s="4" t="n"/>
      <c r="K382" s="4">
        <f>IF(AND(ISNUMBER(J382),ISNUMBER(I382)),J382-I382,"")</f>
        <v/>
      </c>
      <c r="L382" s="5">
        <f>IF(AND(ISNUMBER(J382),ISNUMBER(I382),I382&gt;0),(J382-I382)/I382,"")</f>
        <v/>
      </c>
      <c r="M382" s="2">
        <f>IF(L382="","",IF(L382&lt;-0.05,"Bán phá giá",IF(L382&gt;0.05,"Bán cao hơn","Đúng giá niêm yết")))</f>
        <v/>
      </c>
      <c r="N382" s="2" t="n"/>
      <c r="O382" s="3" t="n"/>
      <c r="P382" s="3" t="n"/>
    </row>
    <row r="383">
      <c r="A383" s="2" t="n">
        <v>382</v>
      </c>
      <c r="B383" s="2" t="inlineStr">
        <is>
          <t>KH002</t>
        </is>
      </c>
      <c r="C383" s="3" t="inlineStr">
        <is>
          <t>Nguyễn Hoàng Phú</t>
        </is>
      </c>
      <c r="D383" s="2" t="inlineStr">
        <is>
          <t>HCM</t>
        </is>
      </c>
      <c r="E383" s="2" t="inlineStr">
        <is>
          <t>BẢO TRÂM</t>
        </is>
      </c>
      <c r="F383" s="2" t="inlineStr">
        <is>
          <t>Shopee</t>
        </is>
      </c>
      <c r="G383" s="2" t="inlineStr"/>
      <c r="H383" s="3" t="inlineStr">
        <is>
          <t>Mũi đục bê tông KBVn-17*280</t>
        </is>
      </c>
      <c r="I383" s="4" t="n">
        <v>82000</v>
      </c>
      <c r="J383" s="4" t="n"/>
      <c r="K383" s="4">
        <f>IF(AND(ISNUMBER(J383),ISNUMBER(I383)),J383-I383,"")</f>
        <v/>
      </c>
      <c r="L383" s="5">
        <f>IF(AND(ISNUMBER(J383),ISNUMBER(I383),I383&gt;0),(J383-I383)/I383,"")</f>
        <v/>
      </c>
      <c r="M383" s="2">
        <f>IF(L383="","",IF(L383&lt;-0.05,"Bán phá giá",IF(L383&gt;0.05,"Bán cao hơn","Đúng giá niêm yết")))</f>
        <v/>
      </c>
      <c r="N383" s="2" t="n"/>
      <c r="O383" s="3" t="n"/>
      <c r="P383" s="3" t="n"/>
    </row>
    <row r="384">
      <c r="A384" s="2" t="n">
        <v>383</v>
      </c>
      <c r="B384" s="2" t="inlineStr">
        <is>
          <t>KH002</t>
        </is>
      </c>
      <c r="C384" s="3" t="inlineStr">
        <is>
          <t>Nguyễn Hoàng Phú</t>
        </is>
      </c>
      <c r="D384" s="2" t="inlineStr">
        <is>
          <t>HCM</t>
        </is>
      </c>
      <c r="E384" s="2" t="inlineStr">
        <is>
          <t>BẢO TRÂM</t>
        </is>
      </c>
      <c r="F384" s="2" t="inlineStr">
        <is>
          <t>Shopee</t>
        </is>
      </c>
      <c r="G384" s="2" t="inlineStr">
        <is>
          <t>KBL2-06*160</t>
        </is>
      </c>
      <c r="H384" s="3" t="inlineStr">
        <is>
          <t>Mũi khoan bê tông gài 2 cạnh KBL2-06*160</t>
        </is>
      </c>
      <c r="I384" s="4" t="n">
        <v>27500</v>
      </c>
      <c r="J384" s="4" t="n"/>
      <c r="K384" s="4">
        <f>IF(AND(ISNUMBER(J384),ISNUMBER(I384)),J384-I384,"")</f>
        <v/>
      </c>
      <c r="L384" s="5">
        <f>IF(AND(ISNUMBER(J384),ISNUMBER(I384),I384&gt;0),(J384-I384)/I384,"")</f>
        <v/>
      </c>
      <c r="M384" s="2">
        <f>IF(L384="","",IF(L384&lt;-0.05,"Bán phá giá",IF(L384&gt;0.05,"Bán cao hơn","Đúng giá niêm yết")))</f>
        <v/>
      </c>
      <c r="N384" s="2" t="n"/>
      <c r="O384" s="3" t="n"/>
      <c r="P384" s="3" t="n"/>
    </row>
    <row r="385">
      <c r="A385" s="2" t="n">
        <v>384</v>
      </c>
      <c r="B385" s="2" t="inlineStr">
        <is>
          <t>KH002</t>
        </is>
      </c>
      <c r="C385" s="3" t="inlineStr">
        <is>
          <t>Nguyễn Hoàng Phú</t>
        </is>
      </c>
      <c r="D385" s="2" t="inlineStr">
        <is>
          <t>HCM</t>
        </is>
      </c>
      <c r="E385" s="2" t="inlineStr">
        <is>
          <t>BẢO TRÂM</t>
        </is>
      </c>
      <c r="F385" s="2" t="inlineStr">
        <is>
          <t>Shopee</t>
        </is>
      </c>
      <c r="G385" s="2" t="inlineStr">
        <is>
          <t>KBL2-08*160</t>
        </is>
      </c>
      <c r="H385" s="3" t="inlineStr">
        <is>
          <t>Mũi khoan bê tông gài 2 cạnh KBL2-08*160</t>
        </is>
      </c>
      <c r="I385" s="4" t="n">
        <v>29000</v>
      </c>
      <c r="J385" s="4" t="n"/>
      <c r="K385" s="4">
        <f>IF(AND(ISNUMBER(J385),ISNUMBER(I385)),J385-I385,"")</f>
        <v/>
      </c>
      <c r="L385" s="5">
        <f>IF(AND(ISNUMBER(J385),ISNUMBER(I385),I385&gt;0),(J385-I385)/I385,"")</f>
        <v/>
      </c>
      <c r="M385" s="2">
        <f>IF(L385="","",IF(L385&lt;-0.05,"Bán phá giá",IF(L385&gt;0.05,"Bán cao hơn","Đúng giá niêm yết")))</f>
        <v/>
      </c>
      <c r="N385" s="2" t="n"/>
      <c r="O385" s="3" t="n"/>
      <c r="P385" s="3" t="n"/>
    </row>
    <row r="386">
      <c r="A386" s="2" t="n">
        <v>385</v>
      </c>
      <c r="B386" s="2" t="inlineStr">
        <is>
          <t>KH002</t>
        </is>
      </c>
      <c r="C386" s="3" t="inlineStr">
        <is>
          <t>Nguyễn Hoàng Phú</t>
        </is>
      </c>
      <c r="D386" s="2" t="inlineStr">
        <is>
          <t>HCM</t>
        </is>
      </c>
      <c r="E386" s="2" t="inlineStr">
        <is>
          <t>BẢO TRÂM</t>
        </is>
      </c>
      <c r="F386" s="2" t="inlineStr">
        <is>
          <t>Shopee</t>
        </is>
      </c>
      <c r="G386" s="2" t="inlineStr">
        <is>
          <t>KBL2-10*160</t>
        </is>
      </c>
      <c r="H386" s="3" t="inlineStr">
        <is>
          <t>Mũi khoan bê tông gài 2 cạnh KBL2-10*160</t>
        </is>
      </c>
      <c r="I386" s="4" t="n">
        <v>32000</v>
      </c>
      <c r="J386" s="4" t="n"/>
      <c r="K386" s="4">
        <f>IF(AND(ISNUMBER(J386),ISNUMBER(I386)),J386-I386,"")</f>
        <v/>
      </c>
      <c r="L386" s="5">
        <f>IF(AND(ISNUMBER(J386),ISNUMBER(I386),I386&gt;0),(J386-I386)/I386,"")</f>
        <v/>
      </c>
      <c r="M386" s="2">
        <f>IF(L386="","",IF(L386&lt;-0.05,"Bán phá giá",IF(L386&gt;0.05,"Bán cao hơn","Đúng giá niêm yết")))</f>
        <v/>
      </c>
      <c r="N386" s="2" t="n"/>
      <c r="O386" s="3" t="n"/>
      <c r="P386" s="3" t="n"/>
    </row>
    <row r="387">
      <c r="A387" s="2" t="n">
        <v>386</v>
      </c>
      <c r="B387" s="2" t="inlineStr">
        <is>
          <t>KH002</t>
        </is>
      </c>
      <c r="C387" s="3" t="inlineStr">
        <is>
          <t>Nguyễn Hoàng Phú</t>
        </is>
      </c>
      <c r="D387" s="2" t="inlineStr">
        <is>
          <t>HCM</t>
        </is>
      </c>
      <c r="E387" s="2" t="inlineStr">
        <is>
          <t>BẢO TRÂM</t>
        </is>
      </c>
      <c r="F387" s="2" t="inlineStr">
        <is>
          <t>Shopee</t>
        </is>
      </c>
      <c r="G387" s="2" t="inlineStr">
        <is>
          <t>KBL2-12*160</t>
        </is>
      </c>
      <c r="H387" s="3" t="inlineStr">
        <is>
          <t>Mũi khoan bê tông gài 2 cạnh KBL2-12*160</t>
        </is>
      </c>
      <c r="I387" s="4" t="n">
        <v>36000</v>
      </c>
      <c r="J387" s="4" t="n"/>
      <c r="K387" s="4">
        <f>IF(AND(ISNUMBER(J387),ISNUMBER(I387)),J387-I387,"")</f>
        <v/>
      </c>
      <c r="L387" s="5">
        <f>IF(AND(ISNUMBER(J387),ISNUMBER(I387),I387&gt;0),(J387-I387)/I387,"")</f>
        <v/>
      </c>
      <c r="M387" s="2">
        <f>IF(L387="","",IF(L387&lt;-0.05,"Bán phá giá",IF(L387&gt;0.05,"Bán cao hơn","Đúng giá niêm yết")))</f>
        <v/>
      </c>
      <c r="N387" s="2" t="n"/>
      <c r="O387" s="3" t="n"/>
      <c r="P387" s="3" t="n"/>
    </row>
    <row r="388">
      <c r="A388" s="2" t="n">
        <v>387</v>
      </c>
      <c r="B388" s="2" t="inlineStr">
        <is>
          <t>KH002</t>
        </is>
      </c>
      <c r="C388" s="3" t="inlineStr">
        <is>
          <t>Nguyễn Hoàng Phú</t>
        </is>
      </c>
      <c r="D388" s="2" t="inlineStr">
        <is>
          <t>HCM</t>
        </is>
      </c>
      <c r="E388" s="2" t="inlineStr">
        <is>
          <t>BẢO TRÂM</t>
        </is>
      </c>
      <c r="F388" s="2" t="inlineStr">
        <is>
          <t>Shopee</t>
        </is>
      </c>
      <c r="G388" s="2" t="inlineStr">
        <is>
          <t>KBL2-08*310</t>
        </is>
      </c>
      <c r="H388" s="3" t="inlineStr">
        <is>
          <t>Mũi khoan bê tông gài xuyên tường 2 cạnh KBL2-08*310</t>
        </is>
      </c>
      <c r="I388" s="4" t="n">
        <v>49000</v>
      </c>
      <c r="J388" s="4" t="n"/>
      <c r="K388" s="4">
        <f>IF(AND(ISNUMBER(J388),ISNUMBER(I388)),J388-I388,"")</f>
        <v/>
      </c>
      <c r="L388" s="5">
        <f>IF(AND(ISNUMBER(J388),ISNUMBER(I388),I388&gt;0),(J388-I388)/I388,"")</f>
        <v/>
      </c>
      <c r="M388" s="2">
        <f>IF(L388="","",IF(L388&lt;-0.05,"Bán phá giá",IF(L388&gt;0.05,"Bán cao hơn","Đúng giá niêm yết")))</f>
        <v/>
      </c>
      <c r="N388" s="2" t="n"/>
      <c r="O388" s="3" t="n"/>
      <c r="P388" s="3" t="n"/>
    </row>
    <row r="389">
      <c r="A389" s="2" t="n">
        <v>388</v>
      </c>
      <c r="B389" s="2" t="inlineStr">
        <is>
          <t>KH002</t>
        </is>
      </c>
      <c r="C389" s="3" t="inlineStr">
        <is>
          <t>Nguyễn Hoàng Phú</t>
        </is>
      </c>
      <c r="D389" s="2" t="inlineStr">
        <is>
          <t>HCM</t>
        </is>
      </c>
      <c r="E389" s="2" t="inlineStr">
        <is>
          <t>BẢO TRÂM</t>
        </is>
      </c>
      <c r="F389" s="2" t="inlineStr">
        <is>
          <t>Shopee</t>
        </is>
      </c>
      <c r="G389" s="2" t="inlineStr">
        <is>
          <t>KBL2-10*310</t>
        </is>
      </c>
      <c r="H389" s="3" t="inlineStr">
        <is>
          <t>Mũi khoan bê tông gài xuyên tường 2 cạnh KBL2-10*310</t>
        </is>
      </c>
      <c r="I389" s="4" t="n">
        <v>56000</v>
      </c>
      <c r="J389" s="4" t="n"/>
      <c r="K389" s="4">
        <f>IF(AND(ISNUMBER(J389),ISNUMBER(I389)),J389-I389,"")</f>
        <v/>
      </c>
      <c r="L389" s="5">
        <f>IF(AND(ISNUMBER(J389),ISNUMBER(I389),I389&gt;0),(J389-I389)/I389,"")</f>
        <v/>
      </c>
      <c r="M389" s="2">
        <f>IF(L389="","",IF(L389&lt;-0.05,"Bán phá giá",IF(L389&gt;0.05,"Bán cao hơn","Đúng giá niêm yết")))</f>
        <v/>
      </c>
      <c r="N389" s="2" t="n"/>
      <c r="O389" s="3" t="n"/>
      <c r="P389" s="3" t="n"/>
    </row>
    <row r="390">
      <c r="A390" s="2" t="n">
        <v>389</v>
      </c>
      <c r="B390" s="2" t="inlineStr">
        <is>
          <t>KH002</t>
        </is>
      </c>
      <c r="C390" s="3" t="inlineStr">
        <is>
          <t>Nguyễn Hoàng Phú</t>
        </is>
      </c>
      <c r="D390" s="2" t="inlineStr">
        <is>
          <t>HCM</t>
        </is>
      </c>
      <c r="E390" s="2" t="inlineStr">
        <is>
          <t>BẢO TRÂM</t>
        </is>
      </c>
      <c r="F390" s="2" t="inlineStr">
        <is>
          <t>Shopee</t>
        </is>
      </c>
      <c r="G390" s="2" t="inlineStr">
        <is>
          <t>KBL2-12*310</t>
        </is>
      </c>
      <c r="H390" s="3" t="inlineStr">
        <is>
          <t>Mũi khoan bê tông gài xuyên tường 2 cạnh KBL2-12*310</t>
        </is>
      </c>
      <c r="I390" s="4" t="n">
        <v>57000</v>
      </c>
      <c r="J390" s="4" t="n"/>
      <c r="K390" s="4">
        <f>IF(AND(ISNUMBER(J390),ISNUMBER(I390)),J390-I390,"")</f>
        <v/>
      </c>
      <c r="L390" s="5">
        <f>IF(AND(ISNUMBER(J390),ISNUMBER(I390),I390&gt;0),(J390-I390)/I390,"")</f>
        <v/>
      </c>
      <c r="M390" s="2">
        <f>IF(L390="","",IF(L390&lt;-0.05,"Bán phá giá",IF(L390&gt;0.05,"Bán cao hơn","Đúng giá niêm yết")))</f>
        <v/>
      </c>
      <c r="N390" s="2" t="n"/>
      <c r="O390" s="3" t="n"/>
      <c r="P390" s="3" t="n"/>
    </row>
    <row r="391">
      <c r="A391" s="2" t="n">
        <v>390</v>
      </c>
      <c r="B391" s="2" t="inlineStr">
        <is>
          <t>KH002</t>
        </is>
      </c>
      <c r="C391" s="3" t="inlineStr">
        <is>
          <t>Nguyễn Hoàng Phú</t>
        </is>
      </c>
      <c r="D391" s="2" t="inlineStr">
        <is>
          <t>HCM</t>
        </is>
      </c>
      <c r="E391" s="2" t="inlineStr">
        <is>
          <t>BẢO TRÂM</t>
        </is>
      </c>
      <c r="F391" s="2" t="inlineStr">
        <is>
          <t>Shopee</t>
        </is>
      </c>
      <c r="G391" s="2" t="inlineStr">
        <is>
          <t>KBL2-16*310</t>
        </is>
      </c>
      <c r="H391" s="3" t="inlineStr">
        <is>
          <t>Mũi khoan bê tông gài xuyên tường 2 cạnh KBL2-16*310</t>
        </is>
      </c>
      <c r="I391" s="4" t="n">
        <v>85000</v>
      </c>
      <c r="J391" s="4" t="n"/>
      <c r="K391" s="4">
        <f>IF(AND(ISNUMBER(J391),ISNUMBER(I391)),J391-I391,"")</f>
        <v/>
      </c>
      <c r="L391" s="5">
        <f>IF(AND(ISNUMBER(J391),ISNUMBER(I391),I391&gt;0),(J391-I391)/I391,"")</f>
        <v/>
      </c>
      <c r="M391" s="2">
        <f>IF(L391="","",IF(L391&lt;-0.05,"Bán phá giá",IF(L391&gt;0.05,"Bán cao hơn","Đúng giá niêm yết")))</f>
        <v/>
      </c>
      <c r="N391" s="2" t="n"/>
      <c r="O391" s="3" t="n"/>
      <c r="P391" s="3" t="n"/>
    </row>
    <row r="392">
      <c r="A392" s="2" t="n">
        <v>391</v>
      </c>
      <c r="B392" s="2" t="inlineStr">
        <is>
          <t>KH002</t>
        </is>
      </c>
      <c r="C392" s="3" t="inlineStr">
        <is>
          <t>Nguyễn Hoàng Phú</t>
        </is>
      </c>
      <c r="D392" s="2" t="inlineStr">
        <is>
          <t>HCM</t>
        </is>
      </c>
      <c r="E392" s="2" t="inlineStr">
        <is>
          <t>BẢO TRÂM</t>
        </is>
      </c>
      <c r="F392" s="2" t="inlineStr">
        <is>
          <t>Shopee</t>
        </is>
      </c>
      <c r="G392" s="2" t="inlineStr">
        <is>
          <t>KBL2-3.2*90</t>
        </is>
      </c>
      <c r="H392" s="3" t="inlineStr">
        <is>
          <t>Mũi khoan bê tông không tắc kê KBL2-3.2*90</t>
        </is>
      </c>
      <c r="I392" s="4" t="n">
        <v>66000</v>
      </c>
      <c r="J392" s="4" t="n"/>
      <c r="K392" s="4">
        <f>IF(AND(ISNUMBER(J392),ISNUMBER(I392)),J392-I392,"")</f>
        <v/>
      </c>
      <c r="L392" s="5">
        <f>IF(AND(ISNUMBER(J392),ISNUMBER(I392),I392&gt;0),(J392-I392)/I392,"")</f>
        <v/>
      </c>
      <c r="M392" s="2">
        <f>IF(L392="","",IF(L392&lt;-0.05,"Bán phá giá",IF(L392&gt;0.05,"Bán cao hơn","Đúng giá niêm yết")))</f>
        <v/>
      </c>
      <c r="N392" s="2" t="n"/>
      <c r="O392" s="3" t="n"/>
      <c r="P392" s="3" t="n"/>
    </row>
    <row r="393">
      <c r="A393" s="2" t="n">
        <v>392</v>
      </c>
      <c r="B393" s="2" t="inlineStr">
        <is>
          <t>KH002</t>
        </is>
      </c>
      <c r="C393" s="3" t="inlineStr">
        <is>
          <t>Nguyễn Hoàng Phú</t>
        </is>
      </c>
      <c r="D393" s="2" t="inlineStr">
        <is>
          <t>HCM</t>
        </is>
      </c>
      <c r="E393" s="2" t="inlineStr">
        <is>
          <t>BẢO TRÂM</t>
        </is>
      </c>
      <c r="F393" s="2" t="inlineStr">
        <is>
          <t>Shopee</t>
        </is>
      </c>
      <c r="G393" s="2" t="inlineStr">
        <is>
          <t>KBL2-3.5*110</t>
        </is>
      </c>
      <c r="H393" s="3" t="inlineStr">
        <is>
          <t>Mũi khoan bê tông không tắc kê KBL2-3.5*110</t>
        </is>
      </c>
      <c r="I393" s="4" t="n">
        <v>33000</v>
      </c>
      <c r="J393" s="4" t="n"/>
      <c r="K393" s="4">
        <f>IF(AND(ISNUMBER(J393),ISNUMBER(I393)),J393-I393,"")</f>
        <v/>
      </c>
      <c r="L393" s="5">
        <f>IF(AND(ISNUMBER(J393),ISNUMBER(I393),I393&gt;0),(J393-I393)/I393,"")</f>
        <v/>
      </c>
      <c r="M393" s="2">
        <f>IF(L393="","",IF(L393&lt;-0.05,"Bán phá giá",IF(L393&gt;0.05,"Bán cao hơn","Đúng giá niêm yết")))</f>
        <v/>
      </c>
      <c r="N393" s="2" t="n"/>
      <c r="O393" s="3" t="n"/>
      <c r="P393" s="3" t="n"/>
    </row>
    <row r="394">
      <c r="A394" s="2" t="n">
        <v>393</v>
      </c>
      <c r="B394" s="2" t="inlineStr">
        <is>
          <t>KH002</t>
        </is>
      </c>
      <c r="C394" s="3" t="inlineStr">
        <is>
          <t>Nguyễn Hoàng Phú</t>
        </is>
      </c>
      <c r="D394" s="2" t="inlineStr">
        <is>
          <t>HCM</t>
        </is>
      </c>
      <c r="E394" s="2" t="inlineStr">
        <is>
          <t>BẢO TRÂM</t>
        </is>
      </c>
      <c r="F394" s="2" t="inlineStr">
        <is>
          <t>Shopee</t>
        </is>
      </c>
      <c r="G394" s="2" t="inlineStr">
        <is>
          <t>KBL2-4.2*110</t>
        </is>
      </c>
      <c r="H394" s="3" t="inlineStr">
        <is>
          <t>Mũi khoan bê tông không tắc kê KBL2-4.2*110</t>
        </is>
      </c>
      <c r="I394" s="4" t="n">
        <v>66000</v>
      </c>
      <c r="J394" s="4" t="n"/>
      <c r="K394" s="4">
        <f>IF(AND(ISNUMBER(J394),ISNUMBER(I394)),J394-I394,"")</f>
        <v/>
      </c>
      <c r="L394" s="5">
        <f>IF(AND(ISNUMBER(J394),ISNUMBER(I394),I394&gt;0),(J394-I394)/I394,"")</f>
        <v/>
      </c>
      <c r="M394" s="2">
        <f>IF(L394="","",IF(L394&lt;-0.05,"Bán phá giá",IF(L394&gt;0.05,"Bán cao hơn","Đúng giá niêm yết")))</f>
        <v/>
      </c>
      <c r="N394" s="2" t="n"/>
      <c r="O394" s="3" t="n"/>
      <c r="P394" s="3" t="n"/>
    </row>
    <row r="395">
      <c r="A395" s="2" t="n">
        <v>394</v>
      </c>
      <c r="B395" s="2" t="inlineStr">
        <is>
          <t>KH002</t>
        </is>
      </c>
      <c r="C395" s="3" t="inlineStr">
        <is>
          <t>Nguyễn Hoàng Phú</t>
        </is>
      </c>
      <c r="D395" s="2" t="inlineStr">
        <is>
          <t>HCM</t>
        </is>
      </c>
      <c r="E395" s="2" t="inlineStr">
        <is>
          <t>BẢO TRÂM</t>
        </is>
      </c>
      <c r="F395" s="2" t="inlineStr">
        <is>
          <t>Shopee</t>
        </is>
      </c>
      <c r="G395" s="2" t="inlineStr">
        <is>
          <t>KBS-12*280</t>
        </is>
      </c>
      <c r="H395" s="3" t="inlineStr">
        <is>
          <t>Mũi khoan đá chuôi lục giác KBS-12*280</t>
        </is>
      </c>
      <c r="I395" s="4" t="n">
        <v>48000</v>
      </c>
      <c r="J395" s="4" t="n"/>
      <c r="K395" s="4">
        <f>IF(AND(ISNUMBER(J395),ISNUMBER(I395)),J395-I395,"")</f>
        <v/>
      </c>
      <c r="L395" s="5">
        <f>IF(AND(ISNUMBER(J395),ISNUMBER(I395),I395&gt;0),(J395-I395)/I395,"")</f>
        <v/>
      </c>
      <c r="M395" s="2">
        <f>IF(L395="","",IF(L395&lt;-0.05,"Bán phá giá",IF(L395&gt;0.05,"Bán cao hơn","Đúng giá niêm yết")))</f>
        <v/>
      </c>
      <c r="N395" s="2" t="n"/>
      <c r="O395" s="3" t="n"/>
      <c r="P395" s="3" t="n"/>
    </row>
    <row r="396">
      <c r="A396" s="2" t="n">
        <v>395</v>
      </c>
      <c r="B396" s="2" t="inlineStr">
        <is>
          <t>KH002</t>
        </is>
      </c>
      <c r="C396" s="3" t="inlineStr">
        <is>
          <t>Nguyễn Hoàng Phú</t>
        </is>
      </c>
      <c r="D396" s="2" t="inlineStr">
        <is>
          <t>HCM</t>
        </is>
      </c>
      <c r="E396" s="2" t="inlineStr">
        <is>
          <t>BẢO TRÂM</t>
        </is>
      </c>
      <c r="F396" s="2" t="inlineStr">
        <is>
          <t>Shopee</t>
        </is>
      </c>
      <c r="G396" s="2" t="inlineStr">
        <is>
          <t>KBS-14*280</t>
        </is>
      </c>
      <c r="H396" s="3" t="inlineStr">
        <is>
          <t>Mũi khoan đá chuôi lục giác KBS-14*280</t>
        </is>
      </c>
      <c r="I396" s="4" t="n">
        <v>74000</v>
      </c>
      <c r="J396" s="4" t="n"/>
      <c r="K396" s="4">
        <f>IF(AND(ISNUMBER(J396),ISNUMBER(I396)),J396-I396,"")</f>
        <v/>
      </c>
      <c r="L396" s="5">
        <f>IF(AND(ISNUMBER(J396),ISNUMBER(I396),I396&gt;0),(J396-I396)/I396,"")</f>
        <v/>
      </c>
      <c r="M396" s="2">
        <f>IF(L396="","",IF(L396&lt;-0.05,"Bán phá giá",IF(L396&gt;0.05,"Bán cao hơn","Đúng giá niêm yết")))</f>
        <v/>
      </c>
      <c r="N396" s="2" t="n"/>
      <c r="O396" s="3" t="n"/>
      <c r="P396" s="3" t="n"/>
    </row>
    <row r="397">
      <c r="A397" s="2" t="n">
        <v>396</v>
      </c>
      <c r="B397" s="2" t="inlineStr">
        <is>
          <t>KH002</t>
        </is>
      </c>
      <c r="C397" s="3" t="inlineStr">
        <is>
          <t>Nguyễn Hoàng Phú</t>
        </is>
      </c>
      <c r="D397" s="2" t="inlineStr">
        <is>
          <t>HCM</t>
        </is>
      </c>
      <c r="E397" s="2" t="inlineStr">
        <is>
          <t>BẢO TRÂM</t>
        </is>
      </c>
      <c r="F397" s="2" t="inlineStr">
        <is>
          <t>Shopee</t>
        </is>
      </c>
      <c r="G397" s="2" t="inlineStr">
        <is>
          <t>KBS-16*280</t>
        </is>
      </c>
      <c r="H397" s="3" t="inlineStr">
        <is>
          <t>Mũi khoan đá chuôi lục giác KBS-16*280</t>
        </is>
      </c>
      <c r="I397" s="4" t="n">
        <v>81000</v>
      </c>
      <c r="J397" s="4" t="n"/>
      <c r="K397" s="4">
        <f>IF(AND(ISNUMBER(J397),ISNUMBER(I397)),J397-I397,"")</f>
        <v/>
      </c>
      <c r="L397" s="5">
        <f>IF(AND(ISNUMBER(J397),ISNUMBER(I397),I397&gt;0),(J397-I397)/I397,"")</f>
        <v/>
      </c>
      <c r="M397" s="2">
        <f>IF(L397="","",IF(L397&lt;-0.05,"Bán phá giá",IF(L397&gt;0.05,"Bán cao hơn","Đúng giá niêm yết")))</f>
        <v/>
      </c>
      <c r="N397" s="2" t="n"/>
      <c r="O397" s="3" t="n"/>
      <c r="P397" s="3" t="n"/>
    </row>
    <row r="398">
      <c r="A398" s="2" t="n">
        <v>397</v>
      </c>
      <c r="B398" s="2" t="inlineStr">
        <is>
          <t>KH002</t>
        </is>
      </c>
      <c r="C398" s="3" t="inlineStr">
        <is>
          <t>Nguyễn Hoàng Phú</t>
        </is>
      </c>
      <c r="D398" s="2" t="inlineStr">
        <is>
          <t>HCM</t>
        </is>
      </c>
      <c r="E398" s="2" t="inlineStr">
        <is>
          <t>BẢO TRÂM</t>
        </is>
      </c>
      <c r="F398" s="2" t="inlineStr">
        <is>
          <t>Shopee</t>
        </is>
      </c>
      <c r="G398" s="2" t="inlineStr">
        <is>
          <t>KBS-18*280</t>
        </is>
      </c>
      <c r="H398" s="3" t="inlineStr">
        <is>
          <t>Mũi khoan đá chuôi lục giác KBS-18*280</t>
        </is>
      </c>
      <c r="I398" s="4" t="n">
        <v>105000</v>
      </c>
      <c r="J398" s="4" t="n"/>
      <c r="K398" s="4">
        <f>IF(AND(ISNUMBER(J398),ISNUMBER(I398)),J398-I398,"")</f>
        <v/>
      </c>
      <c r="L398" s="5">
        <f>IF(AND(ISNUMBER(J398),ISNUMBER(I398),I398&gt;0),(J398-I398)/I398,"")</f>
        <v/>
      </c>
      <c r="M398" s="2">
        <f>IF(L398="","",IF(L398&lt;-0.05,"Bán phá giá",IF(L398&gt;0.05,"Bán cao hơn","Đúng giá niêm yết")))</f>
        <v/>
      </c>
      <c r="N398" s="2" t="n"/>
      <c r="O398" s="3" t="n"/>
      <c r="P398" s="3" t="n"/>
    </row>
    <row r="399">
      <c r="A399" s="2" t="n">
        <v>398</v>
      </c>
      <c r="B399" s="2" t="inlineStr">
        <is>
          <t>KH002</t>
        </is>
      </c>
      <c r="C399" s="3" t="inlineStr">
        <is>
          <t>Nguyễn Hoàng Phú</t>
        </is>
      </c>
      <c r="D399" s="2" t="inlineStr">
        <is>
          <t>HCM</t>
        </is>
      </c>
      <c r="E399" s="2" t="inlineStr">
        <is>
          <t>BẢO TRÂM</t>
        </is>
      </c>
      <c r="F399" s="2" t="inlineStr">
        <is>
          <t>Shopee</t>
        </is>
      </c>
      <c r="G399" s="2" t="inlineStr">
        <is>
          <t>KBS-20*280</t>
        </is>
      </c>
      <c r="H399" s="3" t="inlineStr">
        <is>
          <t>Mũi khoan đá chuôi lục giác KBS-20*280</t>
        </is>
      </c>
      <c r="I399" s="4" t="n">
        <v>89000</v>
      </c>
      <c r="J399" s="4" t="n"/>
      <c r="K399" s="4">
        <f>IF(AND(ISNUMBER(J399),ISNUMBER(I399)),J399-I399,"")</f>
        <v/>
      </c>
      <c r="L399" s="5">
        <f>IF(AND(ISNUMBER(J399),ISNUMBER(I399),I399&gt;0),(J399-I399)/I399,"")</f>
        <v/>
      </c>
      <c r="M399" s="2">
        <f>IF(L399="","",IF(L399&lt;-0.05,"Bán phá giá",IF(L399&gt;0.05,"Bán cao hơn","Đúng giá niêm yết")))</f>
        <v/>
      </c>
      <c r="N399" s="2" t="n"/>
      <c r="O399" s="3" t="n"/>
      <c r="P399" s="3" t="n"/>
    </row>
    <row r="400">
      <c r="A400" s="2" t="n">
        <v>399</v>
      </c>
      <c r="B400" s="2" t="inlineStr">
        <is>
          <t>KH002</t>
        </is>
      </c>
      <c r="C400" s="3" t="inlineStr">
        <is>
          <t>Nguyễn Hoàng Phú</t>
        </is>
      </c>
      <c r="D400" s="2" t="inlineStr">
        <is>
          <t>HCM</t>
        </is>
      </c>
      <c r="E400" s="2" t="inlineStr">
        <is>
          <t>BẢO TRÂM</t>
        </is>
      </c>
      <c r="F400" s="2" t="inlineStr">
        <is>
          <t>Shopee</t>
        </is>
      </c>
      <c r="G400" s="2" t="inlineStr">
        <is>
          <t>KBS-22*280</t>
        </is>
      </c>
      <c r="H400" s="3" t="inlineStr">
        <is>
          <t>Mũi khoan đá chuôi lục giác KBS-22*280</t>
        </is>
      </c>
      <c r="I400" s="4" t="n">
        <v>123000</v>
      </c>
      <c r="J400" s="4" t="n"/>
      <c r="K400" s="4">
        <f>IF(AND(ISNUMBER(J400),ISNUMBER(I400)),J400-I400,"")</f>
        <v/>
      </c>
      <c r="L400" s="5">
        <f>IF(AND(ISNUMBER(J400),ISNUMBER(I400),I400&gt;0),(J400-I400)/I400,"")</f>
        <v/>
      </c>
      <c r="M400" s="2">
        <f>IF(L400="","",IF(L400&lt;-0.05,"Bán phá giá",IF(L400&gt;0.05,"Bán cao hơn","Đúng giá niêm yết")))</f>
        <v/>
      </c>
      <c r="N400" s="2" t="n"/>
      <c r="O400" s="3" t="n"/>
      <c r="P400" s="3" t="n"/>
    </row>
    <row r="401">
      <c r="A401" s="2" t="n">
        <v>400</v>
      </c>
      <c r="B401" s="2" t="inlineStr">
        <is>
          <t>KH002</t>
        </is>
      </c>
      <c r="C401" s="3" t="inlineStr">
        <is>
          <t>Nguyễn Hoàng Phú</t>
        </is>
      </c>
      <c r="D401" s="2" t="inlineStr">
        <is>
          <t>HCM</t>
        </is>
      </c>
      <c r="E401" s="2" t="inlineStr">
        <is>
          <t>BẢO TRÂM</t>
        </is>
      </c>
      <c r="F401" s="2" t="inlineStr">
        <is>
          <t>Shopee</t>
        </is>
      </c>
      <c r="G401" s="2" t="inlineStr">
        <is>
          <t>KBK-06</t>
        </is>
      </c>
      <c r="H401" s="3" t="inlineStr">
        <is>
          <t>Mũi khoan đá KBK-06</t>
        </is>
      </c>
      <c r="I401" s="4" t="n">
        <v>28000</v>
      </c>
      <c r="J401" s="4" t="n"/>
      <c r="K401" s="4">
        <f>IF(AND(ISNUMBER(J401),ISNUMBER(I401)),J401-I401,"")</f>
        <v/>
      </c>
      <c r="L401" s="5">
        <f>IF(AND(ISNUMBER(J401),ISNUMBER(I401),I401&gt;0),(J401-I401)/I401,"")</f>
        <v/>
      </c>
      <c r="M401" s="2">
        <f>IF(L401="","",IF(L401&lt;-0.05,"Bán phá giá",IF(L401&gt;0.05,"Bán cao hơn","Đúng giá niêm yết")))</f>
        <v/>
      </c>
      <c r="N401" s="2" t="n"/>
      <c r="O401" s="3" t="n"/>
      <c r="P401" s="3" t="n"/>
    </row>
    <row r="402">
      <c r="A402" s="2" t="n">
        <v>401</v>
      </c>
      <c r="B402" s="2" t="inlineStr">
        <is>
          <t>KH002</t>
        </is>
      </c>
      <c r="C402" s="3" t="inlineStr">
        <is>
          <t>Nguyễn Hoàng Phú</t>
        </is>
      </c>
      <c r="D402" s="2" t="inlineStr">
        <is>
          <t>HCM</t>
        </is>
      </c>
      <c r="E402" s="2" t="inlineStr">
        <is>
          <t>BẢO TRÂM</t>
        </is>
      </c>
      <c r="F402" s="2" t="inlineStr">
        <is>
          <t>Shopee</t>
        </is>
      </c>
      <c r="G402" s="2" t="inlineStr">
        <is>
          <t>KBK-08</t>
        </is>
      </c>
      <c r="H402" s="3" t="inlineStr">
        <is>
          <t>Mũi khoan đá KBK-08</t>
        </is>
      </c>
      <c r="I402" s="4" t="n">
        <v>31000</v>
      </c>
      <c r="J402" s="4" t="n"/>
      <c r="K402" s="4">
        <f>IF(AND(ISNUMBER(J402),ISNUMBER(I402)),J402-I402,"")</f>
        <v/>
      </c>
      <c r="L402" s="5">
        <f>IF(AND(ISNUMBER(J402),ISNUMBER(I402),I402&gt;0),(J402-I402)/I402,"")</f>
        <v/>
      </c>
      <c r="M402" s="2">
        <f>IF(L402="","",IF(L402&lt;-0.05,"Bán phá giá",IF(L402&gt;0.05,"Bán cao hơn","Đúng giá niêm yết")))</f>
        <v/>
      </c>
      <c r="N402" s="2" t="n"/>
      <c r="O402" s="3" t="n"/>
      <c r="P402" s="3" t="n"/>
    </row>
    <row r="403">
      <c r="A403" s="2" t="n">
        <v>402</v>
      </c>
      <c r="B403" s="2" t="inlineStr">
        <is>
          <t>KH002</t>
        </is>
      </c>
      <c r="C403" s="3" t="inlineStr">
        <is>
          <t>Nguyễn Hoàng Phú</t>
        </is>
      </c>
      <c r="D403" s="2" t="inlineStr">
        <is>
          <t>HCM</t>
        </is>
      </c>
      <c r="E403" s="2" t="inlineStr">
        <is>
          <t>BẢO TRÂM</t>
        </is>
      </c>
      <c r="F403" s="2" t="inlineStr">
        <is>
          <t>Shopee</t>
        </is>
      </c>
      <c r="G403" s="2" t="inlineStr">
        <is>
          <t>KBK-10</t>
        </is>
      </c>
      <c r="H403" s="3" t="inlineStr">
        <is>
          <t>Mũi khoan đá KBK-10</t>
        </is>
      </c>
      <c r="I403" s="4" t="n">
        <v>30000</v>
      </c>
      <c r="J403" s="4" t="n"/>
      <c r="K403" s="4">
        <f>IF(AND(ISNUMBER(J403),ISNUMBER(I403)),J403-I403,"")</f>
        <v/>
      </c>
      <c r="L403" s="5">
        <f>IF(AND(ISNUMBER(J403),ISNUMBER(I403),I403&gt;0),(J403-I403)/I403,"")</f>
        <v/>
      </c>
      <c r="M403" s="2">
        <f>IF(L403="","",IF(L403&lt;-0.05,"Bán phá giá",IF(L403&gt;0.05,"Bán cao hơn","Đúng giá niêm yết")))</f>
        <v/>
      </c>
      <c r="N403" s="2" t="n"/>
      <c r="O403" s="3" t="n"/>
      <c r="P403" s="3" t="n"/>
    </row>
    <row r="404">
      <c r="A404" s="2" t="n">
        <v>403</v>
      </c>
      <c r="B404" s="2" t="inlineStr">
        <is>
          <t>KH002</t>
        </is>
      </c>
      <c r="C404" s="3" t="inlineStr">
        <is>
          <t>Nguyễn Hoàng Phú</t>
        </is>
      </c>
      <c r="D404" s="2" t="inlineStr">
        <is>
          <t>HCM</t>
        </is>
      </c>
      <c r="E404" s="2" t="inlineStr">
        <is>
          <t>BẢO TRÂM</t>
        </is>
      </c>
      <c r="F404" s="2" t="inlineStr">
        <is>
          <t>Shopee</t>
        </is>
      </c>
      <c r="G404" s="2" t="inlineStr">
        <is>
          <t>KBK-100</t>
        </is>
      </c>
      <c r="H404" s="3" t="inlineStr">
        <is>
          <t>Mũi khoan đá KBK-100</t>
        </is>
      </c>
      <c r="I404" s="4" t="n">
        <v>326000</v>
      </c>
      <c r="J404" s="4" t="n"/>
      <c r="K404" s="4">
        <f>IF(AND(ISNUMBER(J404),ISNUMBER(I404)),J404-I404,"")</f>
        <v/>
      </c>
      <c r="L404" s="5">
        <f>IF(AND(ISNUMBER(J404),ISNUMBER(I404),I404&gt;0),(J404-I404)/I404,"")</f>
        <v/>
      </c>
      <c r="M404" s="2">
        <f>IF(L404="","",IF(L404&lt;-0.05,"Bán phá giá",IF(L404&gt;0.05,"Bán cao hơn","Đúng giá niêm yết")))</f>
        <v/>
      </c>
      <c r="N404" s="2" t="n"/>
      <c r="O404" s="3" t="n"/>
      <c r="P404" s="3" t="n"/>
    </row>
    <row r="405">
      <c r="A405" s="2" t="n">
        <v>404</v>
      </c>
      <c r="B405" s="2" t="inlineStr">
        <is>
          <t>KH002</t>
        </is>
      </c>
      <c r="C405" s="3" t="inlineStr">
        <is>
          <t>Nguyễn Hoàng Phú</t>
        </is>
      </c>
      <c r="D405" s="2" t="inlineStr">
        <is>
          <t>HCM</t>
        </is>
      </c>
      <c r="E405" s="2" t="inlineStr">
        <is>
          <t>BẢO TRÂM</t>
        </is>
      </c>
      <c r="F405" s="2" t="inlineStr">
        <is>
          <t>Shopee</t>
        </is>
      </c>
      <c r="G405" s="2" t="inlineStr">
        <is>
          <t>KBK-110</t>
        </is>
      </c>
      <c r="H405" s="3" t="inlineStr">
        <is>
          <t>Mũi khoan đá KBK-110</t>
        </is>
      </c>
      <c r="I405" s="4" t="n">
        <v>480000</v>
      </c>
      <c r="J405" s="4" t="n"/>
      <c r="K405" s="4">
        <f>IF(AND(ISNUMBER(J405),ISNUMBER(I405)),J405-I405,"")</f>
        <v/>
      </c>
      <c r="L405" s="5">
        <f>IF(AND(ISNUMBER(J405),ISNUMBER(I405),I405&gt;0),(J405-I405)/I405,"")</f>
        <v/>
      </c>
      <c r="M405" s="2">
        <f>IF(L405="","",IF(L405&lt;-0.05,"Bán phá giá",IF(L405&gt;0.05,"Bán cao hơn","Đúng giá niêm yết")))</f>
        <v/>
      </c>
      <c r="N405" s="2" t="n"/>
      <c r="O405" s="3" t="n"/>
      <c r="P405" s="3" t="n"/>
    </row>
    <row r="406">
      <c r="A406" s="2" t="n">
        <v>405</v>
      </c>
      <c r="B406" s="2" t="inlineStr">
        <is>
          <t>KH002</t>
        </is>
      </c>
      <c r="C406" s="3" t="inlineStr">
        <is>
          <t>Nguyễn Hoàng Phú</t>
        </is>
      </c>
      <c r="D406" s="2" t="inlineStr">
        <is>
          <t>HCM</t>
        </is>
      </c>
      <c r="E406" s="2" t="inlineStr">
        <is>
          <t>BẢO TRÂM</t>
        </is>
      </c>
      <c r="F406" s="2" t="inlineStr">
        <is>
          <t>Shopee</t>
        </is>
      </c>
      <c r="G406" s="2" t="inlineStr">
        <is>
          <t>KBK-12</t>
        </is>
      </c>
      <c r="H406" s="3" t="inlineStr">
        <is>
          <t>Mũi khoan đá KBK-12</t>
        </is>
      </c>
      <c r="I406" s="4" t="n">
        <v>46000</v>
      </c>
      <c r="J406" s="4" t="n"/>
      <c r="K406" s="4">
        <f>IF(AND(ISNUMBER(J406),ISNUMBER(I406)),J406-I406,"")</f>
        <v/>
      </c>
      <c r="L406" s="5">
        <f>IF(AND(ISNUMBER(J406),ISNUMBER(I406),I406&gt;0),(J406-I406)/I406,"")</f>
        <v/>
      </c>
      <c r="M406" s="2">
        <f>IF(L406="","",IF(L406&lt;-0.05,"Bán phá giá",IF(L406&gt;0.05,"Bán cao hơn","Đúng giá niêm yết")))</f>
        <v/>
      </c>
      <c r="N406" s="2" t="n"/>
      <c r="O406" s="3" t="n"/>
      <c r="P406" s="3" t="n"/>
    </row>
    <row r="407">
      <c r="A407" s="2" t="n">
        <v>406</v>
      </c>
      <c r="B407" s="2" t="inlineStr">
        <is>
          <t>KH002</t>
        </is>
      </c>
      <c r="C407" s="3" t="inlineStr">
        <is>
          <t>Nguyễn Hoàng Phú</t>
        </is>
      </c>
      <c r="D407" s="2" t="inlineStr">
        <is>
          <t>HCM</t>
        </is>
      </c>
      <c r="E407" s="2" t="inlineStr">
        <is>
          <t>BẢO TRÂM</t>
        </is>
      </c>
      <c r="F407" s="2" t="inlineStr">
        <is>
          <t>Shopee</t>
        </is>
      </c>
      <c r="G407" s="2" t="inlineStr">
        <is>
          <t>KBK-14</t>
        </is>
      </c>
      <c r="H407" s="3" t="inlineStr">
        <is>
          <t>Mũi khoan đá KBK-14</t>
        </is>
      </c>
      <c r="I407" s="4" t="n">
        <v>43000</v>
      </c>
      <c r="J407" s="4" t="n"/>
      <c r="K407" s="4">
        <f>IF(AND(ISNUMBER(J407),ISNUMBER(I407)),J407-I407,"")</f>
        <v/>
      </c>
      <c r="L407" s="5">
        <f>IF(AND(ISNUMBER(J407),ISNUMBER(I407),I407&gt;0),(J407-I407)/I407,"")</f>
        <v/>
      </c>
      <c r="M407" s="2">
        <f>IF(L407="","",IF(L407&lt;-0.05,"Bán phá giá",IF(L407&gt;0.05,"Bán cao hơn","Đúng giá niêm yết")))</f>
        <v/>
      </c>
      <c r="N407" s="2" t="n"/>
      <c r="O407" s="3" t="n"/>
      <c r="P407" s="3" t="n"/>
    </row>
    <row r="408">
      <c r="A408" s="2" t="n">
        <v>407</v>
      </c>
      <c r="B408" s="2" t="inlineStr">
        <is>
          <t>KH002</t>
        </is>
      </c>
      <c r="C408" s="3" t="inlineStr">
        <is>
          <t>Nguyễn Hoàng Phú</t>
        </is>
      </c>
      <c r="D408" s="2" t="inlineStr">
        <is>
          <t>HCM</t>
        </is>
      </c>
      <c r="E408" s="2" t="inlineStr">
        <is>
          <t>BẢO TRÂM</t>
        </is>
      </c>
      <c r="F408" s="2" t="inlineStr">
        <is>
          <t>Shopee</t>
        </is>
      </c>
      <c r="G408" s="2" t="inlineStr">
        <is>
          <t>KBK-16</t>
        </is>
      </c>
      <c r="H408" s="3" t="inlineStr">
        <is>
          <t>Mũi khoan đá KBK-16</t>
        </is>
      </c>
      <c r="I408" s="4" t="n">
        <v>42000</v>
      </c>
      <c r="J408" s="4" t="n"/>
      <c r="K408" s="4">
        <f>IF(AND(ISNUMBER(J408),ISNUMBER(I408)),J408-I408,"")</f>
        <v/>
      </c>
      <c r="L408" s="5">
        <f>IF(AND(ISNUMBER(J408),ISNUMBER(I408),I408&gt;0),(J408-I408)/I408,"")</f>
        <v/>
      </c>
      <c r="M408" s="2">
        <f>IF(L408="","",IF(L408&lt;-0.05,"Bán phá giá",IF(L408&gt;0.05,"Bán cao hơn","Đúng giá niêm yết")))</f>
        <v/>
      </c>
      <c r="N408" s="2" t="n"/>
      <c r="O408" s="3" t="n"/>
      <c r="P408" s="3" t="n"/>
    </row>
    <row r="409">
      <c r="A409" s="2" t="n">
        <v>408</v>
      </c>
      <c r="B409" s="2" t="inlineStr">
        <is>
          <t>KH002</t>
        </is>
      </c>
      <c r="C409" s="3" t="inlineStr">
        <is>
          <t>Nguyễn Hoàng Phú</t>
        </is>
      </c>
      <c r="D409" s="2" t="inlineStr">
        <is>
          <t>HCM</t>
        </is>
      </c>
      <c r="E409" s="2" t="inlineStr">
        <is>
          <t>BẢO TRÂM</t>
        </is>
      </c>
      <c r="F409" s="2" t="inlineStr">
        <is>
          <t>Shopee</t>
        </is>
      </c>
      <c r="G409" s="2" t="inlineStr">
        <is>
          <t>KBK-18</t>
        </is>
      </c>
      <c r="H409" s="3" t="inlineStr">
        <is>
          <t>Mũi khoan đá KBK-18</t>
        </is>
      </c>
      <c r="I409" s="4" t="n">
        <v>54000</v>
      </c>
      <c r="J409" s="4" t="n"/>
      <c r="K409" s="4">
        <f>IF(AND(ISNUMBER(J409),ISNUMBER(I409)),J409-I409,"")</f>
        <v/>
      </c>
      <c r="L409" s="5">
        <f>IF(AND(ISNUMBER(J409),ISNUMBER(I409),I409&gt;0),(J409-I409)/I409,"")</f>
        <v/>
      </c>
      <c r="M409" s="2">
        <f>IF(L409="","",IF(L409&lt;-0.05,"Bán phá giá",IF(L409&gt;0.05,"Bán cao hơn","Đúng giá niêm yết")))</f>
        <v/>
      </c>
      <c r="N409" s="2" t="n"/>
      <c r="O409" s="3" t="n"/>
      <c r="P409" s="3" t="n"/>
    </row>
    <row r="410">
      <c r="A410" s="2" t="n">
        <v>409</v>
      </c>
      <c r="B410" s="2" t="inlineStr">
        <is>
          <t>KH002</t>
        </is>
      </c>
      <c r="C410" s="3" t="inlineStr">
        <is>
          <t>Nguyễn Hoàng Phú</t>
        </is>
      </c>
      <c r="D410" s="2" t="inlineStr">
        <is>
          <t>HCM</t>
        </is>
      </c>
      <c r="E410" s="2" t="inlineStr">
        <is>
          <t>BẢO TRÂM</t>
        </is>
      </c>
      <c r="F410" s="2" t="inlineStr">
        <is>
          <t>Shopee</t>
        </is>
      </c>
      <c r="G410" s="2" t="inlineStr">
        <is>
          <t>KBK-21</t>
        </is>
      </c>
      <c r="H410" s="3" t="inlineStr">
        <is>
          <t>Mũi khoan đá KBK-21</t>
        </is>
      </c>
      <c r="I410" s="4" t="n">
        <v>79000</v>
      </c>
      <c r="J410" s="4" t="n"/>
      <c r="K410" s="4">
        <f>IF(AND(ISNUMBER(J410),ISNUMBER(I410)),J410-I410,"")</f>
        <v/>
      </c>
      <c r="L410" s="5">
        <f>IF(AND(ISNUMBER(J410),ISNUMBER(I410),I410&gt;0),(J410-I410)/I410,"")</f>
        <v/>
      </c>
      <c r="M410" s="2">
        <f>IF(L410="","",IF(L410&lt;-0.05,"Bán phá giá",IF(L410&gt;0.05,"Bán cao hơn","Đúng giá niêm yết")))</f>
        <v/>
      </c>
      <c r="N410" s="2" t="n"/>
      <c r="O410" s="3" t="n"/>
      <c r="P410" s="3" t="n"/>
    </row>
    <row r="411">
      <c r="A411" s="2" t="n">
        <v>410</v>
      </c>
      <c r="B411" s="2" t="inlineStr">
        <is>
          <t>KH002</t>
        </is>
      </c>
      <c r="C411" s="3" t="inlineStr">
        <is>
          <t>Nguyễn Hoàng Phú</t>
        </is>
      </c>
      <c r="D411" s="2" t="inlineStr">
        <is>
          <t>HCM</t>
        </is>
      </c>
      <c r="E411" s="2" t="inlineStr">
        <is>
          <t>BẢO TRÂM</t>
        </is>
      </c>
      <c r="F411" s="2" t="inlineStr">
        <is>
          <t>Shopee</t>
        </is>
      </c>
      <c r="G411" s="2" t="inlineStr">
        <is>
          <t>KBK-25</t>
        </is>
      </c>
      <c r="H411" s="3" t="inlineStr">
        <is>
          <t>Mũi khoan đá KBK-25</t>
        </is>
      </c>
      <c r="I411" s="4" t="n">
        <v>73000</v>
      </c>
      <c r="J411" s="4" t="n"/>
      <c r="K411" s="4">
        <f>IF(AND(ISNUMBER(J411),ISNUMBER(I411)),J411-I411,"")</f>
        <v/>
      </c>
      <c r="L411" s="5">
        <f>IF(AND(ISNUMBER(J411),ISNUMBER(I411),I411&gt;0),(J411-I411)/I411,"")</f>
        <v/>
      </c>
      <c r="M411" s="2">
        <f>IF(L411="","",IF(L411&lt;-0.05,"Bán phá giá",IF(L411&gt;0.05,"Bán cao hơn","Đúng giá niêm yết")))</f>
        <v/>
      </c>
      <c r="N411" s="2" t="n"/>
      <c r="O411" s="3" t="n"/>
      <c r="P411" s="3" t="n"/>
    </row>
    <row r="412">
      <c r="A412" s="2" t="n">
        <v>411</v>
      </c>
      <c r="B412" s="2" t="inlineStr">
        <is>
          <t>KH002</t>
        </is>
      </c>
      <c r="C412" s="3" t="inlineStr">
        <is>
          <t>Nguyễn Hoàng Phú</t>
        </is>
      </c>
      <c r="D412" s="2" t="inlineStr">
        <is>
          <t>HCM</t>
        </is>
      </c>
      <c r="E412" s="2" t="inlineStr">
        <is>
          <t>BẢO TRÂM</t>
        </is>
      </c>
      <c r="F412" s="2" t="inlineStr">
        <is>
          <t>Shopee</t>
        </is>
      </c>
      <c r="G412" s="2" t="inlineStr">
        <is>
          <t>KBK-27</t>
        </is>
      </c>
      <c r="H412" s="3" t="inlineStr">
        <is>
          <t>Mũi khoan đá KBK-27</t>
        </is>
      </c>
      <c r="I412" s="4" t="n">
        <v>80000</v>
      </c>
      <c r="J412" s="4" t="n"/>
      <c r="K412" s="4">
        <f>IF(AND(ISNUMBER(J412),ISNUMBER(I412)),J412-I412,"")</f>
        <v/>
      </c>
      <c r="L412" s="5">
        <f>IF(AND(ISNUMBER(J412),ISNUMBER(I412),I412&gt;0),(J412-I412)/I412,"")</f>
        <v/>
      </c>
      <c r="M412" s="2">
        <f>IF(L412="","",IF(L412&lt;-0.05,"Bán phá giá",IF(L412&gt;0.05,"Bán cao hơn","Đúng giá niêm yết")))</f>
        <v/>
      </c>
      <c r="N412" s="2" t="n"/>
      <c r="O412" s="3" t="n"/>
      <c r="P412" s="3" t="n"/>
    </row>
    <row r="413">
      <c r="A413" s="2" t="n">
        <v>412</v>
      </c>
      <c r="B413" s="2" t="inlineStr">
        <is>
          <t>KH002</t>
        </is>
      </c>
      <c r="C413" s="3" t="inlineStr">
        <is>
          <t>Nguyễn Hoàng Phú</t>
        </is>
      </c>
      <c r="D413" s="2" t="inlineStr">
        <is>
          <t>HCM</t>
        </is>
      </c>
      <c r="E413" s="2" t="inlineStr">
        <is>
          <t>BẢO TRÂM</t>
        </is>
      </c>
      <c r="F413" s="2" t="inlineStr">
        <is>
          <t>Shopee</t>
        </is>
      </c>
      <c r="G413" s="2" t="inlineStr">
        <is>
          <t>KBK-30</t>
        </is>
      </c>
      <c r="H413" s="3" t="inlineStr">
        <is>
          <t>Mũi khoan đá KBK-30</t>
        </is>
      </c>
      <c r="I413" s="4" t="n">
        <v>87000</v>
      </c>
      <c r="J413" s="4" t="n"/>
      <c r="K413" s="4">
        <f>IF(AND(ISNUMBER(J413),ISNUMBER(I413)),J413-I413,"")</f>
        <v/>
      </c>
      <c r="L413" s="5">
        <f>IF(AND(ISNUMBER(J413),ISNUMBER(I413),I413&gt;0),(J413-I413)/I413,"")</f>
        <v/>
      </c>
      <c r="M413" s="2">
        <f>IF(L413="","",IF(L413&lt;-0.05,"Bán phá giá",IF(L413&gt;0.05,"Bán cao hơn","Đúng giá niêm yết")))</f>
        <v/>
      </c>
      <c r="N413" s="2" t="n"/>
      <c r="O413" s="3" t="n"/>
      <c r="P413" s="3" t="n"/>
    </row>
    <row r="414">
      <c r="A414" s="2" t="n">
        <v>413</v>
      </c>
      <c r="B414" s="2" t="inlineStr">
        <is>
          <t>KH002</t>
        </is>
      </c>
      <c r="C414" s="3" t="inlineStr">
        <is>
          <t>Nguyễn Hoàng Phú</t>
        </is>
      </c>
      <c r="D414" s="2" t="inlineStr">
        <is>
          <t>HCM</t>
        </is>
      </c>
      <c r="E414" s="2" t="inlineStr">
        <is>
          <t>BẢO TRÂM</t>
        </is>
      </c>
      <c r="F414" s="2" t="inlineStr">
        <is>
          <t>Shopee</t>
        </is>
      </c>
      <c r="G414" s="2" t="inlineStr">
        <is>
          <t>KBK-32</t>
        </is>
      </c>
      <c r="H414" s="3" t="inlineStr">
        <is>
          <t>Mũi khoan đá KBK-32</t>
        </is>
      </c>
      <c r="I414" s="4" t="n">
        <v>119000</v>
      </c>
      <c r="J414" s="4" t="n"/>
      <c r="K414" s="4">
        <f>IF(AND(ISNUMBER(J414),ISNUMBER(I414)),J414-I414,"")</f>
        <v/>
      </c>
      <c r="L414" s="5">
        <f>IF(AND(ISNUMBER(J414),ISNUMBER(I414),I414&gt;0),(J414-I414)/I414,"")</f>
        <v/>
      </c>
      <c r="M414" s="2">
        <f>IF(L414="","",IF(L414&lt;-0.05,"Bán phá giá",IF(L414&gt;0.05,"Bán cao hơn","Đúng giá niêm yết")))</f>
        <v/>
      </c>
      <c r="N414" s="2" t="n"/>
      <c r="O414" s="3" t="n"/>
      <c r="P414" s="3" t="n"/>
    </row>
    <row r="415">
      <c r="A415" s="2" t="n">
        <v>414</v>
      </c>
      <c r="B415" s="2" t="inlineStr">
        <is>
          <t>KH002</t>
        </is>
      </c>
      <c r="C415" s="3" t="inlineStr">
        <is>
          <t>Nguyễn Hoàng Phú</t>
        </is>
      </c>
      <c r="D415" s="2" t="inlineStr">
        <is>
          <t>HCM</t>
        </is>
      </c>
      <c r="E415" s="2" t="inlineStr">
        <is>
          <t>BẢO TRÂM</t>
        </is>
      </c>
      <c r="F415" s="2" t="inlineStr">
        <is>
          <t>Shopee</t>
        </is>
      </c>
      <c r="G415" s="2" t="inlineStr">
        <is>
          <t>KBK-35</t>
        </is>
      </c>
      <c r="H415" s="3" t="inlineStr">
        <is>
          <t>Mũi khoan đá KBK-35</t>
        </is>
      </c>
      <c r="I415" s="4" t="n">
        <v>99000</v>
      </c>
      <c r="J415" s="4" t="n"/>
      <c r="K415" s="4">
        <f>IF(AND(ISNUMBER(J415),ISNUMBER(I415)),J415-I415,"")</f>
        <v/>
      </c>
      <c r="L415" s="5">
        <f>IF(AND(ISNUMBER(J415),ISNUMBER(I415),I415&gt;0),(J415-I415)/I415,"")</f>
        <v/>
      </c>
      <c r="M415" s="2">
        <f>IF(L415="","",IF(L415&lt;-0.05,"Bán phá giá",IF(L415&gt;0.05,"Bán cao hơn","Đúng giá niêm yết")))</f>
        <v/>
      </c>
      <c r="N415" s="2" t="n"/>
      <c r="O415" s="3" t="n"/>
      <c r="P415" s="3" t="n"/>
    </row>
    <row r="416">
      <c r="A416" s="2" t="n">
        <v>415</v>
      </c>
      <c r="B416" s="2" t="inlineStr">
        <is>
          <t>KH002</t>
        </is>
      </c>
      <c r="C416" s="3" t="inlineStr">
        <is>
          <t>Nguyễn Hoàng Phú</t>
        </is>
      </c>
      <c r="D416" s="2" t="inlineStr">
        <is>
          <t>HCM</t>
        </is>
      </c>
      <c r="E416" s="2" t="inlineStr">
        <is>
          <t>BẢO TRÂM</t>
        </is>
      </c>
      <c r="F416" s="2" t="inlineStr">
        <is>
          <t>Shopee</t>
        </is>
      </c>
      <c r="G416" s="2" t="inlineStr">
        <is>
          <t>KBK-38</t>
        </is>
      </c>
      <c r="H416" s="3" t="inlineStr">
        <is>
          <t>Mũi khoan đá KBK-38</t>
        </is>
      </c>
      <c r="I416" s="4" t="n">
        <v>109000</v>
      </c>
      <c r="J416" s="4" t="n"/>
      <c r="K416" s="4">
        <f>IF(AND(ISNUMBER(J416),ISNUMBER(I416)),J416-I416,"")</f>
        <v/>
      </c>
      <c r="L416" s="5">
        <f>IF(AND(ISNUMBER(J416),ISNUMBER(I416),I416&gt;0),(J416-I416)/I416,"")</f>
        <v/>
      </c>
      <c r="M416" s="2">
        <f>IF(L416="","",IF(L416&lt;-0.05,"Bán phá giá",IF(L416&gt;0.05,"Bán cao hơn","Đúng giá niêm yết")))</f>
        <v/>
      </c>
      <c r="N416" s="2" t="n"/>
      <c r="O416" s="3" t="n"/>
      <c r="P416" s="3" t="n"/>
    </row>
    <row r="417">
      <c r="A417" s="2" t="n">
        <v>416</v>
      </c>
      <c r="B417" s="2" t="inlineStr">
        <is>
          <t>KH002</t>
        </is>
      </c>
      <c r="C417" s="3" t="inlineStr">
        <is>
          <t>Nguyễn Hoàng Phú</t>
        </is>
      </c>
      <c r="D417" s="2" t="inlineStr">
        <is>
          <t>HCM</t>
        </is>
      </c>
      <c r="E417" s="2" t="inlineStr">
        <is>
          <t>BẢO TRÂM</t>
        </is>
      </c>
      <c r="F417" s="2" t="inlineStr">
        <is>
          <t>Shopee</t>
        </is>
      </c>
      <c r="G417" s="2" t="inlineStr">
        <is>
          <t>KBK-40</t>
        </is>
      </c>
      <c r="H417" s="3" t="inlineStr">
        <is>
          <t>Mũi khoan đá KBK-40</t>
        </is>
      </c>
      <c r="I417" s="4" t="n">
        <v>114000</v>
      </c>
      <c r="J417" s="4" t="n"/>
      <c r="K417" s="4">
        <f>IF(AND(ISNUMBER(J417),ISNUMBER(I417)),J417-I417,"")</f>
        <v/>
      </c>
      <c r="L417" s="5">
        <f>IF(AND(ISNUMBER(J417),ISNUMBER(I417),I417&gt;0),(J417-I417)/I417,"")</f>
        <v/>
      </c>
      <c r="M417" s="2">
        <f>IF(L417="","",IF(L417&lt;-0.05,"Bán phá giá",IF(L417&gt;0.05,"Bán cao hơn","Đúng giá niêm yết")))</f>
        <v/>
      </c>
      <c r="N417" s="2" t="n"/>
      <c r="O417" s="3" t="n"/>
      <c r="P417" s="3" t="n"/>
    </row>
    <row r="418">
      <c r="A418" s="2" t="n">
        <v>417</v>
      </c>
      <c r="B418" s="2" t="inlineStr">
        <is>
          <t>KH002</t>
        </is>
      </c>
      <c r="C418" s="3" t="inlineStr">
        <is>
          <t>Nguyễn Hoàng Phú</t>
        </is>
      </c>
      <c r="D418" s="2" t="inlineStr">
        <is>
          <t>HCM</t>
        </is>
      </c>
      <c r="E418" s="2" t="inlineStr">
        <is>
          <t>BẢO TRÂM</t>
        </is>
      </c>
      <c r="F418" s="2" t="inlineStr">
        <is>
          <t>Shopee</t>
        </is>
      </c>
      <c r="G418" s="2" t="inlineStr">
        <is>
          <t>KBK-42</t>
        </is>
      </c>
      <c r="H418" s="3" t="inlineStr">
        <is>
          <t>Mũi khoan đá KBK-42</t>
        </is>
      </c>
      <c r="I418" s="4" t="n">
        <v>123000</v>
      </c>
      <c r="J418" s="4" t="n"/>
      <c r="K418" s="4">
        <f>IF(AND(ISNUMBER(J418),ISNUMBER(I418)),J418-I418,"")</f>
        <v/>
      </c>
      <c r="L418" s="5">
        <f>IF(AND(ISNUMBER(J418),ISNUMBER(I418),I418&gt;0),(J418-I418)/I418,"")</f>
        <v/>
      </c>
      <c r="M418" s="2">
        <f>IF(L418="","",IF(L418&lt;-0.05,"Bán phá giá",IF(L418&gt;0.05,"Bán cao hơn","Đúng giá niêm yết")))</f>
        <v/>
      </c>
      <c r="N418" s="2" t="n"/>
      <c r="O418" s="3" t="n"/>
      <c r="P418" s="3" t="n"/>
    </row>
    <row r="419">
      <c r="A419" s="2" t="n">
        <v>418</v>
      </c>
      <c r="B419" s="2" t="inlineStr">
        <is>
          <t>KH002</t>
        </is>
      </c>
      <c r="C419" s="3" t="inlineStr">
        <is>
          <t>Nguyễn Hoàng Phú</t>
        </is>
      </c>
      <c r="D419" s="2" t="inlineStr">
        <is>
          <t>HCM</t>
        </is>
      </c>
      <c r="E419" s="2" t="inlineStr">
        <is>
          <t>BẢO TRÂM</t>
        </is>
      </c>
      <c r="F419" s="2" t="inlineStr">
        <is>
          <t>Shopee</t>
        </is>
      </c>
      <c r="G419" s="2" t="inlineStr">
        <is>
          <t>KBK-45</t>
        </is>
      </c>
      <c r="H419" s="3" t="inlineStr">
        <is>
          <t>Mũi khoan đá KBK-45</t>
        </is>
      </c>
      <c r="I419" s="4" t="n">
        <v>121000</v>
      </c>
      <c r="J419" s="4" t="n"/>
      <c r="K419" s="4">
        <f>IF(AND(ISNUMBER(J419),ISNUMBER(I419)),J419-I419,"")</f>
        <v/>
      </c>
      <c r="L419" s="5">
        <f>IF(AND(ISNUMBER(J419),ISNUMBER(I419),I419&gt;0),(J419-I419)/I419,"")</f>
        <v/>
      </c>
      <c r="M419" s="2">
        <f>IF(L419="","",IF(L419&lt;-0.05,"Bán phá giá",IF(L419&gt;0.05,"Bán cao hơn","Đúng giá niêm yết")))</f>
        <v/>
      </c>
      <c r="N419" s="2" t="n"/>
      <c r="O419" s="3" t="n"/>
      <c r="P419" s="3" t="n"/>
    </row>
    <row r="420">
      <c r="A420" s="2" t="n">
        <v>419</v>
      </c>
      <c r="B420" s="2" t="inlineStr">
        <is>
          <t>KH002</t>
        </is>
      </c>
      <c r="C420" s="3" t="inlineStr">
        <is>
          <t>Nguyễn Hoàng Phú</t>
        </is>
      </c>
      <c r="D420" s="2" t="inlineStr">
        <is>
          <t>HCM</t>
        </is>
      </c>
      <c r="E420" s="2" t="inlineStr">
        <is>
          <t>BẢO TRÂM</t>
        </is>
      </c>
      <c r="F420" s="2" t="inlineStr">
        <is>
          <t>Shopee</t>
        </is>
      </c>
      <c r="G420" s="2" t="inlineStr">
        <is>
          <t>KBK-50</t>
        </is>
      </c>
      <c r="H420" s="3" t="inlineStr">
        <is>
          <t>Mũi khoan đá KBK-50</t>
        </is>
      </c>
      <c r="I420" s="4" t="n">
        <v>146000</v>
      </c>
      <c r="J420" s="4" t="n"/>
      <c r="K420" s="4">
        <f>IF(AND(ISNUMBER(J420),ISNUMBER(I420)),J420-I420,"")</f>
        <v/>
      </c>
      <c r="L420" s="5">
        <f>IF(AND(ISNUMBER(J420),ISNUMBER(I420),I420&gt;0),(J420-I420)/I420,"")</f>
        <v/>
      </c>
      <c r="M420" s="2">
        <f>IF(L420="","",IF(L420&lt;-0.05,"Bán phá giá",IF(L420&gt;0.05,"Bán cao hơn","Đúng giá niêm yết")))</f>
        <v/>
      </c>
      <c r="N420" s="2" t="n"/>
      <c r="O420" s="3" t="n"/>
      <c r="P420" s="3" t="n"/>
    </row>
    <row r="421">
      <c r="A421" s="2" t="n">
        <v>420</v>
      </c>
      <c r="B421" s="2" t="inlineStr">
        <is>
          <t>KH002</t>
        </is>
      </c>
      <c r="C421" s="3" t="inlineStr">
        <is>
          <t>Nguyễn Hoàng Phú</t>
        </is>
      </c>
      <c r="D421" s="2" t="inlineStr">
        <is>
          <t>HCM</t>
        </is>
      </c>
      <c r="E421" s="2" t="inlineStr">
        <is>
          <t>BẢO TRÂM</t>
        </is>
      </c>
      <c r="F421" s="2" t="inlineStr">
        <is>
          <t>Shopee</t>
        </is>
      </c>
      <c r="G421" s="2" t="inlineStr">
        <is>
          <t>KBK-55</t>
        </is>
      </c>
      <c r="H421" s="3" t="inlineStr">
        <is>
          <t>Mũi khoan đá KBK-55</t>
        </is>
      </c>
      <c r="I421" s="4" t="n">
        <v>161000</v>
      </c>
      <c r="J421" s="4" t="n"/>
      <c r="K421" s="4">
        <f>IF(AND(ISNUMBER(J421),ISNUMBER(I421)),J421-I421,"")</f>
        <v/>
      </c>
      <c r="L421" s="5">
        <f>IF(AND(ISNUMBER(J421),ISNUMBER(I421),I421&gt;0),(J421-I421)/I421,"")</f>
        <v/>
      </c>
      <c r="M421" s="2">
        <f>IF(L421="","",IF(L421&lt;-0.05,"Bán phá giá",IF(L421&gt;0.05,"Bán cao hơn","Đúng giá niêm yết")))</f>
        <v/>
      </c>
      <c r="N421" s="2" t="n"/>
      <c r="O421" s="3" t="n"/>
      <c r="P421" s="3" t="n"/>
    </row>
    <row r="422">
      <c r="A422" s="2" t="n">
        <v>421</v>
      </c>
      <c r="B422" s="2" t="inlineStr">
        <is>
          <t>KH002</t>
        </is>
      </c>
      <c r="C422" s="3" t="inlineStr">
        <is>
          <t>Nguyễn Hoàng Phú</t>
        </is>
      </c>
      <c r="D422" s="2" t="inlineStr">
        <is>
          <t>HCM</t>
        </is>
      </c>
      <c r="E422" s="2" t="inlineStr">
        <is>
          <t>BẢO TRÂM</t>
        </is>
      </c>
      <c r="F422" s="2" t="inlineStr">
        <is>
          <t>Shopee</t>
        </is>
      </c>
      <c r="G422" s="2" t="inlineStr">
        <is>
          <t>KBK-60</t>
        </is>
      </c>
      <c r="H422" s="3" t="inlineStr">
        <is>
          <t>Mũi khoan đá KBK-60</t>
        </is>
      </c>
      <c r="I422" s="4" t="n">
        <v>224000</v>
      </c>
      <c r="J422" s="4" t="n"/>
      <c r="K422" s="4">
        <f>IF(AND(ISNUMBER(J422),ISNUMBER(I422)),J422-I422,"")</f>
        <v/>
      </c>
      <c r="L422" s="5">
        <f>IF(AND(ISNUMBER(J422),ISNUMBER(I422),I422&gt;0),(J422-I422)/I422,"")</f>
        <v/>
      </c>
      <c r="M422" s="2">
        <f>IF(L422="","",IF(L422&lt;-0.05,"Bán phá giá",IF(L422&gt;0.05,"Bán cao hơn","Đúng giá niêm yết")))</f>
        <v/>
      </c>
      <c r="N422" s="2" t="n"/>
      <c r="O422" s="3" t="n"/>
      <c r="P422" s="3" t="n"/>
    </row>
    <row r="423">
      <c r="A423" s="2" t="n">
        <v>422</v>
      </c>
      <c r="B423" s="2" t="inlineStr">
        <is>
          <t>KH002</t>
        </is>
      </c>
      <c r="C423" s="3" t="inlineStr">
        <is>
          <t>Nguyễn Hoàng Phú</t>
        </is>
      </c>
      <c r="D423" s="2" t="inlineStr">
        <is>
          <t>HCM</t>
        </is>
      </c>
      <c r="E423" s="2" t="inlineStr">
        <is>
          <t>BẢO TRÂM</t>
        </is>
      </c>
      <c r="F423" s="2" t="inlineStr">
        <is>
          <t>Shopee</t>
        </is>
      </c>
      <c r="G423" s="2" t="inlineStr">
        <is>
          <t>KBK-65</t>
        </is>
      </c>
      <c r="H423" s="3" t="inlineStr">
        <is>
          <t>Mũi khoan đá KBK-65</t>
        </is>
      </c>
      <c r="I423" s="4" t="n">
        <v>186000</v>
      </c>
      <c r="J423" s="4" t="n"/>
      <c r="K423" s="4">
        <f>IF(AND(ISNUMBER(J423),ISNUMBER(I423)),J423-I423,"")</f>
        <v/>
      </c>
      <c r="L423" s="5">
        <f>IF(AND(ISNUMBER(J423),ISNUMBER(I423),I423&gt;0),(J423-I423)/I423,"")</f>
        <v/>
      </c>
      <c r="M423" s="2">
        <f>IF(L423="","",IF(L423&lt;-0.05,"Bán phá giá",IF(L423&gt;0.05,"Bán cao hơn","Đúng giá niêm yết")))</f>
        <v/>
      </c>
      <c r="N423" s="2" t="n"/>
      <c r="O423" s="3" t="n"/>
      <c r="P423" s="3" t="n"/>
    </row>
    <row r="424">
      <c r="A424" s="2" t="n">
        <v>423</v>
      </c>
      <c r="B424" s="2" t="inlineStr">
        <is>
          <t>KH002</t>
        </is>
      </c>
      <c r="C424" s="3" t="inlineStr">
        <is>
          <t>Nguyễn Hoàng Phú</t>
        </is>
      </c>
      <c r="D424" s="2" t="inlineStr">
        <is>
          <t>HCM</t>
        </is>
      </c>
      <c r="E424" s="2" t="inlineStr">
        <is>
          <t>BẢO TRÂM</t>
        </is>
      </c>
      <c r="F424" s="2" t="inlineStr">
        <is>
          <t>Shopee</t>
        </is>
      </c>
      <c r="G424" s="2" t="inlineStr">
        <is>
          <t>KBK-80</t>
        </is>
      </c>
      <c r="H424" s="3" t="inlineStr">
        <is>
          <t>Mũi khoan đá KBK-80</t>
        </is>
      </c>
      <c r="I424" s="4" t="n"/>
      <c r="J424" s="4" t="n"/>
      <c r="K424" s="4">
        <f>IF(AND(ISNUMBER(J424),ISNUMBER(I424)),J424-I424,"")</f>
        <v/>
      </c>
      <c r="L424" s="5">
        <f>IF(AND(ISNUMBER(J424),ISNUMBER(I424),I424&gt;0),(J424-I424)/I424,"")</f>
        <v/>
      </c>
      <c r="M424" s="2">
        <f>IF(L424="","",IF(L424&lt;-0.05,"Bán phá giá",IF(L424&gt;0.05,"Bán cao hơn","Đúng giá niêm yết")))</f>
        <v/>
      </c>
      <c r="N424" s="2" t="n"/>
      <c r="O424" s="3" t="n"/>
      <c r="P424" s="3" t="n"/>
    </row>
    <row r="425">
      <c r="A425" s="2" t="n">
        <v>424</v>
      </c>
      <c r="B425" s="2" t="inlineStr">
        <is>
          <t>KH002</t>
        </is>
      </c>
      <c r="C425" s="3" t="inlineStr">
        <is>
          <t>Nguyễn Hoàng Phú</t>
        </is>
      </c>
      <c r="D425" s="2" t="inlineStr">
        <is>
          <t>HCM</t>
        </is>
      </c>
      <c r="E425" s="2" t="inlineStr">
        <is>
          <t>BẢO TRÂM</t>
        </is>
      </c>
      <c r="F425" s="2" t="inlineStr">
        <is>
          <t>Shopee</t>
        </is>
      </c>
      <c r="G425" s="2" t="inlineStr">
        <is>
          <t>KBK-85</t>
        </is>
      </c>
      <c r="H425" s="3" t="inlineStr">
        <is>
          <t>Mũi khoan đá KBK-85</t>
        </is>
      </c>
      <c r="I425" s="4" t="n">
        <v>261000</v>
      </c>
      <c r="J425" s="4" t="n"/>
      <c r="K425" s="4">
        <f>IF(AND(ISNUMBER(J425),ISNUMBER(I425)),J425-I425,"")</f>
        <v/>
      </c>
      <c r="L425" s="5">
        <f>IF(AND(ISNUMBER(J425),ISNUMBER(I425),I425&gt;0),(J425-I425)/I425,"")</f>
        <v/>
      </c>
      <c r="M425" s="2">
        <f>IF(L425="","",IF(L425&lt;-0.05,"Bán phá giá",IF(L425&gt;0.05,"Bán cao hơn","Đúng giá niêm yết")))</f>
        <v/>
      </c>
      <c r="N425" s="2" t="n"/>
      <c r="O425" s="3" t="n"/>
      <c r="P425" s="3" t="n"/>
    </row>
    <row r="426">
      <c r="A426" s="2" t="n">
        <v>425</v>
      </c>
      <c r="B426" s="2" t="inlineStr">
        <is>
          <t>KH002</t>
        </is>
      </c>
      <c r="C426" s="3" t="inlineStr">
        <is>
          <t>Nguyễn Hoàng Phú</t>
        </is>
      </c>
      <c r="D426" s="2" t="inlineStr">
        <is>
          <t>HCM</t>
        </is>
      </c>
      <c r="E426" s="2" t="inlineStr">
        <is>
          <t>BẢO TRÂM</t>
        </is>
      </c>
      <c r="F426" s="2" t="inlineStr">
        <is>
          <t>Shopee</t>
        </is>
      </c>
      <c r="G426" s="2" t="inlineStr">
        <is>
          <t>KBK-90</t>
        </is>
      </c>
      <c r="H426" s="3" t="inlineStr">
        <is>
          <t>Mũi khoan đá KBK-90</t>
        </is>
      </c>
      <c r="I426" s="4" t="n">
        <v>300000</v>
      </c>
      <c r="J426" s="4" t="n"/>
      <c r="K426" s="4">
        <f>IF(AND(ISNUMBER(J426),ISNUMBER(I426)),J426-I426,"")</f>
        <v/>
      </c>
      <c r="L426" s="5">
        <f>IF(AND(ISNUMBER(J426),ISNUMBER(I426),I426&gt;0),(J426-I426)/I426,"")</f>
        <v/>
      </c>
      <c r="M426" s="2">
        <f>IF(L426="","",IF(L426&lt;-0.05,"Bán phá giá",IF(L426&gt;0.05,"Bán cao hơn","Đúng giá niêm yết")))</f>
        <v/>
      </c>
      <c r="N426" s="2" t="n"/>
      <c r="O426" s="3" t="n"/>
      <c r="P426" s="3" t="n"/>
    </row>
    <row r="427">
      <c r="A427" s="2" t="n">
        <v>426</v>
      </c>
      <c r="B427" s="2" t="inlineStr">
        <is>
          <t>KH002</t>
        </is>
      </c>
      <c r="C427" s="3" t="inlineStr">
        <is>
          <t>Nguyễn Hoàng Phú</t>
        </is>
      </c>
      <c r="D427" s="2" t="inlineStr">
        <is>
          <t>HCM</t>
        </is>
      </c>
      <c r="E427" s="2" t="inlineStr">
        <is>
          <t>BẢO TRÂM</t>
        </is>
      </c>
      <c r="F427" s="2" t="inlineStr">
        <is>
          <t>Shopee</t>
        </is>
      </c>
      <c r="G427" s="2" t="inlineStr">
        <is>
          <t>KBL4S-06*160</t>
        </is>
      </c>
      <c r="H427" s="3" t="inlineStr">
        <is>
          <t>Mũi khoan đa năng chuôi gài 4 cạnh KBL4S-06*160</t>
        </is>
      </c>
      <c r="I427" s="4" t="n">
        <v>36000</v>
      </c>
      <c r="J427" s="4" t="n"/>
      <c r="K427" s="4">
        <f>IF(AND(ISNUMBER(J427),ISNUMBER(I427)),J427-I427,"")</f>
        <v/>
      </c>
      <c r="L427" s="5">
        <f>IF(AND(ISNUMBER(J427),ISNUMBER(I427),I427&gt;0),(J427-I427)/I427,"")</f>
        <v/>
      </c>
      <c r="M427" s="2">
        <f>IF(L427="","",IF(L427&lt;-0.05,"Bán phá giá",IF(L427&gt;0.05,"Bán cao hơn","Đúng giá niêm yết")))</f>
        <v/>
      </c>
      <c r="N427" s="2" t="n"/>
      <c r="O427" s="3" t="n"/>
      <c r="P427" s="3" t="n"/>
    </row>
    <row r="428">
      <c r="A428" s="2" t="n">
        <v>427</v>
      </c>
      <c r="B428" s="2" t="inlineStr">
        <is>
          <t>KH002</t>
        </is>
      </c>
      <c r="C428" s="3" t="inlineStr">
        <is>
          <t>Nguyễn Hoàng Phú</t>
        </is>
      </c>
      <c r="D428" s="2" t="inlineStr">
        <is>
          <t>HCM</t>
        </is>
      </c>
      <c r="E428" s="2" t="inlineStr">
        <is>
          <t>BẢO TRÂM</t>
        </is>
      </c>
      <c r="F428" s="2" t="inlineStr">
        <is>
          <t>Shopee</t>
        </is>
      </c>
      <c r="G428" s="2" t="inlineStr">
        <is>
          <t>KBL4S-08*160</t>
        </is>
      </c>
      <c r="H428" s="3" t="inlineStr">
        <is>
          <t>Mũi khoan đa năng chuôi gài 4 cạnh KBL4S-08*160</t>
        </is>
      </c>
      <c r="I428" s="4" t="n">
        <v>40000</v>
      </c>
      <c r="J428" s="4" t="n"/>
      <c r="K428" s="4">
        <f>IF(AND(ISNUMBER(J428),ISNUMBER(I428)),J428-I428,"")</f>
        <v/>
      </c>
      <c r="L428" s="5">
        <f>IF(AND(ISNUMBER(J428),ISNUMBER(I428),I428&gt;0),(J428-I428)/I428,"")</f>
        <v/>
      </c>
      <c r="M428" s="2">
        <f>IF(L428="","",IF(L428&lt;-0.05,"Bán phá giá",IF(L428&gt;0.05,"Bán cao hơn","Đúng giá niêm yết")))</f>
        <v/>
      </c>
      <c r="N428" s="2" t="n"/>
      <c r="O428" s="3" t="n"/>
      <c r="P428" s="3" t="n"/>
    </row>
    <row r="429">
      <c r="A429" s="2" t="n">
        <v>428</v>
      </c>
      <c r="B429" s="2" t="inlineStr">
        <is>
          <t>KH002</t>
        </is>
      </c>
      <c r="C429" s="3" t="inlineStr">
        <is>
          <t>Nguyễn Hoàng Phú</t>
        </is>
      </c>
      <c r="D429" s="2" t="inlineStr">
        <is>
          <t>HCM</t>
        </is>
      </c>
      <c r="E429" s="2" t="inlineStr">
        <is>
          <t>BẢO TRÂM</t>
        </is>
      </c>
      <c r="F429" s="2" t="inlineStr">
        <is>
          <t>Shopee</t>
        </is>
      </c>
      <c r="G429" s="2" t="inlineStr">
        <is>
          <t>KBL4S-10*160</t>
        </is>
      </c>
      <c r="H429" s="3" t="inlineStr">
        <is>
          <t>Mũi khoan đa năng chuôi gài 4 cạnh KBL4S-10*160</t>
        </is>
      </c>
      <c r="I429" s="4" t="n">
        <v>49000</v>
      </c>
      <c r="J429" s="4" t="n"/>
      <c r="K429" s="4">
        <f>IF(AND(ISNUMBER(J429),ISNUMBER(I429)),J429-I429,"")</f>
        <v/>
      </c>
      <c r="L429" s="5">
        <f>IF(AND(ISNUMBER(J429),ISNUMBER(I429),I429&gt;0),(J429-I429)/I429,"")</f>
        <v/>
      </c>
      <c r="M429" s="2">
        <f>IF(L429="","",IF(L429&lt;-0.05,"Bán phá giá",IF(L429&gt;0.05,"Bán cao hơn","Đúng giá niêm yết")))</f>
        <v/>
      </c>
      <c r="N429" s="2" t="n"/>
      <c r="O429" s="3" t="n"/>
      <c r="P429" s="3" t="n"/>
    </row>
    <row r="430">
      <c r="A430" s="2" t="n">
        <v>429</v>
      </c>
      <c r="B430" s="2" t="inlineStr">
        <is>
          <t>KH002</t>
        </is>
      </c>
      <c r="C430" s="3" t="inlineStr">
        <is>
          <t>Nguyễn Hoàng Phú</t>
        </is>
      </c>
      <c r="D430" s="2" t="inlineStr">
        <is>
          <t>HCM</t>
        </is>
      </c>
      <c r="E430" s="2" t="inlineStr">
        <is>
          <t>BẢO TRÂM</t>
        </is>
      </c>
      <c r="F430" s="2" t="inlineStr">
        <is>
          <t>Shopee</t>
        </is>
      </c>
      <c r="G430" s="2" t="inlineStr">
        <is>
          <t>KBL4S-12*160</t>
        </is>
      </c>
      <c r="H430" s="3" t="inlineStr">
        <is>
          <t>Mũi khoan đa năng chuôi gài 4 cạnh KBL4S-12*160</t>
        </is>
      </c>
      <c r="I430" s="4" t="n">
        <v>59000</v>
      </c>
      <c r="J430" s="4" t="n"/>
      <c r="K430" s="4">
        <f>IF(AND(ISNUMBER(J430),ISNUMBER(I430)),J430-I430,"")</f>
        <v/>
      </c>
      <c r="L430" s="5">
        <f>IF(AND(ISNUMBER(J430),ISNUMBER(I430),I430&gt;0),(J430-I430)/I430,"")</f>
        <v/>
      </c>
      <c r="M430" s="2">
        <f>IF(L430="","",IF(L430&lt;-0.05,"Bán phá giá",IF(L430&gt;0.05,"Bán cao hơn","Đúng giá niêm yết")))</f>
        <v/>
      </c>
      <c r="N430" s="2" t="n"/>
      <c r="O430" s="3" t="n"/>
      <c r="P430" s="3" t="n"/>
    </row>
    <row r="431">
      <c r="A431" s="2" t="n">
        <v>430</v>
      </c>
      <c r="B431" s="2" t="inlineStr">
        <is>
          <t>KH002</t>
        </is>
      </c>
      <c r="C431" s="3" t="inlineStr">
        <is>
          <t>Nguyễn Hoàng Phú</t>
        </is>
      </c>
      <c r="D431" s="2" t="inlineStr">
        <is>
          <t>HCM</t>
        </is>
      </c>
      <c r="E431" s="2" t="inlineStr">
        <is>
          <t>BẢO TRÂM</t>
        </is>
      </c>
      <c r="F431" s="2" t="inlineStr">
        <is>
          <t>Shopee</t>
        </is>
      </c>
      <c r="G431" s="2" t="inlineStr">
        <is>
          <t>KBH2E-3*120</t>
        </is>
      </c>
      <c r="H431" s="3" t="inlineStr">
        <is>
          <t>Mũi khoan đa năng lục giác 2 cạnh KBH2E-3*120</t>
        </is>
      </c>
      <c r="I431" s="4" t="n">
        <v>37000</v>
      </c>
      <c r="J431" s="4" t="n"/>
      <c r="K431" s="4">
        <f>IF(AND(ISNUMBER(J431),ISNUMBER(I431)),J431-I431,"")</f>
        <v/>
      </c>
      <c r="L431" s="5">
        <f>IF(AND(ISNUMBER(J431),ISNUMBER(I431),I431&gt;0),(J431-I431)/I431,"")</f>
        <v/>
      </c>
      <c r="M431" s="2">
        <f>IF(L431="","",IF(L431&lt;-0.05,"Bán phá giá",IF(L431&gt;0.05,"Bán cao hơn","Đúng giá niêm yết")))</f>
        <v/>
      </c>
      <c r="N431" s="2" t="n"/>
      <c r="O431" s="3" t="n"/>
      <c r="P431" s="3" t="n"/>
    </row>
    <row r="432">
      <c r="A432" s="2" t="n">
        <v>431</v>
      </c>
      <c r="B432" s="2" t="inlineStr">
        <is>
          <t>KH002</t>
        </is>
      </c>
      <c r="C432" s="3" t="inlineStr">
        <is>
          <t>Nguyễn Hoàng Phú</t>
        </is>
      </c>
      <c r="D432" s="2" t="inlineStr">
        <is>
          <t>HCM</t>
        </is>
      </c>
      <c r="E432" s="2" t="inlineStr">
        <is>
          <t>BẢO TRÂM</t>
        </is>
      </c>
      <c r="F432" s="2" t="inlineStr">
        <is>
          <t>Shopee</t>
        </is>
      </c>
      <c r="G432" s="2" t="inlineStr">
        <is>
          <t>KBH2F-03*95</t>
        </is>
      </c>
      <c r="H432" s="3" t="inlineStr">
        <is>
          <t>Mũi khoan ĐN lục giác 2 cạnh KBH2F-03*95</t>
        </is>
      </c>
      <c r="I432" s="4" t="n">
        <v>35000</v>
      </c>
      <c r="J432" s="4" t="n"/>
      <c r="K432" s="4">
        <f>IF(AND(ISNUMBER(J432),ISNUMBER(I432)),J432-I432,"")</f>
        <v/>
      </c>
      <c r="L432" s="5">
        <f>IF(AND(ISNUMBER(J432),ISNUMBER(I432),I432&gt;0),(J432-I432)/I432,"")</f>
        <v/>
      </c>
      <c r="M432" s="2">
        <f>IF(L432="","",IF(L432&lt;-0.05,"Bán phá giá",IF(L432&gt;0.05,"Bán cao hơn","Đúng giá niêm yết")))</f>
        <v/>
      </c>
      <c r="N432" s="2" t="n"/>
      <c r="O432" s="3" t="n"/>
      <c r="P432" s="3" t="n"/>
    </row>
    <row r="433">
      <c r="A433" s="2" t="n">
        <v>432</v>
      </c>
      <c r="B433" s="2" t="inlineStr">
        <is>
          <t>KH002</t>
        </is>
      </c>
      <c r="C433" s="3" t="inlineStr">
        <is>
          <t>Nguyễn Hoàng Phú</t>
        </is>
      </c>
      <c r="D433" s="2" t="inlineStr">
        <is>
          <t>HCM</t>
        </is>
      </c>
      <c r="E433" s="2" t="inlineStr">
        <is>
          <t>BẢO TRÂM</t>
        </is>
      </c>
      <c r="F433" s="2" t="inlineStr">
        <is>
          <t>Shopee</t>
        </is>
      </c>
      <c r="G433" s="2" t="inlineStr">
        <is>
          <t>KBH2F-04*95</t>
        </is>
      </c>
      <c r="H433" s="3" t="inlineStr">
        <is>
          <t>Mũi khoan ĐN lục giác 2 cạnh KBH2F-04*95</t>
        </is>
      </c>
      <c r="I433" s="4" t="n">
        <v>35000</v>
      </c>
      <c r="J433" s="4" t="n"/>
      <c r="K433" s="4">
        <f>IF(AND(ISNUMBER(J433),ISNUMBER(I433)),J433-I433,"")</f>
        <v/>
      </c>
      <c r="L433" s="5">
        <f>IF(AND(ISNUMBER(J433),ISNUMBER(I433),I433&gt;0),(J433-I433)/I433,"")</f>
        <v/>
      </c>
      <c r="M433" s="2">
        <f>IF(L433="","",IF(L433&lt;-0.05,"Bán phá giá",IF(L433&gt;0.05,"Bán cao hơn","Đúng giá niêm yết")))</f>
        <v/>
      </c>
      <c r="N433" s="2" t="n"/>
      <c r="O433" s="3" t="n"/>
      <c r="P433" s="3" t="n"/>
    </row>
    <row r="434">
      <c r="A434" s="2" t="n">
        <v>433</v>
      </c>
      <c r="B434" s="2" t="inlineStr">
        <is>
          <t>KH002</t>
        </is>
      </c>
      <c r="C434" s="3" t="inlineStr">
        <is>
          <t>Nguyễn Hoàng Phú</t>
        </is>
      </c>
      <c r="D434" s="2" t="inlineStr">
        <is>
          <t>HCM</t>
        </is>
      </c>
      <c r="E434" s="2" t="inlineStr">
        <is>
          <t>BẢO TRÂM</t>
        </is>
      </c>
      <c r="F434" s="2" t="inlineStr">
        <is>
          <t>Shopee</t>
        </is>
      </c>
      <c r="G434" s="2" t="inlineStr">
        <is>
          <t>KBH2F-05*95</t>
        </is>
      </c>
      <c r="H434" s="3" t="inlineStr">
        <is>
          <t>Mũi khoan ĐN lục giác 2 cạnh KBH2F-05*95</t>
        </is>
      </c>
      <c r="I434" s="4" t="n">
        <v>35000</v>
      </c>
      <c r="J434" s="4" t="n"/>
      <c r="K434" s="4">
        <f>IF(AND(ISNUMBER(J434),ISNUMBER(I434)),J434-I434,"")</f>
        <v/>
      </c>
      <c r="L434" s="5">
        <f>IF(AND(ISNUMBER(J434),ISNUMBER(I434),I434&gt;0),(J434-I434)/I434,"")</f>
        <v/>
      </c>
      <c r="M434" s="2">
        <f>IF(L434="","",IF(L434&lt;-0.05,"Bán phá giá",IF(L434&gt;0.05,"Bán cao hơn","Đúng giá niêm yết")))</f>
        <v/>
      </c>
      <c r="N434" s="2" t="n"/>
      <c r="O434" s="3" t="n"/>
      <c r="P434" s="3" t="n"/>
    </row>
    <row r="435">
      <c r="A435" s="2" t="n">
        <v>434</v>
      </c>
      <c r="B435" s="2" t="inlineStr">
        <is>
          <t>KH002</t>
        </is>
      </c>
      <c r="C435" s="3" t="inlineStr">
        <is>
          <t>Nguyễn Hoàng Phú</t>
        </is>
      </c>
      <c r="D435" s="2" t="inlineStr">
        <is>
          <t>HCM</t>
        </is>
      </c>
      <c r="E435" s="2" t="inlineStr">
        <is>
          <t>BẢO TRÂM</t>
        </is>
      </c>
      <c r="F435" s="2" t="inlineStr">
        <is>
          <t>Shopee</t>
        </is>
      </c>
      <c r="G435" s="2" t="inlineStr">
        <is>
          <t>KBH2F-06*95</t>
        </is>
      </c>
      <c r="H435" s="3" t="inlineStr">
        <is>
          <t>Mũi khoan ĐN lục giác 2 cạnh KBH2F-06*95</t>
        </is>
      </c>
      <c r="I435" s="4" t="n">
        <v>35000</v>
      </c>
      <c r="J435" s="4" t="n"/>
      <c r="K435" s="4">
        <f>IF(AND(ISNUMBER(J435),ISNUMBER(I435)),J435-I435,"")</f>
        <v/>
      </c>
      <c r="L435" s="5">
        <f>IF(AND(ISNUMBER(J435),ISNUMBER(I435),I435&gt;0),(J435-I435)/I435,"")</f>
        <v/>
      </c>
      <c r="M435" s="2">
        <f>IF(L435="","",IF(L435&lt;-0.05,"Bán phá giá",IF(L435&gt;0.05,"Bán cao hơn","Đúng giá niêm yết")))</f>
        <v/>
      </c>
      <c r="N435" s="2" t="n"/>
      <c r="O435" s="3" t="n"/>
      <c r="P435" s="3" t="n"/>
    </row>
    <row r="436">
      <c r="A436" s="2" t="n">
        <v>435</v>
      </c>
      <c r="B436" s="2" t="inlineStr">
        <is>
          <t>KH002</t>
        </is>
      </c>
      <c r="C436" s="3" t="inlineStr">
        <is>
          <t>Nguyễn Hoàng Phú</t>
        </is>
      </c>
      <c r="D436" s="2" t="inlineStr">
        <is>
          <t>HCM</t>
        </is>
      </c>
      <c r="E436" s="2" t="inlineStr">
        <is>
          <t>BẢO TRÂM</t>
        </is>
      </c>
      <c r="F436" s="2" t="inlineStr">
        <is>
          <t>Shopee</t>
        </is>
      </c>
      <c r="G436" s="2" t="inlineStr">
        <is>
          <t>KBH2F-08*95</t>
        </is>
      </c>
      <c r="H436" s="3" t="inlineStr">
        <is>
          <t>Mũi khoan ĐN lục giác 2 cạnh KBH2F-08*95</t>
        </is>
      </c>
      <c r="I436" s="4" t="n">
        <v>43000</v>
      </c>
      <c r="J436" s="4" t="n"/>
      <c r="K436" s="4">
        <f>IF(AND(ISNUMBER(J436),ISNUMBER(I436)),J436-I436,"")</f>
        <v/>
      </c>
      <c r="L436" s="5">
        <f>IF(AND(ISNUMBER(J436),ISNUMBER(I436),I436&gt;0),(J436-I436)/I436,"")</f>
        <v/>
      </c>
      <c r="M436" s="2">
        <f>IF(L436="","",IF(L436&lt;-0.05,"Bán phá giá",IF(L436&gt;0.05,"Bán cao hơn","Đúng giá niêm yết")))</f>
        <v/>
      </c>
      <c r="N436" s="2" t="n"/>
      <c r="O436" s="3" t="n"/>
      <c r="P436" s="3" t="n"/>
    </row>
    <row r="437">
      <c r="A437" s="2" t="n">
        <v>436</v>
      </c>
      <c r="B437" s="2" t="inlineStr">
        <is>
          <t>KH002</t>
        </is>
      </c>
      <c r="C437" s="3" t="inlineStr">
        <is>
          <t>Nguyễn Hoàng Phú</t>
        </is>
      </c>
      <c r="D437" s="2" t="inlineStr">
        <is>
          <t>HCM</t>
        </is>
      </c>
      <c r="E437" s="2" t="inlineStr">
        <is>
          <t>BẢO TRÂM</t>
        </is>
      </c>
      <c r="F437" s="2" t="inlineStr">
        <is>
          <t>Shopee</t>
        </is>
      </c>
      <c r="G437" s="2" t="inlineStr">
        <is>
          <t>KBH2F-10*95</t>
        </is>
      </c>
      <c r="H437" s="3" t="inlineStr">
        <is>
          <t>Mũi khoan ĐN lục giác 2 cạnh KBH2F-10*95</t>
        </is>
      </c>
      <c r="I437" s="4" t="n">
        <v>53000</v>
      </c>
      <c r="J437" s="4" t="n"/>
      <c r="K437" s="4">
        <f>IF(AND(ISNUMBER(J437),ISNUMBER(I437)),J437-I437,"")</f>
        <v/>
      </c>
      <c r="L437" s="5">
        <f>IF(AND(ISNUMBER(J437),ISNUMBER(I437),I437&gt;0),(J437-I437)/I437,"")</f>
        <v/>
      </c>
      <c r="M437" s="2">
        <f>IF(L437="","",IF(L437&lt;-0.05,"Bán phá giá",IF(L437&gt;0.05,"Bán cao hơn","Đúng giá niêm yết")))</f>
        <v/>
      </c>
      <c r="N437" s="2" t="n"/>
      <c r="O437" s="3" t="n"/>
      <c r="P437" s="3" t="n"/>
    </row>
    <row r="438">
      <c r="A438" s="2" t="n">
        <v>437</v>
      </c>
      <c r="B438" s="2" t="inlineStr">
        <is>
          <t>KH002</t>
        </is>
      </c>
      <c r="C438" s="3" t="inlineStr">
        <is>
          <t>Nguyễn Hoàng Phú</t>
        </is>
      </c>
      <c r="D438" s="2" t="inlineStr">
        <is>
          <t>HCM</t>
        </is>
      </c>
      <c r="E438" s="2" t="inlineStr">
        <is>
          <t>BẢO TRÂM</t>
        </is>
      </c>
      <c r="F438" s="2" t="inlineStr">
        <is>
          <t>Shopee</t>
        </is>
      </c>
      <c r="G438" s="2" t="inlineStr">
        <is>
          <t>KBH2F-12*95</t>
        </is>
      </c>
      <c r="H438" s="3" t="inlineStr">
        <is>
          <t>Mũi khoan ĐN lục giác 2 cạnh KBH2F-12*95</t>
        </is>
      </c>
      <c r="I438" s="4" t="n">
        <v>59000</v>
      </c>
      <c r="J438" s="4" t="n"/>
      <c r="K438" s="4">
        <f>IF(AND(ISNUMBER(J438),ISNUMBER(I438)),J438-I438,"")</f>
        <v/>
      </c>
      <c r="L438" s="5">
        <f>IF(AND(ISNUMBER(J438),ISNUMBER(I438),I438&gt;0),(J438-I438)/I438,"")</f>
        <v/>
      </c>
      <c r="M438" s="2">
        <f>IF(L438="","",IF(L438&lt;-0.05,"Bán phá giá",IF(L438&gt;0.05,"Bán cao hơn","Đúng giá niêm yết")))</f>
        <v/>
      </c>
      <c r="N438" s="2" t="n"/>
      <c r="O438" s="3" t="n"/>
      <c r="P438" s="3" t="n"/>
    </row>
    <row r="439">
      <c r="A439" s="2" t="n">
        <v>438</v>
      </c>
      <c r="B439" s="2" t="inlineStr">
        <is>
          <t>KH002</t>
        </is>
      </c>
      <c r="C439" s="3" t="inlineStr">
        <is>
          <t>Nguyễn Hoàng Phú</t>
        </is>
      </c>
      <c r="D439" s="2" t="inlineStr">
        <is>
          <t>HCM</t>
        </is>
      </c>
      <c r="E439" s="2" t="inlineStr">
        <is>
          <t>BẢO TRÂM</t>
        </is>
      </c>
      <c r="F439" s="2" t="inlineStr">
        <is>
          <t>Shopee</t>
        </is>
      </c>
      <c r="G439" s="2" t="inlineStr">
        <is>
          <t>KBH4S-06*100</t>
        </is>
      </c>
      <c r="H439" s="3" t="inlineStr">
        <is>
          <t>Mũi khoan ĐN lục giác 4 cạnh KBH4S-06*100</t>
        </is>
      </c>
      <c r="I439" s="4" t="n">
        <v>32000</v>
      </c>
      <c r="J439" s="4" t="n"/>
      <c r="K439" s="4">
        <f>IF(AND(ISNUMBER(J439),ISNUMBER(I439)),J439-I439,"")</f>
        <v/>
      </c>
      <c r="L439" s="5">
        <f>IF(AND(ISNUMBER(J439),ISNUMBER(I439),I439&gt;0),(J439-I439)/I439,"")</f>
        <v/>
      </c>
      <c r="M439" s="2">
        <f>IF(L439="","",IF(L439&lt;-0.05,"Bán phá giá",IF(L439&gt;0.05,"Bán cao hơn","Đúng giá niêm yết")))</f>
        <v/>
      </c>
      <c r="N439" s="2" t="n"/>
      <c r="O439" s="3" t="n"/>
      <c r="P439" s="3" t="n"/>
    </row>
    <row r="440">
      <c r="A440" s="2" t="n">
        <v>439</v>
      </c>
      <c r="B440" s="2" t="inlineStr">
        <is>
          <t>KH002</t>
        </is>
      </c>
      <c r="C440" s="3" t="inlineStr">
        <is>
          <t>Nguyễn Hoàng Phú</t>
        </is>
      </c>
      <c r="D440" s="2" t="inlineStr">
        <is>
          <t>HCM</t>
        </is>
      </c>
      <c r="E440" s="2" t="inlineStr">
        <is>
          <t>BẢO TRÂM</t>
        </is>
      </c>
      <c r="F440" s="2" t="inlineStr">
        <is>
          <t>Shopee</t>
        </is>
      </c>
      <c r="G440" s="2" t="inlineStr">
        <is>
          <t>KBH4S-08*117</t>
        </is>
      </c>
      <c r="H440" s="3" t="inlineStr">
        <is>
          <t>Mũi khoan ĐN lục giác 4 cạnh KBH4S-08*117</t>
        </is>
      </c>
      <c r="I440" s="4" t="n">
        <v>41000</v>
      </c>
      <c r="J440" s="4" t="n"/>
      <c r="K440" s="4">
        <f>IF(AND(ISNUMBER(J440),ISNUMBER(I440)),J440-I440,"")</f>
        <v/>
      </c>
      <c r="L440" s="5">
        <f>IF(AND(ISNUMBER(J440),ISNUMBER(I440),I440&gt;0),(J440-I440)/I440,"")</f>
        <v/>
      </c>
      <c r="M440" s="2">
        <f>IF(L440="","",IF(L440&lt;-0.05,"Bán phá giá",IF(L440&gt;0.05,"Bán cao hơn","Đúng giá niêm yết")))</f>
        <v/>
      </c>
      <c r="N440" s="2" t="n"/>
      <c r="O440" s="3" t="n"/>
      <c r="P440" s="3" t="n"/>
    </row>
    <row r="441">
      <c r="A441" s="2" t="n">
        <v>440</v>
      </c>
      <c r="B441" s="2" t="inlineStr">
        <is>
          <t>KH002</t>
        </is>
      </c>
      <c r="C441" s="3" t="inlineStr">
        <is>
          <t>Nguyễn Hoàng Phú</t>
        </is>
      </c>
      <c r="D441" s="2" t="inlineStr">
        <is>
          <t>HCM</t>
        </is>
      </c>
      <c r="E441" s="2" t="inlineStr">
        <is>
          <t>BẢO TRÂM</t>
        </is>
      </c>
      <c r="F441" s="2" t="inlineStr">
        <is>
          <t>Shopee</t>
        </is>
      </c>
      <c r="G441" s="2" t="inlineStr">
        <is>
          <t>KBH4S-10*123</t>
        </is>
      </c>
      <c r="H441" s="3" t="inlineStr">
        <is>
          <t>Mũi khoan ĐN lục giác 4 cạnh KBH4S-10*123</t>
        </is>
      </c>
      <c r="I441" s="4" t="n">
        <v>51000</v>
      </c>
      <c r="J441" s="4" t="n"/>
      <c r="K441" s="4">
        <f>IF(AND(ISNUMBER(J441),ISNUMBER(I441)),J441-I441,"")</f>
        <v/>
      </c>
      <c r="L441" s="5">
        <f>IF(AND(ISNUMBER(J441),ISNUMBER(I441),I441&gt;0),(J441-I441)/I441,"")</f>
        <v/>
      </c>
      <c r="M441" s="2">
        <f>IF(L441="","",IF(L441&lt;-0.05,"Bán phá giá",IF(L441&gt;0.05,"Bán cao hơn","Đúng giá niêm yết")))</f>
        <v/>
      </c>
      <c r="N441" s="2" t="n"/>
      <c r="O441" s="3" t="n"/>
      <c r="P441" s="3" t="n"/>
    </row>
    <row r="442">
      <c r="A442" s="2" t="n">
        <v>441</v>
      </c>
      <c r="B442" s="2" t="inlineStr">
        <is>
          <t>KH002</t>
        </is>
      </c>
      <c r="C442" s="3" t="inlineStr">
        <is>
          <t>Nguyễn Hoàng Phú</t>
        </is>
      </c>
      <c r="D442" s="2" t="inlineStr">
        <is>
          <t>HCM</t>
        </is>
      </c>
      <c r="E442" s="2" t="inlineStr">
        <is>
          <t>BẢO TRÂM</t>
        </is>
      </c>
      <c r="F442" s="2" t="inlineStr">
        <is>
          <t>Shopee</t>
        </is>
      </c>
      <c r="G442" s="2" t="inlineStr">
        <is>
          <t>KBH4S-12*123</t>
        </is>
      </c>
      <c r="H442" s="3" t="inlineStr">
        <is>
          <t>Mũi khoan ĐN lục giác 4 cạnh KBH4S-12*123</t>
        </is>
      </c>
      <c r="I442" s="4" t="n">
        <v>62000</v>
      </c>
      <c r="J442" s="4" t="n"/>
      <c r="K442" s="4">
        <f>IF(AND(ISNUMBER(J442),ISNUMBER(I442)),J442-I442,"")</f>
        <v/>
      </c>
      <c r="L442" s="5">
        <f>IF(AND(ISNUMBER(J442),ISNUMBER(I442),I442&gt;0),(J442-I442)/I442,"")</f>
        <v/>
      </c>
      <c r="M442" s="2">
        <f>IF(L442="","",IF(L442&lt;-0.05,"Bán phá giá",IF(L442&gt;0.05,"Bán cao hơn","Đúng giá niêm yết")))</f>
        <v/>
      </c>
      <c r="N442" s="2" t="n"/>
      <c r="O442" s="3" t="n"/>
      <c r="P442" s="3" t="n"/>
    </row>
    <row r="443">
      <c r="A443" s="2" t="n">
        <v>442</v>
      </c>
      <c r="B443" s="2" t="inlineStr">
        <is>
          <t>KH002</t>
        </is>
      </c>
      <c r="C443" s="3" t="inlineStr">
        <is>
          <t>Nguyễn Hoàng Phú</t>
        </is>
      </c>
      <c r="D443" s="2" t="inlineStr">
        <is>
          <t>HCM</t>
        </is>
      </c>
      <c r="E443" s="2" t="inlineStr">
        <is>
          <t>BẢO TRÂM</t>
        </is>
      </c>
      <c r="F443" s="2" t="inlineStr">
        <is>
          <t>Shopee</t>
        </is>
      </c>
      <c r="G443" s="2" t="inlineStr">
        <is>
          <t>KBH4S-3.5*92</t>
        </is>
      </c>
      <c r="H443" s="3" t="inlineStr">
        <is>
          <t>Mũi khoan ĐN lục giác 4 cạnh KBH4S-3.5*92</t>
        </is>
      </c>
      <c r="I443" s="4" t="n">
        <v>32000</v>
      </c>
      <c r="J443" s="4" t="n"/>
      <c r="K443" s="4">
        <f>IF(AND(ISNUMBER(J443),ISNUMBER(I443)),J443-I443,"")</f>
        <v/>
      </c>
      <c r="L443" s="5">
        <f>IF(AND(ISNUMBER(J443),ISNUMBER(I443),I443&gt;0),(J443-I443)/I443,"")</f>
        <v/>
      </c>
      <c r="M443" s="2">
        <f>IF(L443="","",IF(L443&lt;-0.05,"Bán phá giá",IF(L443&gt;0.05,"Bán cao hơn","Đúng giá niêm yết")))</f>
        <v/>
      </c>
      <c r="N443" s="2" t="n"/>
      <c r="O443" s="3" t="n"/>
      <c r="P443" s="3" t="n"/>
    </row>
    <row r="444">
      <c r="A444" s="2" t="n">
        <v>443</v>
      </c>
      <c r="B444" s="2" t="inlineStr">
        <is>
          <t>KH002</t>
        </is>
      </c>
      <c r="C444" s="3" t="inlineStr">
        <is>
          <t>Nguyễn Hoàng Phú</t>
        </is>
      </c>
      <c r="D444" s="2" t="inlineStr">
        <is>
          <t>HCM</t>
        </is>
      </c>
      <c r="E444" s="2" t="inlineStr">
        <is>
          <t>BẢO TRÂM</t>
        </is>
      </c>
      <c r="F444" s="2" t="inlineStr">
        <is>
          <t>Shopee</t>
        </is>
      </c>
      <c r="G444" s="2" t="inlineStr">
        <is>
          <t>KBX1-06*200</t>
        </is>
      </c>
      <c r="H444" s="3" t="inlineStr">
        <is>
          <t>Mũi khoan gỗ chuôi lục KBX1-06*200</t>
        </is>
      </c>
      <c r="I444" s="4" t="n">
        <v>38000</v>
      </c>
      <c r="J444" s="4" t="n"/>
      <c r="K444" s="4">
        <f>IF(AND(ISNUMBER(J444),ISNUMBER(I444)),J444-I444,"")</f>
        <v/>
      </c>
      <c r="L444" s="5">
        <f>IF(AND(ISNUMBER(J444),ISNUMBER(I444),I444&gt;0),(J444-I444)/I444,"")</f>
        <v/>
      </c>
      <c r="M444" s="2">
        <f>IF(L444="","",IF(L444&lt;-0.05,"Bán phá giá",IF(L444&gt;0.05,"Bán cao hơn","Đúng giá niêm yết")))</f>
        <v/>
      </c>
      <c r="N444" s="2" t="n"/>
      <c r="O444" s="3" t="n"/>
      <c r="P444" s="3" t="n"/>
    </row>
    <row r="445">
      <c r="A445" s="2" t="n">
        <v>444</v>
      </c>
      <c r="B445" s="2" t="inlineStr">
        <is>
          <t>KH002</t>
        </is>
      </c>
      <c r="C445" s="3" t="inlineStr">
        <is>
          <t>Nguyễn Hoàng Phú</t>
        </is>
      </c>
      <c r="D445" s="2" t="inlineStr">
        <is>
          <t>HCM</t>
        </is>
      </c>
      <c r="E445" s="2" t="inlineStr">
        <is>
          <t>BẢO TRÂM</t>
        </is>
      </c>
      <c r="F445" s="2" t="inlineStr">
        <is>
          <t>Shopee</t>
        </is>
      </c>
      <c r="G445" s="2" t="inlineStr">
        <is>
          <t>KBX1-08*200</t>
        </is>
      </c>
      <c r="H445" s="3" t="inlineStr">
        <is>
          <t>Mũi khoan gỗ chuôi lục KBX1-08*200</t>
        </is>
      </c>
      <c r="I445" s="4" t="n">
        <v>52000</v>
      </c>
      <c r="J445" s="4" t="n"/>
      <c r="K445" s="4">
        <f>IF(AND(ISNUMBER(J445),ISNUMBER(I445)),J445-I445,"")</f>
        <v/>
      </c>
      <c r="L445" s="5">
        <f>IF(AND(ISNUMBER(J445),ISNUMBER(I445),I445&gt;0),(J445-I445)/I445,"")</f>
        <v/>
      </c>
      <c r="M445" s="2">
        <f>IF(L445="","",IF(L445&lt;-0.05,"Bán phá giá",IF(L445&gt;0.05,"Bán cao hơn","Đúng giá niêm yết")))</f>
        <v/>
      </c>
      <c r="N445" s="2" t="n"/>
      <c r="O445" s="3" t="n"/>
      <c r="P445" s="3" t="n"/>
    </row>
    <row r="446">
      <c r="A446" s="2" t="n">
        <v>445</v>
      </c>
      <c r="B446" s="2" t="inlineStr">
        <is>
          <t>KH002</t>
        </is>
      </c>
      <c r="C446" s="3" t="inlineStr">
        <is>
          <t>Nguyễn Hoàng Phú</t>
        </is>
      </c>
      <c r="D446" s="2" t="inlineStr">
        <is>
          <t>HCM</t>
        </is>
      </c>
      <c r="E446" s="2" t="inlineStr">
        <is>
          <t>BẢO TRÂM</t>
        </is>
      </c>
      <c r="F446" s="2" t="inlineStr">
        <is>
          <t>Shopee</t>
        </is>
      </c>
      <c r="G446" s="2" t="inlineStr">
        <is>
          <t>KBX1-10*200</t>
        </is>
      </c>
      <c r="H446" s="3" t="inlineStr">
        <is>
          <t>Mũi khoan gỗ chuôi lục KBX1-10*200</t>
        </is>
      </c>
      <c r="I446" s="4" t="n">
        <v>35500</v>
      </c>
      <c r="J446" s="4" t="n"/>
      <c r="K446" s="4">
        <f>IF(AND(ISNUMBER(J446),ISNUMBER(I446)),J446-I446,"")</f>
        <v/>
      </c>
      <c r="L446" s="5">
        <f>IF(AND(ISNUMBER(J446),ISNUMBER(I446),I446&gt;0),(J446-I446)/I446,"")</f>
        <v/>
      </c>
      <c r="M446" s="2">
        <f>IF(L446="","",IF(L446&lt;-0.05,"Bán phá giá",IF(L446&gt;0.05,"Bán cao hơn","Đúng giá niêm yết")))</f>
        <v/>
      </c>
      <c r="N446" s="2" t="n"/>
      <c r="O446" s="3" t="n"/>
      <c r="P446" s="3" t="n"/>
    </row>
    <row r="447">
      <c r="A447" s="2" t="n">
        <v>446</v>
      </c>
      <c r="B447" s="2" t="inlineStr">
        <is>
          <t>KH002</t>
        </is>
      </c>
      <c r="C447" s="3" t="inlineStr">
        <is>
          <t>Nguyễn Hoàng Phú</t>
        </is>
      </c>
      <c r="D447" s="2" t="inlineStr">
        <is>
          <t>HCM</t>
        </is>
      </c>
      <c r="E447" s="2" t="inlineStr">
        <is>
          <t>BẢO TRÂM</t>
        </is>
      </c>
      <c r="F447" s="2" t="inlineStr">
        <is>
          <t>Shopee</t>
        </is>
      </c>
      <c r="G447" s="2" t="inlineStr">
        <is>
          <t>KBX1-12*200</t>
        </is>
      </c>
      <c r="H447" s="3" t="inlineStr">
        <is>
          <t>Mũi khoan gỗ chuôi lục KBX1-12*200</t>
        </is>
      </c>
      <c r="I447" s="4" t="n">
        <v>48000</v>
      </c>
      <c r="J447" s="4" t="n"/>
      <c r="K447" s="4">
        <f>IF(AND(ISNUMBER(J447),ISNUMBER(I447)),J447-I447,"")</f>
        <v/>
      </c>
      <c r="L447" s="5">
        <f>IF(AND(ISNUMBER(J447),ISNUMBER(I447),I447&gt;0),(J447-I447)/I447,"")</f>
        <v/>
      </c>
      <c r="M447" s="2">
        <f>IF(L447="","",IF(L447&lt;-0.05,"Bán phá giá",IF(L447&gt;0.05,"Bán cao hơn","Đúng giá niêm yết")))</f>
        <v/>
      </c>
      <c r="N447" s="2" t="n"/>
      <c r="O447" s="3" t="n"/>
      <c r="P447" s="3" t="n"/>
    </row>
    <row r="448">
      <c r="A448" s="2" t="n">
        <v>447</v>
      </c>
      <c r="B448" s="2" t="inlineStr">
        <is>
          <t>KH002</t>
        </is>
      </c>
      <c r="C448" s="3" t="inlineStr">
        <is>
          <t>Nguyễn Hoàng Phú</t>
        </is>
      </c>
      <c r="D448" s="2" t="inlineStr">
        <is>
          <t>HCM</t>
        </is>
      </c>
      <c r="E448" s="2" t="inlineStr">
        <is>
          <t>BẢO TRÂM</t>
        </is>
      </c>
      <c r="F448" s="2" t="inlineStr">
        <is>
          <t>Shopee</t>
        </is>
      </c>
      <c r="G448" s="2" t="inlineStr">
        <is>
          <t>KBR-M10*1.5</t>
        </is>
      </c>
      <c r="H448" s="3" t="inlineStr">
        <is>
          <t>Mũi khoan TARO KBR-M10*1.5</t>
        </is>
      </c>
      <c r="I448" s="4" t="n">
        <v>81000</v>
      </c>
      <c r="J448" s="4" t="n"/>
      <c r="K448" s="4">
        <f>IF(AND(ISNUMBER(J448),ISNUMBER(I448)),J448-I448,"")</f>
        <v/>
      </c>
      <c r="L448" s="5">
        <f>IF(AND(ISNUMBER(J448),ISNUMBER(I448),I448&gt;0),(J448-I448)/I448,"")</f>
        <v/>
      </c>
      <c r="M448" s="2">
        <f>IF(L448="","",IF(L448&lt;-0.05,"Bán phá giá",IF(L448&gt;0.05,"Bán cao hơn","Đúng giá niêm yết")))</f>
        <v/>
      </c>
      <c r="N448" s="2" t="n"/>
      <c r="O448" s="3" t="n"/>
      <c r="P448" s="3" t="n"/>
    </row>
    <row r="449">
      <c r="A449" s="2" t="n">
        <v>448</v>
      </c>
      <c r="B449" s="2" t="inlineStr">
        <is>
          <t>KH002</t>
        </is>
      </c>
      <c r="C449" s="3" t="inlineStr">
        <is>
          <t>Nguyễn Hoàng Phú</t>
        </is>
      </c>
      <c r="D449" s="2" t="inlineStr">
        <is>
          <t>HCM</t>
        </is>
      </c>
      <c r="E449" s="2" t="inlineStr">
        <is>
          <t>BẢO TRÂM</t>
        </is>
      </c>
      <c r="F449" s="2" t="inlineStr">
        <is>
          <t>Shopee</t>
        </is>
      </c>
      <c r="G449" s="2" t="inlineStr">
        <is>
          <t>KBR-M3*0.5</t>
        </is>
      </c>
      <c r="H449" s="3" t="inlineStr">
        <is>
          <t>Mũi khoan TARO KBR-M3*0.5</t>
        </is>
      </c>
      <c r="I449" s="4" t="n">
        <v>75000</v>
      </c>
      <c r="J449" s="4" t="n"/>
      <c r="K449" s="4">
        <f>IF(AND(ISNUMBER(J449),ISNUMBER(I449)),J449-I449,"")</f>
        <v/>
      </c>
      <c r="L449" s="5">
        <f>IF(AND(ISNUMBER(J449),ISNUMBER(I449),I449&gt;0),(J449-I449)/I449,"")</f>
        <v/>
      </c>
      <c r="M449" s="2">
        <f>IF(L449="","",IF(L449&lt;-0.05,"Bán phá giá",IF(L449&gt;0.05,"Bán cao hơn","Đúng giá niêm yết")))</f>
        <v/>
      </c>
      <c r="N449" s="2" t="n"/>
      <c r="O449" s="3" t="n"/>
      <c r="P449" s="3" t="n"/>
    </row>
    <row r="450">
      <c r="A450" s="2" t="n">
        <v>449</v>
      </c>
      <c r="B450" s="2" t="inlineStr">
        <is>
          <t>KH002</t>
        </is>
      </c>
      <c r="C450" s="3" t="inlineStr">
        <is>
          <t>Nguyễn Hoàng Phú</t>
        </is>
      </c>
      <c r="D450" s="2" t="inlineStr">
        <is>
          <t>HCM</t>
        </is>
      </c>
      <c r="E450" s="2" t="inlineStr">
        <is>
          <t>BẢO TRÂM</t>
        </is>
      </c>
      <c r="F450" s="2" t="inlineStr">
        <is>
          <t>Shopee</t>
        </is>
      </c>
      <c r="G450" s="2" t="inlineStr">
        <is>
          <t>KBR-M4*0.7</t>
        </is>
      </c>
      <c r="H450" s="3" t="inlineStr">
        <is>
          <t>Mũi khoan TARO KBR-M4*0.7</t>
        </is>
      </c>
      <c r="I450" s="4" t="n">
        <v>65000</v>
      </c>
      <c r="J450" s="4" t="n"/>
      <c r="K450" s="4">
        <f>IF(AND(ISNUMBER(J450),ISNUMBER(I450)),J450-I450,"")</f>
        <v/>
      </c>
      <c r="L450" s="5">
        <f>IF(AND(ISNUMBER(J450),ISNUMBER(I450),I450&gt;0),(J450-I450)/I450,"")</f>
        <v/>
      </c>
      <c r="M450" s="2">
        <f>IF(L450="","",IF(L450&lt;-0.05,"Bán phá giá",IF(L450&gt;0.05,"Bán cao hơn","Đúng giá niêm yết")))</f>
        <v/>
      </c>
      <c r="N450" s="2" t="n"/>
      <c r="O450" s="3" t="n"/>
      <c r="P450" s="3" t="n"/>
    </row>
    <row r="451">
      <c r="A451" s="2" t="n">
        <v>450</v>
      </c>
      <c r="B451" s="2" t="inlineStr">
        <is>
          <t>KH002</t>
        </is>
      </c>
      <c r="C451" s="3" t="inlineStr">
        <is>
          <t>Nguyễn Hoàng Phú</t>
        </is>
      </c>
      <c r="D451" s="2" t="inlineStr">
        <is>
          <t>HCM</t>
        </is>
      </c>
      <c r="E451" s="2" t="inlineStr">
        <is>
          <t>BẢO TRÂM</t>
        </is>
      </c>
      <c r="F451" s="2" t="inlineStr">
        <is>
          <t>Shopee</t>
        </is>
      </c>
      <c r="G451" s="2" t="inlineStr">
        <is>
          <t>KBR-M5*0.8</t>
        </is>
      </c>
      <c r="H451" s="3" t="inlineStr">
        <is>
          <t>Mũi khoan TARO KBR-M5*0.8</t>
        </is>
      </c>
      <c r="I451" s="4" t="n">
        <v>75000</v>
      </c>
      <c r="J451" s="4" t="n"/>
      <c r="K451" s="4">
        <f>IF(AND(ISNUMBER(J451),ISNUMBER(I451)),J451-I451,"")</f>
        <v/>
      </c>
      <c r="L451" s="5">
        <f>IF(AND(ISNUMBER(J451),ISNUMBER(I451),I451&gt;0),(J451-I451)/I451,"")</f>
        <v/>
      </c>
      <c r="M451" s="2">
        <f>IF(L451="","",IF(L451&lt;-0.05,"Bán phá giá",IF(L451&gt;0.05,"Bán cao hơn","Đúng giá niêm yết")))</f>
        <v/>
      </c>
      <c r="N451" s="2" t="n"/>
      <c r="O451" s="3" t="n"/>
      <c r="P451" s="3" t="n"/>
    </row>
    <row r="452">
      <c r="A452" s="2" t="n">
        <v>451</v>
      </c>
      <c r="B452" s="2" t="inlineStr">
        <is>
          <t>KH002</t>
        </is>
      </c>
      <c r="C452" s="3" t="inlineStr">
        <is>
          <t>Nguyễn Hoàng Phú</t>
        </is>
      </c>
      <c r="D452" s="2" t="inlineStr">
        <is>
          <t>HCM</t>
        </is>
      </c>
      <c r="E452" s="2" t="inlineStr">
        <is>
          <t>BẢO TRÂM</t>
        </is>
      </c>
      <c r="F452" s="2" t="inlineStr">
        <is>
          <t>Shopee</t>
        </is>
      </c>
      <c r="G452" s="2" t="inlineStr">
        <is>
          <t>KBR-M6*1.0</t>
        </is>
      </c>
      <c r="H452" s="3" t="inlineStr">
        <is>
          <t>Mũi khoan TARO KBR-M6*1.0</t>
        </is>
      </c>
      <c r="I452" s="4" t="n">
        <v>75000</v>
      </c>
      <c r="J452" s="4" t="n"/>
      <c r="K452" s="4">
        <f>IF(AND(ISNUMBER(J452),ISNUMBER(I452)),J452-I452,"")</f>
        <v/>
      </c>
      <c r="L452" s="5">
        <f>IF(AND(ISNUMBER(J452),ISNUMBER(I452),I452&gt;0),(J452-I452)/I452,"")</f>
        <v/>
      </c>
      <c r="M452" s="2">
        <f>IF(L452="","",IF(L452&lt;-0.05,"Bán phá giá",IF(L452&gt;0.05,"Bán cao hơn","Đúng giá niêm yết")))</f>
        <v/>
      </c>
      <c r="N452" s="2" t="n"/>
      <c r="O452" s="3" t="n"/>
      <c r="P452" s="3" t="n"/>
    </row>
    <row r="453">
      <c r="A453" s="2" t="n">
        <v>452</v>
      </c>
      <c r="B453" s="2" t="inlineStr">
        <is>
          <t>KH002</t>
        </is>
      </c>
      <c r="C453" s="3" t="inlineStr">
        <is>
          <t>Nguyễn Hoàng Phú</t>
        </is>
      </c>
      <c r="D453" s="2" t="inlineStr">
        <is>
          <t>HCM</t>
        </is>
      </c>
      <c r="E453" s="2" t="inlineStr">
        <is>
          <t>BẢO TRÂM</t>
        </is>
      </c>
      <c r="F453" s="2" t="inlineStr">
        <is>
          <t>Shopee</t>
        </is>
      </c>
      <c r="G453" s="2" t="inlineStr">
        <is>
          <t>KBR-M8*1.25</t>
        </is>
      </c>
      <c r="H453" s="3" t="inlineStr">
        <is>
          <t>Mũi khoan TARO KBR-M8*1.25</t>
        </is>
      </c>
      <c r="I453" s="4" t="n">
        <v>95000</v>
      </c>
      <c r="J453" s="4" t="n"/>
      <c r="K453" s="4">
        <f>IF(AND(ISNUMBER(J453),ISNUMBER(I453)),J453-I453,"")</f>
        <v/>
      </c>
      <c r="L453" s="5">
        <f>IF(AND(ISNUMBER(J453),ISNUMBER(I453),I453&gt;0),(J453-I453)/I453,"")</f>
        <v/>
      </c>
      <c r="M453" s="2">
        <f>IF(L453="","",IF(L453&lt;-0.05,"Bán phá giá",IF(L453&gt;0.05,"Bán cao hơn","Đúng giá niêm yết")))</f>
        <v/>
      </c>
      <c r="N453" s="2" t="n"/>
      <c r="O453" s="3" t="n"/>
      <c r="P453" s="3" t="n"/>
    </row>
    <row r="454">
      <c r="A454" s="2" t="n">
        <v>453</v>
      </c>
      <c r="B454" s="2" t="inlineStr">
        <is>
          <t>KH002</t>
        </is>
      </c>
      <c r="C454" s="3" t="inlineStr">
        <is>
          <t>Nguyễn Hoàng Phú</t>
        </is>
      </c>
      <c r="D454" s="2" t="inlineStr">
        <is>
          <t>HCM</t>
        </is>
      </c>
      <c r="E454" s="2" t="inlineStr">
        <is>
          <t>BẢO TRÂM</t>
        </is>
      </c>
      <c r="F454" s="2" t="inlineStr">
        <is>
          <t>Shopee</t>
        </is>
      </c>
      <c r="G454" s="2" t="inlineStr"/>
      <c r="H454" s="3" t="inlineStr">
        <is>
          <t>Mũi khoan tường không tắc kê KBLJ - 03*100</t>
        </is>
      </c>
      <c r="I454" s="4" t="n">
        <v>70000</v>
      </c>
      <c r="J454" s="4" t="n"/>
      <c r="K454" s="4">
        <f>IF(AND(ISNUMBER(J454),ISNUMBER(I454)),J454-I454,"")</f>
        <v/>
      </c>
      <c r="L454" s="5">
        <f>IF(AND(ISNUMBER(J454),ISNUMBER(I454),I454&gt;0),(J454-I454)/I454,"")</f>
        <v/>
      </c>
      <c r="M454" s="2">
        <f>IF(L454="","",IF(L454&lt;-0.05,"Bán phá giá",IF(L454&gt;0.05,"Bán cao hơn","Đúng giá niêm yết")))</f>
        <v/>
      </c>
      <c r="N454" s="2" t="n"/>
      <c r="O454" s="3" t="n"/>
      <c r="P454" s="3" t="n"/>
    </row>
    <row r="455">
      <c r="A455" s="2" t="n">
        <v>454</v>
      </c>
      <c r="B455" s="2" t="inlineStr">
        <is>
          <t>KH002</t>
        </is>
      </c>
      <c r="C455" s="3" t="inlineStr">
        <is>
          <t>Nguyễn Hoàng Phú</t>
        </is>
      </c>
      <c r="D455" s="2" t="inlineStr">
        <is>
          <t>HCM</t>
        </is>
      </c>
      <c r="E455" s="2" t="inlineStr">
        <is>
          <t>BẢO TRÂM</t>
        </is>
      </c>
      <c r="F455" s="2" t="inlineStr">
        <is>
          <t>Shopee</t>
        </is>
      </c>
      <c r="G455" s="2" t="inlineStr"/>
      <c r="H455" s="3" t="inlineStr">
        <is>
          <t>Mũi khoan tường không tắc kê KBLJ - 03.2*100</t>
        </is>
      </c>
      <c r="I455" s="4" t="n">
        <v>70000</v>
      </c>
      <c r="J455" s="4" t="n"/>
      <c r="K455" s="4">
        <f>IF(AND(ISNUMBER(J455),ISNUMBER(I455)),J455-I455,"")</f>
        <v/>
      </c>
      <c r="L455" s="5">
        <f>IF(AND(ISNUMBER(J455),ISNUMBER(I455),I455&gt;0),(J455-I455)/I455,"")</f>
        <v/>
      </c>
      <c r="M455" s="2">
        <f>IF(L455="","",IF(L455&lt;-0.05,"Bán phá giá",IF(L455&gt;0.05,"Bán cao hơn","Đúng giá niêm yết")))</f>
        <v/>
      </c>
      <c r="N455" s="2" t="n"/>
      <c r="O455" s="3" t="n"/>
      <c r="P455" s="3" t="n"/>
    </row>
    <row r="456">
      <c r="A456" s="2" t="n">
        <v>455</v>
      </c>
      <c r="B456" s="2" t="inlineStr">
        <is>
          <t>KH002</t>
        </is>
      </c>
      <c r="C456" s="3" t="inlineStr">
        <is>
          <t>Nguyễn Hoàng Phú</t>
        </is>
      </c>
      <c r="D456" s="2" t="inlineStr">
        <is>
          <t>HCM</t>
        </is>
      </c>
      <c r="E456" s="2" t="inlineStr">
        <is>
          <t>BẢO TRÂM</t>
        </is>
      </c>
      <c r="F456" s="2" t="inlineStr">
        <is>
          <t>Shopee</t>
        </is>
      </c>
      <c r="G456" s="2" t="inlineStr"/>
      <c r="H456" s="3" t="inlineStr">
        <is>
          <t>Mũi khoan tường không tắc kê KBLJ - 03.5*100</t>
        </is>
      </c>
      <c r="I456" s="4" t="n">
        <v>35000</v>
      </c>
      <c r="J456" s="4" t="n"/>
      <c r="K456" s="4">
        <f>IF(AND(ISNUMBER(J456),ISNUMBER(I456)),J456-I456,"")</f>
        <v/>
      </c>
      <c r="L456" s="5">
        <f>IF(AND(ISNUMBER(J456),ISNUMBER(I456),I456&gt;0),(J456-I456)/I456,"")</f>
        <v/>
      </c>
      <c r="M456" s="2">
        <f>IF(L456="","",IF(L456&lt;-0.05,"Bán phá giá",IF(L456&gt;0.05,"Bán cao hơn","Đúng giá niêm yết")))</f>
        <v/>
      </c>
      <c r="N456" s="2" t="n"/>
      <c r="O456" s="3" t="n"/>
      <c r="P456" s="3" t="n"/>
    </row>
    <row r="457">
      <c r="A457" s="2" t="n">
        <v>456</v>
      </c>
      <c r="B457" s="2" t="inlineStr">
        <is>
          <t>KH002</t>
        </is>
      </c>
      <c r="C457" s="3" t="inlineStr">
        <is>
          <t>Nguyễn Hoàng Phú</t>
        </is>
      </c>
      <c r="D457" s="2" t="inlineStr">
        <is>
          <t>HCM</t>
        </is>
      </c>
      <c r="E457" s="2" t="inlineStr">
        <is>
          <t>BẢO TRÂM</t>
        </is>
      </c>
      <c r="F457" s="2" t="inlineStr">
        <is>
          <t>Shopee</t>
        </is>
      </c>
      <c r="G457" s="2" t="inlineStr"/>
      <c r="H457" s="3" t="inlineStr">
        <is>
          <t>Mũi khoan tường không tắc kê KBLJ - 04*100</t>
        </is>
      </c>
      <c r="I457" s="4" t="n">
        <v>35000</v>
      </c>
      <c r="J457" s="4" t="n"/>
      <c r="K457" s="4">
        <f>IF(AND(ISNUMBER(J457),ISNUMBER(I457)),J457-I457,"")</f>
        <v/>
      </c>
      <c r="L457" s="5">
        <f>IF(AND(ISNUMBER(J457),ISNUMBER(I457),I457&gt;0),(J457-I457)/I457,"")</f>
        <v/>
      </c>
      <c r="M457" s="2">
        <f>IF(L457="","",IF(L457&lt;-0.05,"Bán phá giá",IF(L457&gt;0.05,"Bán cao hơn","Đúng giá niêm yết")))</f>
        <v/>
      </c>
      <c r="N457" s="2" t="n"/>
      <c r="O457" s="3" t="n"/>
      <c r="P457" s="3" t="n"/>
    </row>
    <row r="458">
      <c r="A458" s="2" t="n">
        <v>457</v>
      </c>
      <c r="B458" s="2" t="inlineStr">
        <is>
          <t>KH002</t>
        </is>
      </c>
      <c r="C458" s="3" t="inlineStr">
        <is>
          <t>Nguyễn Hoàng Phú</t>
        </is>
      </c>
      <c r="D458" s="2" t="inlineStr">
        <is>
          <t>HCM</t>
        </is>
      </c>
      <c r="E458" s="2" t="inlineStr">
        <is>
          <t>BẢO TRÂM</t>
        </is>
      </c>
      <c r="F458" s="2" t="inlineStr">
        <is>
          <t>Shopee</t>
        </is>
      </c>
      <c r="G458" s="2" t="inlineStr"/>
      <c r="H458" s="3" t="inlineStr">
        <is>
          <t>Mũi khoan tường không tắc kê KBLJ - 04.2*100</t>
        </is>
      </c>
      <c r="I458" s="4" t="n">
        <v>35000</v>
      </c>
      <c r="J458" s="4" t="n"/>
      <c r="K458" s="4">
        <f>IF(AND(ISNUMBER(J458),ISNUMBER(I458)),J458-I458,"")</f>
        <v/>
      </c>
      <c r="L458" s="5">
        <f>IF(AND(ISNUMBER(J458),ISNUMBER(I458),I458&gt;0),(J458-I458)/I458,"")</f>
        <v/>
      </c>
      <c r="M458" s="2">
        <f>IF(L458="","",IF(L458&lt;-0.05,"Bán phá giá",IF(L458&gt;0.05,"Bán cao hơn","Đúng giá niêm yết")))</f>
        <v/>
      </c>
      <c r="N458" s="2" t="n"/>
      <c r="O458" s="3" t="n"/>
      <c r="P458" s="3" t="n"/>
    </row>
    <row r="459">
      <c r="A459" s="2" t="n">
        <v>458</v>
      </c>
      <c r="B459" s="2" t="inlineStr">
        <is>
          <t>KH002</t>
        </is>
      </c>
      <c r="C459" s="3" t="inlineStr">
        <is>
          <t>Nguyễn Hoàng Phú</t>
        </is>
      </c>
      <c r="D459" s="2" t="inlineStr">
        <is>
          <t>HCM</t>
        </is>
      </c>
      <c r="E459" s="2" t="inlineStr">
        <is>
          <t>BẢO TRÂM</t>
        </is>
      </c>
      <c r="F459" s="2" t="inlineStr">
        <is>
          <t>Shopee</t>
        </is>
      </c>
      <c r="G459" s="2" t="inlineStr"/>
      <c r="H459" s="3" t="inlineStr">
        <is>
          <t>Mũi khoan tường không tắc kê KBLJ - 04.5*100</t>
        </is>
      </c>
      <c r="I459" s="4" t="n">
        <v>35000</v>
      </c>
      <c r="J459" s="4" t="n"/>
      <c r="K459" s="4">
        <f>IF(AND(ISNUMBER(J459),ISNUMBER(I459)),J459-I459,"")</f>
        <v/>
      </c>
      <c r="L459" s="5">
        <f>IF(AND(ISNUMBER(J459),ISNUMBER(I459),I459&gt;0),(J459-I459)/I459,"")</f>
        <v/>
      </c>
      <c r="M459" s="2">
        <f>IF(L459="","",IF(L459&lt;-0.05,"Bán phá giá",IF(L459&gt;0.05,"Bán cao hơn","Đúng giá niêm yết")))</f>
        <v/>
      </c>
      <c r="N459" s="2" t="n"/>
      <c r="O459" s="3" t="n"/>
      <c r="P459" s="3" t="n"/>
    </row>
    <row r="460">
      <c r="A460" s="2" t="n">
        <v>459</v>
      </c>
      <c r="B460" s="2" t="inlineStr">
        <is>
          <t>KH002</t>
        </is>
      </c>
      <c r="C460" s="3" t="inlineStr">
        <is>
          <t>Nguyễn Hoàng Phú</t>
        </is>
      </c>
      <c r="D460" s="2" t="inlineStr">
        <is>
          <t>HCM</t>
        </is>
      </c>
      <c r="E460" s="2" t="inlineStr">
        <is>
          <t>BẢO TRÂM</t>
        </is>
      </c>
      <c r="F460" s="2" t="inlineStr">
        <is>
          <t>Shopee</t>
        </is>
      </c>
      <c r="G460" s="2" t="inlineStr"/>
      <c r="H460" s="3" t="inlineStr">
        <is>
          <t>Mũi khoan tường không tắc kê KBLJ - 05*100</t>
        </is>
      </c>
      <c r="I460" s="4" t="n">
        <v>35000</v>
      </c>
      <c r="J460" s="4" t="n"/>
      <c r="K460" s="4">
        <f>IF(AND(ISNUMBER(J460),ISNUMBER(I460)),J460-I460,"")</f>
        <v/>
      </c>
      <c r="L460" s="5">
        <f>IF(AND(ISNUMBER(J460),ISNUMBER(I460),I460&gt;0),(J460-I460)/I460,"")</f>
        <v/>
      </c>
      <c r="M460" s="2">
        <f>IF(L460="","",IF(L460&lt;-0.05,"Bán phá giá",IF(L460&gt;0.05,"Bán cao hơn","Đúng giá niêm yết")))</f>
        <v/>
      </c>
      <c r="N460" s="2" t="n"/>
      <c r="O460" s="3" t="n"/>
      <c r="P460" s="3" t="n"/>
    </row>
    <row r="461">
      <c r="A461" s="2" t="n">
        <v>460</v>
      </c>
      <c r="B461" s="2" t="inlineStr">
        <is>
          <t>KH002</t>
        </is>
      </c>
      <c r="C461" s="3" t="inlineStr">
        <is>
          <t>Nguyễn Hoàng Phú</t>
        </is>
      </c>
      <c r="D461" s="2" t="inlineStr">
        <is>
          <t>HCM</t>
        </is>
      </c>
      <c r="E461" s="2" t="inlineStr">
        <is>
          <t>BẢO TRÂM</t>
        </is>
      </c>
      <c r="F461" s="2" t="inlineStr">
        <is>
          <t>Shopee</t>
        </is>
      </c>
      <c r="G461" s="2" t="inlineStr"/>
      <c r="H461" s="3" t="inlineStr">
        <is>
          <t>Mũi khoan tường không tắc kê KBLJ - 05.5*100</t>
        </is>
      </c>
      <c r="I461" s="4" t="n">
        <v>35000</v>
      </c>
      <c r="J461" s="4" t="n"/>
      <c r="K461" s="4">
        <f>IF(AND(ISNUMBER(J461),ISNUMBER(I461)),J461-I461,"")</f>
        <v/>
      </c>
      <c r="L461" s="5">
        <f>IF(AND(ISNUMBER(J461),ISNUMBER(I461),I461&gt;0),(J461-I461)/I461,"")</f>
        <v/>
      </c>
      <c r="M461" s="2">
        <f>IF(L461="","",IF(L461&lt;-0.05,"Bán phá giá",IF(L461&gt;0.05,"Bán cao hơn","Đúng giá niêm yết")))</f>
        <v/>
      </c>
      <c r="N461" s="2" t="n"/>
      <c r="O461" s="3" t="n"/>
      <c r="P461" s="3" t="n"/>
    </row>
    <row r="462">
      <c r="A462" s="2" t="n">
        <v>461</v>
      </c>
      <c r="B462" s="2" t="inlineStr">
        <is>
          <t>KH002</t>
        </is>
      </c>
      <c r="C462" s="3" t="inlineStr">
        <is>
          <t>Nguyễn Hoàng Phú</t>
        </is>
      </c>
      <c r="D462" s="2" t="inlineStr">
        <is>
          <t>HCM</t>
        </is>
      </c>
      <c r="E462" s="2" t="inlineStr">
        <is>
          <t>BẢO TRÂM</t>
        </is>
      </c>
      <c r="F462" s="2" t="inlineStr">
        <is>
          <t>Shopee</t>
        </is>
      </c>
      <c r="G462" s="2" t="inlineStr"/>
      <c r="H462" s="3" t="inlineStr">
        <is>
          <t>Mũi khoan tường không tắc kê KBLJ - 06*125</t>
        </is>
      </c>
      <c r="I462" s="4" t="n">
        <v>43000</v>
      </c>
      <c r="J462" s="4" t="n"/>
      <c r="K462" s="4">
        <f>IF(AND(ISNUMBER(J462),ISNUMBER(I462)),J462-I462,"")</f>
        <v/>
      </c>
      <c r="L462" s="5">
        <f>IF(AND(ISNUMBER(J462),ISNUMBER(I462),I462&gt;0),(J462-I462)/I462,"")</f>
        <v/>
      </c>
      <c r="M462" s="2">
        <f>IF(L462="","",IF(L462&lt;-0.05,"Bán phá giá",IF(L462&gt;0.05,"Bán cao hơn","Đúng giá niêm yết")))</f>
        <v/>
      </c>
      <c r="N462" s="2" t="n"/>
      <c r="O462" s="3" t="n"/>
      <c r="P462" s="3" t="n"/>
    </row>
    <row r="463">
      <c r="A463" s="2" t="n">
        <v>462</v>
      </c>
      <c r="B463" s="2" t="inlineStr">
        <is>
          <t>KH002</t>
        </is>
      </c>
      <c r="C463" s="3" t="inlineStr">
        <is>
          <t>Nguyễn Hoàng Phú</t>
        </is>
      </c>
      <c r="D463" s="2" t="inlineStr">
        <is>
          <t>HCM</t>
        </is>
      </c>
      <c r="E463" s="2" t="inlineStr">
        <is>
          <t>BẢO TRÂM</t>
        </is>
      </c>
      <c r="F463" s="2" t="inlineStr">
        <is>
          <t>Shopee</t>
        </is>
      </c>
      <c r="G463" s="2" t="inlineStr"/>
      <c r="H463" s="3" t="inlineStr">
        <is>
          <t>Mũi khoan tường không tắc kê KBLJ - 06.5*125</t>
        </is>
      </c>
      <c r="I463" s="4" t="n">
        <v>46000</v>
      </c>
      <c r="J463" s="4" t="n"/>
      <c r="K463" s="4">
        <f>IF(AND(ISNUMBER(J463),ISNUMBER(I463)),J463-I463,"")</f>
        <v/>
      </c>
      <c r="L463" s="5">
        <f>IF(AND(ISNUMBER(J463),ISNUMBER(I463),I463&gt;0),(J463-I463)/I463,"")</f>
        <v/>
      </c>
      <c r="M463" s="2">
        <f>IF(L463="","",IF(L463&lt;-0.05,"Bán phá giá",IF(L463&gt;0.05,"Bán cao hơn","Đúng giá niêm yết")))</f>
        <v/>
      </c>
      <c r="N463" s="2" t="n"/>
      <c r="O463" s="3" t="n"/>
      <c r="P463" s="3" t="n"/>
    </row>
    <row r="464">
      <c r="A464" s="2" t="n">
        <v>463</v>
      </c>
      <c r="B464" s="2" t="inlineStr">
        <is>
          <t>KH002</t>
        </is>
      </c>
      <c r="C464" s="3" t="inlineStr">
        <is>
          <t>Nguyễn Hoàng Phú</t>
        </is>
      </c>
      <c r="D464" s="2" t="inlineStr">
        <is>
          <t>HCM</t>
        </is>
      </c>
      <c r="E464" s="2" t="inlineStr">
        <is>
          <t>BẢO TRÂM</t>
        </is>
      </c>
      <c r="F464" s="2" t="inlineStr">
        <is>
          <t>Shopee</t>
        </is>
      </c>
      <c r="G464" s="2" t="inlineStr"/>
      <c r="H464" s="3" t="inlineStr">
        <is>
          <t>Mũi khoan tường không tắc kê KBLJ - 07*125</t>
        </is>
      </c>
      <c r="I464" s="4" t="n">
        <v>52000</v>
      </c>
      <c r="J464" s="4" t="n"/>
      <c r="K464" s="4">
        <f>IF(AND(ISNUMBER(J464),ISNUMBER(I464)),J464-I464,"")</f>
        <v/>
      </c>
      <c r="L464" s="5">
        <f>IF(AND(ISNUMBER(J464),ISNUMBER(I464),I464&gt;0),(J464-I464)/I464,"")</f>
        <v/>
      </c>
      <c r="M464" s="2">
        <f>IF(L464="","",IF(L464&lt;-0.05,"Bán phá giá",IF(L464&gt;0.05,"Bán cao hơn","Đúng giá niêm yết")))</f>
        <v/>
      </c>
      <c r="N464" s="2" t="n"/>
      <c r="O464" s="3" t="n"/>
      <c r="P464" s="3" t="n"/>
    </row>
    <row r="465">
      <c r="A465" s="2" t="n">
        <v>464</v>
      </c>
      <c r="B465" s="2" t="inlineStr">
        <is>
          <t>KH002</t>
        </is>
      </c>
      <c r="C465" s="3" t="inlineStr">
        <is>
          <t>Nguyễn Hoàng Phú</t>
        </is>
      </c>
      <c r="D465" s="2" t="inlineStr">
        <is>
          <t>HCM</t>
        </is>
      </c>
      <c r="E465" s="2" t="inlineStr">
        <is>
          <t>BẢO TRÂM</t>
        </is>
      </c>
      <c r="F465" s="2" t="inlineStr">
        <is>
          <t>Shopee</t>
        </is>
      </c>
      <c r="G465" s="2" t="inlineStr"/>
      <c r="H465" s="3" t="inlineStr">
        <is>
          <t>Mũi khoan tường không tắc kê KBLJ - 08*125</t>
        </is>
      </c>
      <c r="I465" s="4" t="n">
        <v>53000</v>
      </c>
      <c r="J465" s="4" t="n"/>
      <c r="K465" s="4">
        <f>IF(AND(ISNUMBER(J465),ISNUMBER(I465)),J465-I465,"")</f>
        <v/>
      </c>
      <c r="L465" s="5">
        <f>IF(AND(ISNUMBER(J465),ISNUMBER(I465),I465&gt;0),(J465-I465)/I465,"")</f>
        <v/>
      </c>
      <c r="M465" s="2">
        <f>IF(L465="","",IF(L465&lt;-0.05,"Bán phá giá",IF(L465&gt;0.05,"Bán cao hơn","Đúng giá niêm yết")))</f>
        <v/>
      </c>
      <c r="N465" s="2" t="n"/>
      <c r="O465" s="3" t="n"/>
      <c r="P465" s="3" t="n"/>
    </row>
    <row r="466">
      <c r="A466" s="2" t="n">
        <v>465</v>
      </c>
      <c r="B466" s="2" t="inlineStr">
        <is>
          <t>KH002</t>
        </is>
      </c>
      <c r="C466" s="3" t="inlineStr">
        <is>
          <t>Nguyễn Hoàng Phú</t>
        </is>
      </c>
      <c r="D466" s="2" t="inlineStr">
        <is>
          <t>HCM</t>
        </is>
      </c>
      <c r="E466" s="2" t="inlineStr">
        <is>
          <t>BẢO TRÂM</t>
        </is>
      </c>
      <c r="F466" s="2" t="inlineStr">
        <is>
          <t>Shopee</t>
        </is>
      </c>
      <c r="G466" s="2" t="inlineStr"/>
      <c r="H466" s="3" t="inlineStr">
        <is>
          <t>Mũi khoan tường không tắc kê KBLJ - 10*148</t>
        </is>
      </c>
      <c r="I466" s="4" t="n">
        <v>63000</v>
      </c>
      <c r="J466" s="4" t="n"/>
      <c r="K466" s="4">
        <f>IF(AND(ISNUMBER(J466),ISNUMBER(I466)),J466-I466,"")</f>
        <v/>
      </c>
      <c r="L466" s="5">
        <f>IF(AND(ISNUMBER(J466),ISNUMBER(I466),I466&gt;0),(J466-I466)/I466,"")</f>
        <v/>
      </c>
      <c r="M466" s="2">
        <f>IF(L466="","",IF(L466&lt;-0.05,"Bán phá giá",IF(L466&gt;0.05,"Bán cao hơn","Đúng giá niêm yết")))</f>
        <v/>
      </c>
      <c r="N466" s="2" t="n"/>
      <c r="O466" s="3" t="n"/>
      <c r="P466" s="3" t="n"/>
    </row>
    <row r="467">
      <c r="A467" s="2" t="n">
        <v>466</v>
      </c>
      <c r="B467" s="2" t="inlineStr">
        <is>
          <t>KH002</t>
        </is>
      </c>
      <c r="C467" s="3" t="inlineStr">
        <is>
          <t>Nguyễn Hoàng Phú</t>
        </is>
      </c>
      <c r="D467" s="2" t="inlineStr">
        <is>
          <t>HCM</t>
        </is>
      </c>
      <c r="E467" s="2" t="inlineStr">
        <is>
          <t>BẢO TRÂM</t>
        </is>
      </c>
      <c r="F467" s="2" t="inlineStr">
        <is>
          <t>Shopee</t>
        </is>
      </c>
      <c r="G467" s="2" t="inlineStr">
        <is>
          <t>KBT-04*12</t>
        </is>
      </c>
      <c r="H467" s="3" t="inlineStr">
        <is>
          <t>Mũi khoan tháp M2 KBT-04*12</t>
        </is>
      </c>
      <c r="I467" s="4" t="n">
        <v>106000</v>
      </c>
      <c r="J467" s="4" t="n"/>
      <c r="K467" s="4">
        <f>IF(AND(ISNUMBER(J467),ISNUMBER(I467)),J467-I467,"")</f>
        <v/>
      </c>
      <c r="L467" s="5">
        <f>IF(AND(ISNUMBER(J467),ISNUMBER(I467),I467&gt;0),(J467-I467)/I467,"")</f>
        <v/>
      </c>
      <c r="M467" s="2">
        <f>IF(L467="","",IF(L467&lt;-0.05,"Bán phá giá",IF(L467&gt;0.05,"Bán cao hơn","Đúng giá niêm yết")))</f>
        <v/>
      </c>
      <c r="N467" s="2" t="n"/>
      <c r="O467" s="3" t="n"/>
      <c r="P467" s="3" t="n"/>
    </row>
    <row r="468">
      <c r="A468" s="2" t="n">
        <v>467</v>
      </c>
      <c r="B468" s="2" t="inlineStr">
        <is>
          <t>KH002</t>
        </is>
      </c>
      <c r="C468" s="3" t="inlineStr">
        <is>
          <t>Nguyễn Hoàng Phú</t>
        </is>
      </c>
      <c r="D468" s="2" t="inlineStr">
        <is>
          <t>HCM</t>
        </is>
      </c>
      <c r="E468" s="2" t="inlineStr">
        <is>
          <t>BẢO TRÂM</t>
        </is>
      </c>
      <c r="F468" s="2" t="inlineStr">
        <is>
          <t>Shopee</t>
        </is>
      </c>
      <c r="G468" s="2" t="inlineStr">
        <is>
          <t>KBT-04*20</t>
        </is>
      </c>
      <c r="H468" s="3" t="inlineStr">
        <is>
          <t>Mũi khoan tháp M2 KBT-04*20</t>
        </is>
      </c>
      <c r="I468" s="4" t="n">
        <v>202000</v>
      </c>
      <c r="J468" s="4" t="n"/>
      <c r="K468" s="4">
        <f>IF(AND(ISNUMBER(J468),ISNUMBER(I468)),J468-I468,"")</f>
        <v/>
      </c>
      <c r="L468" s="5">
        <f>IF(AND(ISNUMBER(J468),ISNUMBER(I468),I468&gt;0),(J468-I468)/I468,"")</f>
        <v/>
      </c>
      <c r="M468" s="2">
        <f>IF(L468="","",IF(L468&lt;-0.05,"Bán phá giá",IF(L468&gt;0.05,"Bán cao hơn","Đúng giá niêm yết")))</f>
        <v/>
      </c>
      <c r="N468" s="2" t="n"/>
      <c r="O468" s="3" t="n"/>
      <c r="P468" s="3" t="n"/>
    </row>
    <row r="469">
      <c r="A469" s="2" t="n">
        <v>468</v>
      </c>
      <c r="B469" s="2" t="inlineStr">
        <is>
          <t>KH002</t>
        </is>
      </c>
      <c r="C469" s="3" t="inlineStr">
        <is>
          <t>Nguyễn Hoàng Phú</t>
        </is>
      </c>
      <c r="D469" s="2" t="inlineStr">
        <is>
          <t>HCM</t>
        </is>
      </c>
      <c r="E469" s="2" t="inlineStr">
        <is>
          <t>BẢO TRÂM</t>
        </is>
      </c>
      <c r="F469" s="2" t="inlineStr">
        <is>
          <t>Shopee</t>
        </is>
      </c>
      <c r="G469" s="2" t="inlineStr">
        <is>
          <t>KBT-04*32</t>
        </is>
      </c>
      <c r="H469" s="3" t="inlineStr">
        <is>
          <t>Mũi khoan tháp M2 KBT-04*32</t>
        </is>
      </c>
      <c r="I469" s="4" t="n">
        <v>379000</v>
      </c>
      <c r="J469" s="4" t="n"/>
      <c r="K469" s="4">
        <f>IF(AND(ISNUMBER(J469),ISNUMBER(I469)),J469-I469,"")</f>
        <v/>
      </c>
      <c r="L469" s="5">
        <f>IF(AND(ISNUMBER(J469),ISNUMBER(I469),I469&gt;0),(J469-I469)/I469,"")</f>
        <v/>
      </c>
      <c r="M469" s="2">
        <f>IF(L469="","",IF(L469&lt;-0.05,"Bán phá giá",IF(L469&gt;0.05,"Bán cao hơn","Đúng giá niêm yết")))</f>
        <v/>
      </c>
      <c r="N469" s="2" t="n"/>
      <c r="O469" s="3" t="n"/>
      <c r="P469" s="3" t="n"/>
    </row>
    <row r="470">
      <c r="A470" s="2" t="n">
        <v>469</v>
      </c>
      <c r="B470" s="2" t="inlineStr">
        <is>
          <t>KH002</t>
        </is>
      </c>
      <c r="C470" s="3" t="inlineStr">
        <is>
          <t>Nguyễn Hoàng Phú</t>
        </is>
      </c>
      <c r="D470" s="2" t="inlineStr">
        <is>
          <t>HCM</t>
        </is>
      </c>
      <c r="E470" s="2" t="inlineStr">
        <is>
          <t>BẢO TRÂM</t>
        </is>
      </c>
      <c r="F470" s="2" t="inlineStr">
        <is>
          <t>Shopee</t>
        </is>
      </c>
      <c r="G470" s="2" t="inlineStr">
        <is>
          <t>KBY1-020</t>
        </is>
      </c>
      <c r="H470" s="3" t="inlineStr">
        <is>
          <t>Mũi khoan thép KBY1-020</t>
        </is>
      </c>
      <c r="I470" s="4" t="n">
        <v>5200</v>
      </c>
      <c r="J470" s="4" t="n"/>
      <c r="K470" s="4">
        <f>IF(AND(ISNUMBER(J470),ISNUMBER(I470)),J470-I470,"")</f>
        <v/>
      </c>
      <c r="L470" s="5">
        <f>IF(AND(ISNUMBER(J470),ISNUMBER(I470),I470&gt;0),(J470-I470)/I470,"")</f>
        <v/>
      </c>
      <c r="M470" s="2">
        <f>IF(L470="","",IF(L470&lt;-0.05,"Bán phá giá",IF(L470&gt;0.05,"Bán cao hơn","Đúng giá niêm yết")))</f>
        <v/>
      </c>
      <c r="N470" s="2" t="n"/>
      <c r="O470" s="3" t="n"/>
      <c r="P470" s="3" t="n"/>
    </row>
    <row r="471">
      <c r="A471" s="2" t="n">
        <v>470</v>
      </c>
      <c r="B471" s="2" t="inlineStr">
        <is>
          <t>KH002</t>
        </is>
      </c>
      <c r="C471" s="3" t="inlineStr">
        <is>
          <t>Nguyễn Hoàng Phú</t>
        </is>
      </c>
      <c r="D471" s="2" t="inlineStr">
        <is>
          <t>HCM</t>
        </is>
      </c>
      <c r="E471" s="2" t="inlineStr">
        <is>
          <t>BẢO TRÂM</t>
        </is>
      </c>
      <c r="F471" s="2" t="inlineStr">
        <is>
          <t>Shopee</t>
        </is>
      </c>
      <c r="G471" s="2" t="inlineStr">
        <is>
          <t>KBY1-030</t>
        </is>
      </c>
      <c r="H471" s="3" t="inlineStr">
        <is>
          <t>Mũi khoan thép KBY1-030</t>
        </is>
      </c>
      <c r="I471" s="4" t="n">
        <v>6900</v>
      </c>
      <c r="J471" s="4" t="n"/>
      <c r="K471" s="4">
        <f>IF(AND(ISNUMBER(J471),ISNUMBER(I471)),J471-I471,"")</f>
        <v/>
      </c>
      <c r="L471" s="5">
        <f>IF(AND(ISNUMBER(J471),ISNUMBER(I471),I471&gt;0),(J471-I471)/I471,"")</f>
        <v/>
      </c>
      <c r="M471" s="2">
        <f>IF(L471="","",IF(L471&lt;-0.05,"Bán phá giá",IF(L471&gt;0.05,"Bán cao hơn","Đúng giá niêm yết")))</f>
        <v/>
      </c>
      <c r="N471" s="2" t="n"/>
      <c r="O471" s="3" t="n"/>
      <c r="P471" s="3" t="n"/>
    </row>
    <row r="472">
      <c r="A472" s="2" t="n">
        <v>471</v>
      </c>
      <c r="B472" s="2" t="inlineStr">
        <is>
          <t>KH002</t>
        </is>
      </c>
      <c r="C472" s="3" t="inlineStr">
        <is>
          <t>Nguyễn Hoàng Phú</t>
        </is>
      </c>
      <c r="D472" s="2" t="inlineStr">
        <is>
          <t>HCM</t>
        </is>
      </c>
      <c r="E472" s="2" t="inlineStr">
        <is>
          <t>BẢO TRÂM</t>
        </is>
      </c>
      <c r="F472" s="2" t="inlineStr">
        <is>
          <t>Shopee</t>
        </is>
      </c>
      <c r="G472" s="2" t="inlineStr">
        <is>
          <t>KBY1-050</t>
        </is>
      </c>
      <c r="H472" s="3" t="inlineStr">
        <is>
          <t>Mũi khoan thép KBY1-050</t>
        </is>
      </c>
      <c r="I472" s="4" t="n">
        <v>15000</v>
      </c>
      <c r="J472" s="4" t="n"/>
      <c r="K472" s="4">
        <f>IF(AND(ISNUMBER(J472),ISNUMBER(I472)),J472-I472,"")</f>
        <v/>
      </c>
      <c r="L472" s="5">
        <f>IF(AND(ISNUMBER(J472),ISNUMBER(I472),I472&gt;0),(J472-I472)/I472,"")</f>
        <v/>
      </c>
      <c r="M472" s="2">
        <f>IF(L472="","",IF(L472&lt;-0.05,"Bán phá giá",IF(L472&gt;0.05,"Bán cao hơn","Đúng giá niêm yết")))</f>
        <v/>
      </c>
      <c r="N472" s="2" t="n"/>
      <c r="O472" s="3" t="n"/>
      <c r="P472" s="3" t="n"/>
    </row>
    <row r="473">
      <c r="A473" s="2" t="n">
        <v>472</v>
      </c>
      <c r="B473" s="2" t="inlineStr">
        <is>
          <t>KH002</t>
        </is>
      </c>
      <c r="C473" s="3" t="inlineStr">
        <is>
          <t>Nguyễn Hoàng Phú</t>
        </is>
      </c>
      <c r="D473" s="2" t="inlineStr">
        <is>
          <t>HCM</t>
        </is>
      </c>
      <c r="E473" s="2" t="inlineStr">
        <is>
          <t>BẢO TRÂM</t>
        </is>
      </c>
      <c r="F473" s="2" t="inlineStr">
        <is>
          <t>Shopee</t>
        </is>
      </c>
      <c r="G473" s="2" t="inlineStr">
        <is>
          <t>KBY1-060</t>
        </is>
      </c>
      <c r="H473" s="3" t="inlineStr">
        <is>
          <t>Mũi khoan thép KBY1-060</t>
        </is>
      </c>
      <c r="I473" s="4" t="n">
        <v>22500</v>
      </c>
      <c r="J473" s="4" t="n"/>
      <c r="K473" s="4">
        <f>IF(AND(ISNUMBER(J473),ISNUMBER(I473)),J473-I473,"")</f>
        <v/>
      </c>
      <c r="L473" s="5">
        <f>IF(AND(ISNUMBER(J473),ISNUMBER(I473),I473&gt;0),(J473-I473)/I473,"")</f>
        <v/>
      </c>
      <c r="M473" s="2">
        <f>IF(L473="","",IF(L473&lt;-0.05,"Bán phá giá",IF(L473&gt;0.05,"Bán cao hơn","Đúng giá niêm yết")))</f>
        <v/>
      </c>
      <c r="N473" s="2" t="n"/>
      <c r="O473" s="3" t="n"/>
      <c r="P473" s="3" t="n"/>
    </row>
    <row r="474">
      <c r="A474" s="2" t="n">
        <v>473</v>
      </c>
      <c r="B474" s="2" t="inlineStr">
        <is>
          <t>KH002</t>
        </is>
      </c>
      <c r="C474" s="3" t="inlineStr">
        <is>
          <t>Nguyễn Hoàng Phú</t>
        </is>
      </c>
      <c r="D474" s="2" t="inlineStr">
        <is>
          <t>HCM</t>
        </is>
      </c>
      <c r="E474" s="2" t="inlineStr">
        <is>
          <t>BẢO TRÂM</t>
        </is>
      </c>
      <c r="F474" s="2" t="inlineStr">
        <is>
          <t>Shopee</t>
        </is>
      </c>
      <c r="G474" s="2" t="inlineStr">
        <is>
          <t>KBY1-070</t>
        </is>
      </c>
      <c r="H474" s="3" t="inlineStr">
        <is>
          <t>Mũi khoan thép KBY1-070</t>
        </is>
      </c>
      <c r="I474" s="4" t="n">
        <v>28500</v>
      </c>
      <c r="J474" s="4" t="n"/>
      <c r="K474" s="4">
        <f>IF(AND(ISNUMBER(J474),ISNUMBER(I474)),J474-I474,"")</f>
        <v/>
      </c>
      <c r="L474" s="5">
        <f>IF(AND(ISNUMBER(J474),ISNUMBER(I474),I474&gt;0),(J474-I474)/I474,"")</f>
        <v/>
      </c>
      <c r="M474" s="2">
        <f>IF(L474="","",IF(L474&lt;-0.05,"Bán phá giá",IF(L474&gt;0.05,"Bán cao hơn","Đúng giá niêm yết")))</f>
        <v/>
      </c>
      <c r="N474" s="2" t="n"/>
      <c r="O474" s="3" t="n"/>
      <c r="P474" s="3" t="n"/>
    </row>
    <row r="475">
      <c r="A475" s="2" t="n">
        <v>474</v>
      </c>
      <c r="B475" s="2" t="inlineStr">
        <is>
          <t>KH002</t>
        </is>
      </c>
      <c r="C475" s="3" t="inlineStr">
        <is>
          <t>Nguyễn Hoàng Phú</t>
        </is>
      </c>
      <c r="D475" s="2" t="inlineStr">
        <is>
          <t>HCM</t>
        </is>
      </c>
      <c r="E475" s="2" t="inlineStr">
        <is>
          <t>BẢO TRÂM</t>
        </is>
      </c>
      <c r="F475" s="2" t="inlineStr">
        <is>
          <t>Shopee</t>
        </is>
      </c>
      <c r="G475" s="2" t="inlineStr">
        <is>
          <t>KBY1-080</t>
        </is>
      </c>
      <c r="H475" s="3" t="inlineStr">
        <is>
          <t>Mũi khoan thép KBY1-080</t>
        </is>
      </c>
      <c r="I475" s="4" t="n">
        <v>59000</v>
      </c>
      <c r="J475" s="4" t="n"/>
      <c r="K475" s="4">
        <f>IF(AND(ISNUMBER(J475),ISNUMBER(I475)),J475-I475,"")</f>
        <v/>
      </c>
      <c r="L475" s="5">
        <f>IF(AND(ISNUMBER(J475),ISNUMBER(I475),I475&gt;0),(J475-I475)/I475,"")</f>
        <v/>
      </c>
      <c r="M475" s="2">
        <f>IF(L475="","",IF(L475&lt;-0.05,"Bán phá giá",IF(L475&gt;0.05,"Bán cao hơn","Đúng giá niêm yết")))</f>
        <v/>
      </c>
      <c r="N475" s="2" t="n"/>
      <c r="O475" s="3" t="n"/>
      <c r="P475" s="3" t="n"/>
    </row>
    <row r="476">
      <c r="A476" s="2" t="n">
        <v>475</v>
      </c>
      <c r="B476" s="2" t="inlineStr">
        <is>
          <t>KH002</t>
        </is>
      </c>
      <c r="C476" s="3" t="inlineStr">
        <is>
          <t>Nguyễn Hoàng Phú</t>
        </is>
      </c>
      <c r="D476" s="2" t="inlineStr">
        <is>
          <t>HCM</t>
        </is>
      </c>
      <c r="E476" s="2" t="inlineStr">
        <is>
          <t>BẢO TRÂM</t>
        </is>
      </c>
      <c r="F476" s="2" t="inlineStr">
        <is>
          <t>Shopee</t>
        </is>
      </c>
      <c r="G476" s="2" t="inlineStr">
        <is>
          <t>KBY1-090</t>
        </is>
      </c>
      <c r="H476" s="3" t="inlineStr">
        <is>
          <t>Mũi khoan thép KBY1-090</t>
        </is>
      </c>
      <c r="I476" s="4" t="n">
        <v>51000</v>
      </c>
      <c r="J476" s="4" t="n"/>
      <c r="K476" s="4">
        <f>IF(AND(ISNUMBER(J476),ISNUMBER(I476)),J476-I476,"")</f>
        <v/>
      </c>
      <c r="L476" s="5">
        <f>IF(AND(ISNUMBER(J476),ISNUMBER(I476),I476&gt;0),(J476-I476)/I476,"")</f>
        <v/>
      </c>
      <c r="M476" s="2">
        <f>IF(L476="","",IF(L476&lt;-0.05,"Bán phá giá",IF(L476&gt;0.05,"Bán cao hơn","Đúng giá niêm yết")))</f>
        <v/>
      </c>
      <c r="N476" s="2" t="n"/>
      <c r="O476" s="3" t="n"/>
      <c r="P476" s="3" t="n"/>
    </row>
    <row r="477">
      <c r="A477" s="2" t="n">
        <v>476</v>
      </c>
      <c r="B477" s="2" t="inlineStr">
        <is>
          <t>KH002</t>
        </is>
      </c>
      <c r="C477" s="3" t="inlineStr">
        <is>
          <t>Nguyễn Hoàng Phú</t>
        </is>
      </c>
      <c r="D477" s="2" t="inlineStr">
        <is>
          <t>HCM</t>
        </is>
      </c>
      <c r="E477" s="2" t="inlineStr">
        <is>
          <t>BẢO TRÂM</t>
        </is>
      </c>
      <c r="F477" s="2" t="inlineStr">
        <is>
          <t>Shopee</t>
        </is>
      </c>
      <c r="G477" s="2" t="inlineStr">
        <is>
          <t>KBY1-120</t>
        </is>
      </c>
      <c r="H477" s="3" t="inlineStr">
        <is>
          <t>Mũi khoan thép KBY1-120</t>
        </is>
      </c>
      <c r="I477" s="4" t="n">
        <v>94000</v>
      </c>
      <c r="J477" s="4" t="n"/>
      <c r="K477" s="4">
        <f>IF(AND(ISNUMBER(J477),ISNUMBER(I477)),J477-I477,"")</f>
        <v/>
      </c>
      <c r="L477" s="5">
        <f>IF(AND(ISNUMBER(J477),ISNUMBER(I477),I477&gt;0),(J477-I477)/I477,"")</f>
        <v/>
      </c>
      <c r="M477" s="2">
        <f>IF(L477="","",IF(L477&lt;-0.05,"Bán phá giá",IF(L477&gt;0.05,"Bán cao hơn","Đúng giá niêm yết")))</f>
        <v/>
      </c>
      <c r="N477" s="2" t="n"/>
      <c r="O477" s="3" t="n"/>
      <c r="P477" s="3" t="n"/>
    </row>
    <row r="478">
      <c r="A478" s="2" t="n">
        <v>477</v>
      </c>
      <c r="B478" s="2" t="inlineStr">
        <is>
          <t>KH002</t>
        </is>
      </c>
      <c r="C478" s="3" t="inlineStr">
        <is>
          <t>Nguyễn Hoàng Phú</t>
        </is>
      </c>
      <c r="D478" s="2" t="inlineStr">
        <is>
          <t>HCM</t>
        </is>
      </c>
      <c r="E478" s="2" t="inlineStr">
        <is>
          <t>BẢO TRÂM</t>
        </is>
      </c>
      <c r="F478" s="2" t="inlineStr">
        <is>
          <t>Shopee</t>
        </is>
      </c>
      <c r="G478" s="2" t="inlineStr">
        <is>
          <t>KBL4-20*350</t>
        </is>
      </c>
      <c r="H478" s="3" t="inlineStr">
        <is>
          <t>Mũi khoan xuyên tường 4 cạnh KBL4-20*350</t>
        </is>
      </c>
      <c r="I478" s="4" t="n">
        <v>122000</v>
      </c>
      <c r="J478" s="4" t="n"/>
      <c r="K478" s="4">
        <f>IF(AND(ISNUMBER(J478),ISNUMBER(I478)),J478-I478,"")</f>
        <v/>
      </c>
      <c r="L478" s="5">
        <f>IF(AND(ISNUMBER(J478),ISNUMBER(I478),I478&gt;0),(J478-I478)/I478,"")</f>
        <v/>
      </c>
      <c r="M478" s="2">
        <f>IF(L478="","",IF(L478&lt;-0.05,"Bán phá giá",IF(L478&gt;0.05,"Bán cao hơn","Đúng giá niêm yết")))</f>
        <v/>
      </c>
      <c r="N478" s="2" t="n"/>
      <c r="O478" s="3" t="n"/>
      <c r="P478" s="3" t="n"/>
    </row>
    <row r="479">
      <c r="A479" s="2" t="n">
        <v>478</v>
      </c>
      <c r="B479" s="2" t="inlineStr">
        <is>
          <t>KH002</t>
        </is>
      </c>
      <c r="C479" s="3" t="inlineStr">
        <is>
          <t>Nguyễn Hoàng Phú</t>
        </is>
      </c>
      <c r="D479" s="2" t="inlineStr">
        <is>
          <t>HCM</t>
        </is>
      </c>
      <c r="E479" s="2" t="inlineStr">
        <is>
          <t>BẢO TRÂM</t>
        </is>
      </c>
      <c r="F479" s="2" t="inlineStr">
        <is>
          <t>Shopee</t>
        </is>
      </c>
      <c r="G479" s="2" t="inlineStr">
        <is>
          <t>KBX2-16</t>
        </is>
      </c>
      <c r="H479" s="3" t="inlineStr">
        <is>
          <t>Mũi khoét gỗ KBX2-16</t>
        </is>
      </c>
      <c r="I479" s="4" t="n">
        <v>33000</v>
      </c>
      <c r="J479" s="4" t="n"/>
      <c r="K479" s="4">
        <f>IF(AND(ISNUMBER(J479),ISNUMBER(I479)),J479-I479,"")</f>
        <v/>
      </c>
      <c r="L479" s="5">
        <f>IF(AND(ISNUMBER(J479),ISNUMBER(I479),I479&gt;0),(J479-I479)/I479,"")</f>
        <v/>
      </c>
      <c r="M479" s="2">
        <f>IF(L479="","",IF(L479&lt;-0.05,"Bán phá giá",IF(L479&gt;0.05,"Bán cao hơn","Đúng giá niêm yết")))</f>
        <v/>
      </c>
      <c r="N479" s="2" t="n"/>
      <c r="O479" s="3" t="n"/>
      <c r="P479" s="3" t="n"/>
    </row>
    <row r="480">
      <c r="A480" s="2" t="n">
        <v>479</v>
      </c>
      <c r="B480" s="2" t="inlineStr">
        <is>
          <t>KH002</t>
        </is>
      </c>
      <c r="C480" s="3" t="inlineStr">
        <is>
          <t>Nguyễn Hoàng Phú</t>
        </is>
      </c>
      <c r="D480" s="2" t="inlineStr">
        <is>
          <t>HCM</t>
        </is>
      </c>
      <c r="E480" s="2" t="inlineStr">
        <is>
          <t>BẢO TRÂM</t>
        </is>
      </c>
      <c r="F480" s="2" t="inlineStr">
        <is>
          <t>Shopee</t>
        </is>
      </c>
      <c r="G480" s="2" t="inlineStr">
        <is>
          <t>KBX2-25</t>
        </is>
      </c>
      <c r="H480" s="3" t="inlineStr">
        <is>
          <t>Mũi khoét gỗ KBX2-25</t>
        </is>
      </c>
      <c r="I480" s="4" t="n">
        <v>40000</v>
      </c>
      <c r="J480" s="4" t="n"/>
      <c r="K480" s="4">
        <f>IF(AND(ISNUMBER(J480),ISNUMBER(I480)),J480-I480,"")</f>
        <v/>
      </c>
      <c r="L480" s="5">
        <f>IF(AND(ISNUMBER(J480),ISNUMBER(I480),I480&gt;0),(J480-I480)/I480,"")</f>
        <v/>
      </c>
      <c r="M480" s="2">
        <f>IF(L480="","",IF(L480&lt;-0.05,"Bán phá giá",IF(L480&gt;0.05,"Bán cao hơn","Đúng giá niêm yết")))</f>
        <v/>
      </c>
      <c r="N480" s="2" t="n"/>
      <c r="O480" s="3" t="n"/>
      <c r="P480" s="3" t="n"/>
    </row>
    <row r="481">
      <c r="A481" s="2" t="n">
        <v>480</v>
      </c>
      <c r="B481" s="2" t="inlineStr">
        <is>
          <t>KH002</t>
        </is>
      </c>
      <c r="C481" s="3" t="inlineStr">
        <is>
          <t>Nguyễn Hoàng Phú</t>
        </is>
      </c>
      <c r="D481" s="2" t="inlineStr">
        <is>
          <t>HCM</t>
        </is>
      </c>
      <c r="E481" s="2" t="inlineStr">
        <is>
          <t>BẢO TRÂM</t>
        </is>
      </c>
      <c r="F481" s="2" t="inlineStr">
        <is>
          <t>Shopee</t>
        </is>
      </c>
      <c r="G481" s="2" t="inlineStr">
        <is>
          <t>KBX2-27</t>
        </is>
      </c>
      <c r="H481" s="3" t="inlineStr">
        <is>
          <t>Mũi khoét gỗ KBX2-27</t>
        </is>
      </c>
      <c r="I481" s="4" t="n">
        <v>51000</v>
      </c>
      <c r="J481" s="4" t="n"/>
      <c r="K481" s="4">
        <f>IF(AND(ISNUMBER(J481),ISNUMBER(I481)),J481-I481,"")</f>
        <v/>
      </c>
      <c r="L481" s="5">
        <f>IF(AND(ISNUMBER(J481),ISNUMBER(I481),I481&gt;0),(J481-I481)/I481,"")</f>
        <v/>
      </c>
      <c r="M481" s="2">
        <f>IF(L481="","",IF(L481&lt;-0.05,"Bán phá giá",IF(L481&gt;0.05,"Bán cao hơn","Đúng giá niêm yết")))</f>
        <v/>
      </c>
      <c r="N481" s="2" t="n"/>
      <c r="O481" s="3" t="n"/>
      <c r="P481" s="3" t="n"/>
    </row>
    <row r="482">
      <c r="A482" s="2" t="n">
        <v>481</v>
      </c>
      <c r="B482" s="2" t="inlineStr">
        <is>
          <t>KH002</t>
        </is>
      </c>
      <c r="C482" s="3" t="inlineStr">
        <is>
          <t>Nguyễn Hoàng Phú</t>
        </is>
      </c>
      <c r="D482" s="2" t="inlineStr">
        <is>
          <t>HCM</t>
        </is>
      </c>
      <c r="E482" s="2" t="inlineStr">
        <is>
          <t>BẢO TRÂM</t>
        </is>
      </c>
      <c r="F482" s="2" t="inlineStr">
        <is>
          <t>Shopee</t>
        </is>
      </c>
      <c r="G482" s="2" t="inlineStr">
        <is>
          <t>KBX2-30</t>
        </is>
      </c>
      <c r="H482" s="3" t="inlineStr">
        <is>
          <t>Mũi khoét gỗ KBX2-30</t>
        </is>
      </c>
      <c r="I482" s="4" t="n">
        <v>57000</v>
      </c>
      <c r="J482" s="4" t="n"/>
      <c r="K482" s="4">
        <f>IF(AND(ISNUMBER(J482),ISNUMBER(I482)),J482-I482,"")</f>
        <v/>
      </c>
      <c r="L482" s="5">
        <f>IF(AND(ISNUMBER(J482),ISNUMBER(I482),I482&gt;0),(J482-I482)/I482,"")</f>
        <v/>
      </c>
      <c r="M482" s="2">
        <f>IF(L482="","",IF(L482&lt;-0.05,"Bán phá giá",IF(L482&gt;0.05,"Bán cao hơn","Đúng giá niêm yết")))</f>
        <v/>
      </c>
      <c r="N482" s="2" t="n"/>
      <c r="O482" s="3" t="n"/>
      <c r="P482" s="3" t="n"/>
    </row>
    <row r="483">
      <c r="A483" s="2" t="n">
        <v>482</v>
      </c>
      <c r="B483" s="2" t="inlineStr">
        <is>
          <t>KH002</t>
        </is>
      </c>
      <c r="C483" s="3" t="inlineStr">
        <is>
          <t>Nguyễn Hoàng Phú</t>
        </is>
      </c>
      <c r="D483" s="2" t="inlineStr">
        <is>
          <t>HCM</t>
        </is>
      </c>
      <c r="E483" s="2" t="inlineStr">
        <is>
          <t>BẢO TRÂM</t>
        </is>
      </c>
      <c r="F483" s="2" t="inlineStr">
        <is>
          <t>Shopee</t>
        </is>
      </c>
      <c r="G483" s="2" t="inlineStr">
        <is>
          <t>KBX2-35</t>
        </is>
      </c>
      <c r="H483" s="3" t="inlineStr">
        <is>
          <t>Mũi khoét gỗ KBX2-35</t>
        </is>
      </c>
      <c r="I483" s="4" t="n">
        <v>66000</v>
      </c>
      <c r="J483" s="4" t="n"/>
      <c r="K483" s="4">
        <f>IF(AND(ISNUMBER(J483),ISNUMBER(I483)),J483-I483,"")</f>
        <v/>
      </c>
      <c r="L483" s="5">
        <f>IF(AND(ISNUMBER(J483),ISNUMBER(I483),I483&gt;0),(J483-I483)/I483,"")</f>
        <v/>
      </c>
      <c r="M483" s="2">
        <f>IF(L483="","",IF(L483&lt;-0.05,"Bán phá giá",IF(L483&gt;0.05,"Bán cao hơn","Đúng giá niêm yết")))</f>
        <v/>
      </c>
      <c r="N483" s="2" t="n"/>
      <c r="O483" s="3" t="n"/>
      <c r="P483" s="3" t="n"/>
    </row>
    <row r="484">
      <c r="A484" s="2" t="n">
        <v>483</v>
      </c>
      <c r="B484" s="2" t="inlineStr">
        <is>
          <t>KH002</t>
        </is>
      </c>
      <c r="C484" s="3" t="inlineStr">
        <is>
          <t>Nguyễn Hoàng Phú</t>
        </is>
      </c>
      <c r="D484" s="2" t="inlineStr">
        <is>
          <t>HCM</t>
        </is>
      </c>
      <c r="E484" s="2" t="inlineStr">
        <is>
          <t>BẢO TRÂM</t>
        </is>
      </c>
      <c r="F484" s="2" t="inlineStr">
        <is>
          <t>Shopee</t>
        </is>
      </c>
      <c r="G484" s="2" t="inlineStr">
        <is>
          <t>KBX2-42</t>
        </is>
      </c>
      <c r="H484" s="3" t="inlineStr">
        <is>
          <t>Mũi khoét gỗ KBX2-42</t>
        </is>
      </c>
      <c r="I484" s="4" t="n">
        <v>78000</v>
      </c>
      <c r="J484" s="4" t="n"/>
      <c r="K484" s="4">
        <f>IF(AND(ISNUMBER(J484),ISNUMBER(I484)),J484-I484,"")</f>
        <v/>
      </c>
      <c r="L484" s="5">
        <f>IF(AND(ISNUMBER(J484),ISNUMBER(I484),I484&gt;0),(J484-I484)/I484,"")</f>
        <v/>
      </c>
      <c r="M484" s="2">
        <f>IF(L484="","",IF(L484&lt;-0.05,"Bán phá giá",IF(L484&gt;0.05,"Bán cao hơn","Đúng giá niêm yết")))</f>
        <v/>
      </c>
      <c r="N484" s="2" t="n"/>
      <c r="O484" s="3" t="n"/>
      <c r="P484" s="3" t="n"/>
    </row>
    <row r="485">
      <c r="A485" s="2" t="n">
        <v>484</v>
      </c>
      <c r="B485" s="2" t="inlineStr">
        <is>
          <t>KH002</t>
        </is>
      </c>
      <c r="C485" s="3" t="inlineStr">
        <is>
          <t>Nguyễn Hoàng Phú</t>
        </is>
      </c>
      <c r="D485" s="2" t="inlineStr">
        <is>
          <t>HCM</t>
        </is>
      </c>
      <c r="E485" s="2" t="inlineStr">
        <is>
          <t>BẢO TRÂM</t>
        </is>
      </c>
      <c r="F485" s="2" t="inlineStr">
        <is>
          <t>Shopee</t>
        </is>
      </c>
      <c r="G485" s="2" t="inlineStr">
        <is>
          <t>KBX2-60</t>
        </is>
      </c>
      <c r="H485" s="3" t="inlineStr">
        <is>
          <t>Mũi khoét gỗ KBX2-60</t>
        </is>
      </c>
      <c r="I485" s="4" t="n">
        <v>106000</v>
      </c>
      <c r="J485" s="4" t="n"/>
      <c r="K485" s="4">
        <f>IF(AND(ISNUMBER(J485),ISNUMBER(I485)),J485-I485,"")</f>
        <v/>
      </c>
      <c r="L485" s="5">
        <f>IF(AND(ISNUMBER(J485),ISNUMBER(I485),I485&gt;0),(J485-I485)/I485,"")</f>
        <v/>
      </c>
      <c r="M485" s="2">
        <f>IF(L485="","",IF(L485&lt;-0.05,"Bán phá giá",IF(L485&gt;0.05,"Bán cao hơn","Đúng giá niêm yết")))</f>
        <v/>
      </c>
      <c r="N485" s="2" t="n"/>
      <c r="O485" s="3" t="n"/>
      <c r="P485" s="3" t="n"/>
    </row>
    <row r="486">
      <c r="A486" s="2" t="n">
        <v>485</v>
      </c>
      <c r="B486" s="2" t="inlineStr">
        <is>
          <t>KH002</t>
        </is>
      </c>
      <c r="C486" s="3" t="inlineStr">
        <is>
          <t>Nguyễn Hoàng Phú</t>
        </is>
      </c>
      <c r="D486" s="2" t="inlineStr">
        <is>
          <t>HCM</t>
        </is>
      </c>
      <c r="E486" s="2" t="inlineStr">
        <is>
          <t>BẢO TRÂM</t>
        </is>
      </c>
      <c r="F486" s="2" t="inlineStr">
        <is>
          <t>Shopee</t>
        </is>
      </c>
      <c r="G486" s="2" t="inlineStr">
        <is>
          <t>R1-35/25</t>
        </is>
      </c>
      <c r="H486" s="3" t="inlineStr">
        <is>
          <t>Mũi khoét hợp kim BlueBird R1-35/25</t>
        </is>
      </c>
      <c r="I486" s="4" t="n">
        <v>136000</v>
      </c>
      <c r="J486" s="4" t="n"/>
      <c r="K486" s="4">
        <f>IF(AND(ISNUMBER(J486),ISNUMBER(I486)),J486-I486,"")</f>
        <v/>
      </c>
      <c r="L486" s="5">
        <f>IF(AND(ISNUMBER(J486),ISNUMBER(I486),I486&gt;0),(J486-I486)/I486,"")</f>
        <v/>
      </c>
      <c r="M486" s="2">
        <f>IF(L486="","",IF(L486&lt;-0.05,"Bán phá giá",IF(L486&gt;0.05,"Bán cao hơn","Đúng giá niêm yết")))</f>
        <v/>
      </c>
      <c r="N486" s="2" t="n"/>
      <c r="O486" s="3" t="n"/>
      <c r="P486" s="3" t="n"/>
    </row>
    <row r="487">
      <c r="A487" s="2" t="n">
        <v>486</v>
      </c>
      <c r="B487" s="2" t="inlineStr">
        <is>
          <t>KH002</t>
        </is>
      </c>
      <c r="C487" s="3" t="inlineStr">
        <is>
          <t>Nguyễn Hoàng Phú</t>
        </is>
      </c>
      <c r="D487" s="2" t="inlineStr">
        <is>
          <t>HCM</t>
        </is>
      </c>
      <c r="E487" s="2" t="inlineStr">
        <is>
          <t>BẢO TRÂM</t>
        </is>
      </c>
      <c r="F487" s="2" t="inlineStr">
        <is>
          <t>Shopee</t>
        </is>
      </c>
      <c r="G487" s="2" t="inlineStr">
        <is>
          <t>R1-38/25</t>
        </is>
      </c>
      <c r="H487" s="3" t="inlineStr">
        <is>
          <t>Mũi khoét hợp kim Bluebird R1-38/25</t>
        </is>
      </c>
      <c r="I487" s="4" t="n">
        <v>122000</v>
      </c>
      <c r="J487" s="4" t="n"/>
      <c r="K487" s="4">
        <f>IF(AND(ISNUMBER(J487),ISNUMBER(I487)),J487-I487,"")</f>
        <v/>
      </c>
      <c r="L487" s="5">
        <f>IF(AND(ISNUMBER(J487),ISNUMBER(I487),I487&gt;0),(J487-I487)/I487,"")</f>
        <v/>
      </c>
      <c r="M487" s="2">
        <f>IF(L487="","",IF(L487&lt;-0.05,"Bán phá giá",IF(L487&gt;0.05,"Bán cao hơn","Đúng giá niêm yết")))</f>
        <v/>
      </c>
      <c r="N487" s="2" t="n"/>
      <c r="O487" s="3" t="n"/>
      <c r="P487" s="3" t="n"/>
    </row>
    <row r="488">
      <c r="A488" s="2" t="n">
        <v>487</v>
      </c>
      <c r="B488" s="2" t="inlineStr">
        <is>
          <t>KH002</t>
        </is>
      </c>
      <c r="C488" s="3" t="inlineStr">
        <is>
          <t>Nguyễn Hoàng Phú</t>
        </is>
      </c>
      <c r="D488" s="2" t="inlineStr">
        <is>
          <t>HCM</t>
        </is>
      </c>
      <c r="E488" s="2" t="inlineStr">
        <is>
          <t>BẢO TRÂM</t>
        </is>
      </c>
      <c r="F488" s="2" t="inlineStr">
        <is>
          <t>Shopee</t>
        </is>
      </c>
      <c r="G488" s="2" t="inlineStr">
        <is>
          <t>R1-42/25</t>
        </is>
      </c>
      <c r="H488" s="3" t="inlineStr">
        <is>
          <t>Mũi khoét hợp kim Bluebird R1-42/25</t>
        </is>
      </c>
      <c r="I488" s="4" t="n">
        <v>133000</v>
      </c>
      <c r="J488" s="4" t="n"/>
      <c r="K488" s="4">
        <f>IF(AND(ISNUMBER(J488),ISNUMBER(I488)),J488-I488,"")</f>
        <v/>
      </c>
      <c r="L488" s="5">
        <f>IF(AND(ISNUMBER(J488),ISNUMBER(I488),I488&gt;0),(J488-I488)/I488,"")</f>
        <v/>
      </c>
      <c r="M488" s="2">
        <f>IF(L488="","",IF(L488&lt;-0.05,"Bán phá giá",IF(L488&gt;0.05,"Bán cao hơn","Đúng giá niêm yết")))</f>
        <v/>
      </c>
      <c r="N488" s="2" t="n"/>
      <c r="O488" s="3" t="n"/>
      <c r="P488" s="3" t="n"/>
    </row>
    <row r="489">
      <c r="A489" s="2" t="n">
        <v>488</v>
      </c>
      <c r="B489" s="2" t="inlineStr">
        <is>
          <t>KH002</t>
        </is>
      </c>
      <c r="C489" s="3" t="inlineStr">
        <is>
          <t>Nguyễn Hoàng Phú</t>
        </is>
      </c>
      <c r="D489" s="2" t="inlineStr">
        <is>
          <t>HCM</t>
        </is>
      </c>
      <c r="E489" s="2" t="inlineStr">
        <is>
          <t>BẢO TRÂM</t>
        </is>
      </c>
      <c r="F489" s="2" t="inlineStr">
        <is>
          <t>Shopee</t>
        </is>
      </c>
      <c r="G489" s="2" t="inlineStr">
        <is>
          <t>R1-45/25</t>
        </is>
      </c>
      <c r="H489" s="3" t="inlineStr">
        <is>
          <t>Mũi khoét hợp kim BlueBird R1-45/25</t>
        </is>
      </c>
      <c r="I489" s="4" t="n">
        <v>172000</v>
      </c>
      <c r="J489" s="4" t="n"/>
      <c r="K489" s="4">
        <f>IF(AND(ISNUMBER(J489),ISNUMBER(I489)),J489-I489,"")</f>
        <v/>
      </c>
      <c r="L489" s="5">
        <f>IF(AND(ISNUMBER(J489),ISNUMBER(I489),I489&gt;0),(J489-I489)/I489,"")</f>
        <v/>
      </c>
      <c r="M489" s="2">
        <f>IF(L489="","",IF(L489&lt;-0.05,"Bán phá giá",IF(L489&gt;0.05,"Bán cao hơn","Đúng giá niêm yết")))</f>
        <v/>
      </c>
      <c r="N489" s="2" t="n"/>
      <c r="O489" s="3" t="n"/>
      <c r="P489" s="3" t="n"/>
    </row>
    <row r="490">
      <c r="A490" s="2" t="n">
        <v>489</v>
      </c>
      <c r="B490" s="2" t="inlineStr">
        <is>
          <t>KH002</t>
        </is>
      </c>
      <c r="C490" s="3" t="inlineStr">
        <is>
          <t>Nguyễn Hoàng Phú</t>
        </is>
      </c>
      <c r="D490" s="2" t="inlineStr">
        <is>
          <t>HCM</t>
        </is>
      </c>
      <c r="E490" s="2" t="inlineStr">
        <is>
          <t>BẢO TRÂM</t>
        </is>
      </c>
      <c r="F490" s="2" t="inlineStr">
        <is>
          <t>Shopee</t>
        </is>
      </c>
      <c r="G490" s="2" t="inlineStr">
        <is>
          <t>R1-50/25</t>
        </is>
      </c>
      <c r="H490" s="3" t="inlineStr">
        <is>
          <t>Mũi khoét hợp kim Bluebird R1-50/25</t>
        </is>
      </c>
      <c r="I490" s="4" t="n">
        <v>159000</v>
      </c>
      <c r="J490" s="4" t="n"/>
      <c r="K490" s="4">
        <f>IF(AND(ISNUMBER(J490),ISNUMBER(I490)),J490-I490,"")</f>
        <v/>
      </c>
      <c r="L490" s="5">
        <f>IF(AND(ISNUMBER(J490),ISNUMBER(I490),I490&gt;0),(J490-I490)/I490,"")</f>
        <v/>
      </c>
      <c r="M490" s="2">
        <f>IF(L490="","",IF(L490&lt;-0.05,"Bán phá giá",IF(L490&gt;0.05,"Bán cao hơn","Đúng giá niêm yết")))</f>
        <v/>
      </c>
      <c r="N490" s="2" t="n"/>
      <c r="O490" s="3" t="n"/>
      <c r="P490" s="3" t="n"/>
    </row>
    <row r="491">
      <c r="A491" s="2" t="n">
        <v>490</v>
      </c>
      <c r="B491" s="2" t="inlineStr">
        <is>
          <t>KH002</t>
        </is>
      </c>
      <c r="C491" s="3" t="inlineStr">
        <is>
          <t>Nguyễn Hoàng Phú</t>
        </is>
      </c>
      <c r="D491" s="2" t="inlineStr">
        <is>
          <t>HCM</t>
        </is>
      </c>
      <c r="E491" s="2" t="inlineStr">
        <is>
          <t>BẢO TRÂM</t>
        </is>
      </c>
      <c r="F491" s="2" t="inlineStr">
        <is>
          <t>Shopee</t>
        </is>
      </c>
      <c r="G491" s="2" t="inlineStr">
        <is>
          <t>R1-60/25</t>
        </is>
      </c>
      <c r="H491" s="3" t="inlineStr">
        <is>
          <t>Mũi khoét hợp kim Bluebird R1-60/25</t>
        </is>
      </c>
      <c r="I491" s="4" t="n">
        <v>190000</v>
      </c>
      <c r="J491" s="4" t="n"/>
      <c r="K491" s="4">
        <f>IF(AND(ISNUMBER(J491),ISNUMBER(I491)),J491-I491,"")</f>
        <v/>
      </c>
      <c r="L491" s="5">
        <f>IF(AND(ISNUMBER(J491),ISNUMBER(I491),I491&gt;0),(J491-I491)/I491,"")</f>
        <v/>
      </c>
      <c r="M491" s="2">
        <f>IF(L491="","",IF(L491&lt;-0.05,"Bán phá giá",IF(L491&gt;0.05,"Bán cao hơn","Đúng giá niêm yết")))</f>
        <v/>
      </c>
      <c r="N491" s="2" t="n"/>
      <c r="O491" s="3" t="n"/>
      <c r="P491" s="3" t="n"/>
    </row>
    <row r="492">
      <c r="A492" s="2" t="n">
        <v>491</v>
      </c>
      <c r="B492" s="2" t="inlineStr">
        <is>
          <t>KH002</t>
        </is>
      </c>
      <c r="C492" s="3" t="inlineStr">
        <is>
          <t>Nguyễn Hoàng Phú</t>
        </is>
      </c>
      <c r="D492" s="2" t="inlineStr">
        <is>
          <t>HCM</t>
        </is>
      </c>
      <c r="E492" s="2" t="inlineStr">
        <is>
          <t>BẢO TRÂM</t>
        </is>
      </c>
      <c r="F492" s="2" t="inlineStr">
        <is>
          <t>Shopee</t>
        </is>
      </c>
      <c r="G492" s="2" t="inlineStr">
        <is>
          <t>R1-16/25</t>
        </is>
      </c>
      <c r="H492" s="3" t="inlineStr">
        <is>
          <t>Mũi khoét hợp kim Kingblue R1-16/25</t>
        </is>
      </c>
      <c r="I492" s="4" t="n">
        <v>71000</v>
      </c>
      <c r="J492" s="4" t="n"/>
      <c r="K492" s="4">
        <f>IF(AND(ISNUMBER(J492),ISNUMBER(I492)),J492-I492,"")</f>
        <v/>
      </c>
      <c r="L492" s="5">
        <f>IF(AND(ISNUMBER(J492),ISNUMBER(I492),I492&gt;0),(J492-I492)/I492,"")</f>
        <v/>
      </c>
      <c r="M492" s="2">
        <f>IF(L492="","",IF(L492&lt;-0.05,"Bán phá giá",IF(L492&gt;0.05,"Bán cao hơn","Đúng giá niêm yết")))</f>
        <v/>
      </c>
      <c r="N492" s="2" t="n"/>
      <c r="O492" s="3" t="n"/>
      <c r="P492" s="3" t="n"/>
    </row>
    <row r="493">
      <c r="A493" s="2" t="n">
        <v>492</v>
      </c>
      <c r="B493" s="2" t="inlineStr">
        <is>
          <t>KH002</t>
        </is>
      </c>
      <c r="C493" s="3" t="inlineStr">
        <is>
          <t>Nguyễn Hoàng Phú</t>
        </is>
      </c>
      <c r="D493" s="2" t="inlineStr">
        <is>
          <t>HCM</t>
        </is>
      </c>
      <c r="E493" s="2" t="inlineStr">
        <is>
          <t>BẢO TRÂM</t>
        </is>
      </c>
      <c r="F493" s="2" t="inlineStr">
        <is>
          <t>Shopee</t>
        </is>
      </c>
      <c r="G493" s="2" t="inlineStr">
        <is>
          <t>R1-18/25</t>
        </is>
      </c>
      <c r="H493" s="3" t="inlineStr">
        <is>
          <t>Mũi khoét hợp kim Kingblue R1-18/25</t>
        </is>
      </c>
      <c r="I493" s="4" t="n">
        <v>59000</v>
      </c>
      <c r="J493" s="4" t="n"/>
      <c r="K493" s="4">
        <f>IF(AND(ISNUMBER(J493),ISNUMBER(I493)),J493-I493,"")</f>
        <v/>
      </c>
      <c r="L493" s="5">
        <f>IF(AND(ISNUMBER(J493),ISNUMBER(I493),I493&gt;0),(J493-I493)/I493,"")</f>
        <v/>
      </c>
      <c r="M493" s="2">
        <f>IF(L493="","",IF(L493&lt;-0.05,"Bán phá giá",IF(L493&gt;0.05,"Bán cao hơn","Đúng giá niêm yết")))</f>
        <v/>
      </c>
      <c r="N493" s="2" t="n"/>
      <c r="O493" s="3" t="n"/>
      <c r="P493" s="3" t="n"/>
    </row>
    <row r="494">
      <c r="A494" s="2" t="n">
        <v>493</v>
      </c>
      <c r="B494" s="2" t="inlineStr">
        <is>
          <t>KH002</t>
        </is>
      </c>
      <c r="C494" s="3" t="inlineStr">
        <is>
          <t>Nguyễn Hoàng Phú</t>
        </is>
      </c>
      <c r="D494" s="2" t="inlineStr">
        <is>
          <t>HCM</t>
        </is>
      </c>
      <c r="E494" s="2" t="inlineStr">
        <is>
          <t>BẢO TRÂM</t>
        </is>
      </c>
      <c r="F494" s="2" t="inlineStr">
        <is>
          <t>Shopee</t>
        </is>
      </c>
      <c r="G494" s="2" t="inlineStr">
        <is>
          <t>R1-21/25</t>
        </is>
      </c>
      <c r="H494" s="3" t="inlineStr">
        <is>
          <t>Mũi khoét hợp kim Kingblue R1-21/25</t>
        </is>
      </c>
      <c r="I494" s="4" t="n">
        <v>67000</v>
      </c>
      <c r="J494" s="4" t="n"/>
      <c r="K494" s="4">
        <f>IF(AND(ISNUMBER(J494),ISNUMBER(I494)),J494-I494,"")</f>
        <v/>
      </c>
      <c r="L494" s="5">
        <f>IF(AND(ISNUMBER(J494),ISNUMBER(I494),I494&gt;0),(J494-I494)/I494,"")</f>
        <v/>
      </c>
      <c r="M494" s="2">
        <f>IF(L494="","",IF(L494&lt;-0.05,"Bán phá giá",IF(L494&gt;0.05,"Bán cao hơn","Đúng giá niêm yết")))</f>
        <v/>
      </c>
      <c r="N494" s="2" t="n"/>
      <c r="O494" s="3" t="n"/>
      <c r="P494" s="3" t="n"/>
    </row>
    <row r="495">
      <c r="A495" s="2" t="n">
        <v>494</v>
      </c>
      <c r="B495" s="2" t="inlineStr">
        <is>
          <t>KH002</t>
        </is>
      </c>
      <c r="C495" s="3" t="inlineStr">
        <is>
          <t>Nguyễn Hoàng Phú</t>
        </is>
      </c>
      <c r="D495" s="2" t="inlineStr">
        <is>
          <t>HCM</t>
        </is>
      </c>
      <c r="E495" s="2" t="inlineStr">
        <is>
          <t>BẢO TRÂM</t>
        </is>
      </c>
      <c r="F495" s="2" t="inlineStr">
        <is>
          <t>Shopee</t>
        </is>
      </c>
      <c r="G495" s="2" t="inlineStr">
        <is>
          <t>R1-22/25</t>
        </is>
      </c>
      <c r="H495" s="3" t="inlineStr">
        <is>
          <t>Mũi khoét hợp kim Kingblue R1-22/25</t>
        </is>
      </c>
      <c r="I495" s="4" t="n">
        <v>86000</v>
      </c>
      <c r="J495" s="4" t="n"/>
      <c r="K495" s="4">
        <f>IF(AND(ISNUMBER(J495),ISNUMBER(I495)),J495-I495,"")</f>
        <v/>
      </c>
      <c r="L495" s="5">
        <f>IF(AND(ISNUMBER(J495),ISNUMBER(I495),I495&gt;0),(J495-I495)/I495,"")</f>
        <v/>
      </c>
      <c r="M495" s="2">
        <f>IF(L495="","",IF(L495&lt;-0.05,"Bán phá giá",IF(L495&gt;0.05,"Bán cao hơn","Đúng giá niêm yết")))</f>
        <v/>
      </c>
      <c r="N495" s="2" t="n"/>
      <c r="O495" s="3" t="n"/>
      <c r="P495" s="3" t="n"/>
    </row>
    <row r="496">
      <c r="A496" s="2" t="n">
        <v>495</v>
      </c>
      <c r="B496" s="2" t="inlineStr">
        <is>
          <t>KH002</t>
        </is>
      </c>
      <c r="C496" s="3" t="inlineStr">
        <is>
          <t>Nguyễn Hoàng Phú</t>
        </is>
      </c>
      <c r="D496" s="2" t="inlineStr">
        <is>
          <t>HCM</t>
        </is>
      </c>
      <c r="E496" s="2" t="inlineStr">
        <is>
          <t>BẢO TRÂM</t>
        </is>
      </c>
      <c r="F496" s="2" t="inlineStr">
        <is>
          <t>Shopee</t>
        </is>
      </c>
      <c r="G496" s="2" t="inlineStr">
        <is>
          <t>R1-25/25</t>
        </is>
      </c>
      <c r="H496" s="3" t="inlineStr">
        <is>
          <t>Mũi khoét hợp kim Kingblue R1-25/25</t>
        </is>
      </c>
      <c r="I496" s="4" t="n">
        <v>96000</v>
      </c>
      <c r="J496" s="4" t="n"/>
      <c r="K496" s="4">
        <f>IF(AND(ISNUMBER(J496),ISNUMBER(I496)),J496-I496,"")</f>
        <v/>
      </c>
      <c r="L496" s="5">
        <f>IF(AND(ISNUMBER(J496),ISNUMBER(I496),I496&gt;0),(J496-I496)/I496,"")</f>
        <v/>
      </c>
      <c r="M496" s="2">
        <f>IF(L496="","",IF(L496&lt;-0.05,"Bán phá giá",IF(L496&gt;0.05,"Bán cao hơn","Đúng giá niêm yết")))</f>
        <v/>
      </c>
      <c r="N496" s="2" t="n"/>
      <c r="O496" s="3" t="n"/>
      <c r="P496" s="3" t="n"/>
    </row>
    <row r="497">
      <c r="A497" s="2" t="n">
        <v>496</v>
      </c>
      <c r="B497" s="2" t="inlineStr">
        <is>
          <t>KH002</t>
        </is>
      </c>
      <c r="C497" s="3" t="inlineStr">
        <is>
          <t>Nguyễn Hoàng Phú</t>
        </is>
      </c>
      <c r="D497" s="2" t="inlineStr">
        <is>
          <t>HCM</t>
        </is>
      </c>
      <c r="E497" s="2" t="inlineStr">
        <is>
          <t>BẢO TRÂM</t>
        </is>
      </c>
      <c r="F497" s="2" t="inlineStr">
        <is>
          <t>Shopee</t>
        </is>
      </c>
      <c r="G497" s="2" t="inlineStr">
        <is>
          <t>R1-27/25</t>
        </is>
      </c>
      <c r="H497" s="3" t="inlineStr">
        <is>
          <t>Mũi khoét hợp kim Kingblue R1-27/25</t>
        </is>
      </c>
      <c r="I497" s="4" t="n">
        <v>105000</v>
      </c>
      <c r="J497" s="4" t="n"/>
      <c r="K497" s="4">
        <f>IF(AND(ISNUMBER(J497),ISNUMBER(I497)),J497-I497,"")</f>
        <v/>
      </c>
      <c r="L497" s="5">
        <f>IF(AND(ISNUMBER(J497),ISNUMBER(I497),I497&gt;0),(J497-I497)/I497,"")</f>
        <v/>
      </c>
      <c r="M497" s="2">
        <f>IF(L497="","",IF(L497&lt;-0.05,"Bán phá giá",IF(L497&gt;0.05,"Bán cao hơn","Đúng giá niêm yết")))</f>
        <v/>
      </c>
      <c r="N497" s="2" t="n"/>
      <c r="O497" s="3" t="n"/>
      <c r="P497" s="3" t="n"/>
    </row>
    <row r="498">
      <c r="A498" s="2" t="n">
        <v>497</v>
      </c>
      <c r="B498" s="2" t="inlineStr">
        <is>
          <t>KH002</t>
        </is>
      </c>
      <c r="C498" s="3" t="inlineStr">
        <is>
          <t>Nguyễn Hoàng Phú</t>
        </is>
      </c>
      <c r="D498" s="2" t="inlineStr">
        <is>
          <t>HCM</t>
        </is>
      </c>
      <c r="E498" s="2" t="inlineStr">
        <is>
          <t>BẢO TRÂM</t>
        </is>
      </c>
      <c r="F498" s="2" t="inlineStr">
        <is>
          <t>Shopee</t>
        </is>
      </c>
      <c r="G498" s="2" t="inlineStr">
        <is>
          <t>R1-30/25</t>
        </is>
      </c>
      <c r="H498" s="3" t="inlineStr">
        <is>
          <t>Mũi khoét hợp kim Kingblue R1-30/25</t>
        </is>
      </c>
      <c r="I498" s="4" t="n">
        <v>117000</v>
      </c>
      <c r="J498" s="4" t="n"/>
      <c r="K498" s="4">
        <f>IF(AND(ISNUMBER(J498),ISNUMBER(I498)),J498-I498,"")</f>
        <v/>
      </c>
      <c r="L498" s="5">
        <f>IF(AND(ISNUMBER(J498),ISNUMBER(I498),I498&gt;0),(J498-I498)/I498,"")</f>
        <v/>
      </c>
      <c r="M498" s="2">
        <f>IF(L498="","",IF(L498&lt;-0.05,"Bán phá giá",IF(L498&gt;0.05,"Bán cao hơn","Đúng giá niêm yết")))</f>
        <v/>
      </c>
      <c r="N498" s="2" t="n"/>
      <c r="O498" s="3" t="n"/>
      <c r="P498" s="3" t="n"/>
    </row>
    <row r="499">
      <c r="A499" s="2" t="n">
        <v>498</v>
      </c>
      <c r="B499" s="2" t="inlineStr">
        <is>
          <t>KH002</t>
        </is>
      </c>
      <c r="C499" s="3" t="inlineStr">
        <is>
          <t>Nguyễn Hoàng Phú</t>
        </is>
      </c>
      <c r="D499" s="2" t="inlineStr">
        <is>
          <t>HCM</t>
        </is>
      </c>
      <c r="E499" s="2" t="inlineStr">
        <is>
          <t>BẢO TRÂM</t>
        </is>
      </c>
      <c r="F499" s="2" t="inlineStr">
        <is>
          <t>Shopee</t>
        </is>
      </c>
      <c r="G499" s="2" t="inlineStr">
        <is>
          <t>R1-40/25</t>
        </is>
      </c>
      <c r="H499" s="3" t="inlineStr">
        <is>
          <t>Mũi khoét hợp kim Kingblue R1-40/25</t>
        </is>
      </c>
      <c r="I499" s="4" t="n">
        <v>154000</v>
      </c>
      <c r="J499" s="4" t="n"/>
      <c r="K499" s="4">
        <f>IF(AND(ISNUMBER(J499),ISNUMBER(I499)),J499-I499,"")</f>
        <v/>
      </c>
      <c r="L499" s="5">
        <f>IF(AND(ISNUMBER(J499),ISNUMBER(I499),I499&gt;0),(J499-I499)/I499,"")</f>
        <v/>
      </c>
      <c r="M499" s="2">
        <f>IF(L499="","",IF(L499&lt;-0.05,"Bán phá giá",IF(L499&gt;0.05,"Bán cao hơn","Đúng giá niêm yết")))</f>
        <v/>
      </c>
      <c r="N499" s="2" t="n"/>
      <c r="O499" s="3" t="n"/>
      <c r="P499" s="3" t="n"/>
    </row>
    <row r="500">
      <c r="A500" s="2" t="n">
        <v>499</v>
      </c>
      <c r="B500" s="2" t="inlineStr">
        <is>
          <t>KH002</t>
        </is>
      </c>
      <c r="C500" s="3" t="inlineStr">
        <is>
          <t>Nguyễn Hoàng Phú</t>
        </is>
      </c>
      <c r="D500" s="2" t="inlineStr">
        <is>
          <t>HCM</t>
        </is>
      </c>
      <c r="E500" s="2" t="inlineStr">
        <is>
          <t>BẢO TRÂM</t>
        </is>
      </c>
      <c r="F500" s="2" t="inlineStr">
        <is>
          <t>Shopee</t>
        </is>
      </c>
      <c r="G500" s="2" t="inlineStr">
        <is>
          <t>KZ-40</t>
        </is>
      </c>
      <c r="H500" s="3" t="inlineStr">
        <is>
          <t>Nhám xếp KingBlue KZ-40 (NEW)</t>
        </is>
      </c>
      <c r="I500" s="4" t="n">
        <v>11600</v>
      </c>
      <c r="J500" s="4" t="n"/>
      <c r="K500" s="4">
        <f>IF(AND(ISNUMBER(J500),ISNUMBER(I500)),J500-I500,"")</f>
        <v/>
      </c>
      <c r="L500" s="5">
        <f>IF(AND(ISNUMBER(J500),ISNUMBER(I500),I500&gt;0),(J500-I500)/I500,"")</f>
        <v/>
      </c>
      <c r="M500" s="2">
        <f>IF(L500="","",IF(L500&lt;-0.05,"Bán phá giá",IF(L500&gt;0.05,"Bán cao hơn","Đúng giá niêm yết")))</f>
        <v/>
      </c>
      <c r="N500" s="2" t="n"/>
      <c r="O500" s="3" t="n"/>
      <c r="P500" s="3" t="n"/>
    </row>
    <row r="501">
      <c r="A501" s="2" t="n">
        <v>500</v>
      </c>
      <c r="B501" s="2" t="inlineStr">
        <is>
          <t>KH002</t>
        </is>
      </c>
      <c r="C501" s="3" t="inlineStr">
        <is>
          <t>Nguyễn Hoàng Phú</t>
        </is>
      </c>
      <c r="D501" s="2" t="inlineStr">
        <is>
          <t>HCM</t>
        </is>
      </c>
      <c r="E501" s="2" t="inlineStr">
        <is>
          <t>BẢO TRÂM</t>
        </is>
      </c>
      <c r="F501" s="2" t="inlineStr">
        <is>
          <t>Shopee</t>
        </is>
      </c>
      <c r="G501" s="2" t="inlineStr">
        <is>
          <t>KZ-80</t>
        </is>
      </c>
      <c r="H501" s="3" t="inlineStr">
        <is>
          <t>Nhám xếp KingBlue KZ-80 (NEW)</t>
        </is>
      </c>
      <c r="I501" s="4" t="n">
        <v>8600</v>
      </c>
      <c r="J501" s="4" t="n"/>
      <c r="K501" s="4">
        <f>IF(AND(ISNUMBER(J501),ISNUMBER(I501)),J501-I501,"")</f>
        <v/>
      </c>
      <c r="L501" s="5">
        <f>IF(AND(ISNUMBER(J501),ISNUMBER(I501),I501&gt;0),(J501-I501)/I501,"")</f>
        <v/>
      </c>
      <c r="M501" s="2">
        <f>IF(L501="","",IF(L501&lt;-0.05,"Bán phá giá",IF(L501&gt;0.05,"Bán cao hơn","Đúng giá niêm yết")))</f>
        <v/>
      </c>
      <c r="N501" s="2" t="n"/>
      <c r="O501" s="3" t="n"/>
      <c r="P501" s="3" t="n"/>
    </row>
    <row r="502">
      <c r="A502" s="2" t="n">
        <v>501</v>
      </c>
      <c r="B502" s="2" t="inlineStr">
        <is>
          <t>KH002</t>
        </is>
      </c>
      <c r="C502" s="3" t="inlineStr">
        <is>
          <t>Nguyễn Hoàng Phú</t>
        </is>
      </c>
      <c r="D502" s="2" t="inlineStr">
        <is>
          <t>HCM</t>
        </is>
      </c>
      <c r="E502" s="2" t="inlineStr">
        <is>
          <t>BẢO TRÂM</t>
        </is>
      </c>
      <c r="F502" s="2" t="inlineStr">
        <is>
          <t>Shopee</t>
        </is>
      </c>
      <c r="G502" s="2" t="inlineStr">
        <is>
          <t>KYV40</t>
        </is>
      </c>
      <c r="H502" s="3" t="inlineStr">
        <is>
          <t>Ổ khóa KYV40</t>
        </is>
      </c>
      <c r="I502" s="4" t="n">
        <v>77000</v>
      </c>
      <c r="J502" s="4" t="n"/>
      <c r="K502" s="4">
        <f>IF(AND(ISNUMBER(J502),ISNUMBER(I502)),J502-I502,"")</f>
        <v/>
      </c>
      <c r="L502" s="5">
        <f>IF(AND(ISNUMBER(J502),ISNUMBER(I502),I502&gt;0),(J502-I502)/I502,"")</f>
        <v/>
      </c>
      <c r="M502" s="2">
        <f>IF(L502="","",IF(L502&lt;-0.05,"Bán phá giá",IF(L502&gt;0.05,"Bán cao hơn","Đúng giá niêm yết")))</f>
        <v/>
      </c>
      <c r="N502" s="2" t="n"/>
      <c r="O502" s="3" t="n"/>
      <c r="P502" s="3" t="n"/>
    </row>
    <row r="503">
      <c r="A503" s="2" t="n">
        <v>502</v>
      </c>
      <c r="B503" s="2" t="inlineStr">
        <is>
          <t>KH002</t>
        </is>
      </c>
      <c r="C503" s="3" t="inlineStr">
        <is>
          <t>Nguyễn Hoàng Phú</t>
        </is>
      </c>
      <c r="D503" s="2" t="inlineStr">
        <is>
          <t>HCM</t>
        </is>
      </c>
      <c r="E503" s="2" t="inlineStr">
        <is>
          <t>BẢO TRÂM</t>
        </is>
      </c>
      <c r="F503" s="2" t="inlineStr">
        <is>
          <t>Shopee</t>
        </is>
      </c>
      <c r="G503" s="2" t="inlineStr">
        <is>
          <t>KF-103</t>
        </is>
      </c>
      <c r="H503" s="3" t="inlineStr">
        <is>
          <t>Súng bắn ghim KF-103</t>
        </is>
      </c>
      <c r="I503" s="4" t="n">
        <v>179000</v>
      </c>
      <c r="J503" s="4" t="n"/>
      <c r="K503" s="4">
        <f>IF(AND(ISNUMBER(J503),ISNUMBER(I503)),J503-I503,"")</f>
        <v/>
      </c>
      <c r="L503" s="5">
        <f>IF(AND(ISNUMBER(J503),ISNUMBER(I503),I503&gt;0),(J503-I503)/I503,"")</f>
        <v/>
      </c>
      <c r="M503" s="2">
        <f>IF(L503="","",IF(L503&lt;-0.05,"Bán phá giá",IF(L503&gt;0.05,"Bán cao hơn","Đúng giá niêm yết")))</f>
        <v/>
      </c>
      <c r="N503" s="2" t="n"/>
      <c r="O503" s="3" t="n"/>
      <c r="P503" s="3" t="n"/>
    </row>
    <row r="504">
      <c r="A504" s="2" t="n">
        <v>503</v>
      </c>
      <c r="B504" s="2" t="inlineStr">
        <is>
          <t>KH002</t>
        </is>
      </c>
      <c r="C504" s="3" t="inlineStr">
        <is>
          <t>Nguyễn Hoàng Phú</t>
        </is>
      </c>
      <c r="D504" s="2" t="inlineStr">
        <is>
          <t>HCM</t>
        </is>
      </c>
      <c r="E504" s="2" t="inlineStr">
        <is>
          <t>BẢO TRÂM</t>
        </is>
      </c>
      <c r="F504" s="2" t="inlineStr">
        <is>
          <t>Shopee</t>
        </is>
      </c>
      <c r="G504" s="2" t="inlineStr">
        <is>
          <t>KAC100</t>
        </is>
      </c>
      <c r="H504" s="3" t="inlineStr">
        <is>
          <t>Súng bắn keo nến KAC100</t>
        </is>
      </c>
      <c r="I504" s="4" t="n">
        <v>169000</v>
      </c>
      <c r="J504" s="4" t="n"/>
      <c r="K504" s="4">
        <f>IF(AND(ISNUMBER(J504),ISNUMBER(I504)),J504-I504,"")</f>
        <v/>
      </c>
      <c r="L504" s="5">
        <f>IF(AND(ISNUMBER(J504),ISNUMBER(I504),I504&gt;0),(J504-I504)/I504,"")</f>
        <v/>
      </c>
      <c r="M504" s="2">
        <f>IF(L504="","",IF(L504&lt;-0.05,"Bán phá giá",IF(L504&gt;0.05,"Bán cao hơn","Đúng giá niêm yết")))</f>
        <v/>
      </c>
      <c r="N504" s="2" t="n"/>
      <c r="O504" s="3" t="n"/>
      <c r="P504" s="3" t="n"/>
    </row>
    <row r="505">
      <c r="A505" s="2" t="n">
        <v>504</v>
      </c>
      <c r="B505" s="2" t="inlineStr">
        <is>
          <t>KH002</t>
        </is>
      </c>
      <c r="C505" s="3" t="inlineStr">
        <is>
          <t>Nguyễn Hoàng Phú</t>
        </is>
      </c>
      <c r="D505" s="2" t="inlineStr">
        <is>
          <t>HCM</t>
        </is>
      </c>
      <c r="E505" s="2" t="inlineStr">
        <is>
          <t>BẢO TRÂM</t>
        </is>
      </c>
      <c r="F505" s="2" t="inlineStr">
        <is>
          <t>Shopee</t>
        </is>
      </c>
      <c r="G505" s="2" t="inlineStr">
        <is>
          <t>KAC20</t>
        </is>
      </c>
      <c r="H505" s="3" t="inlineStr">
        <is>
          <t>Súng bắn keo nến KAC20</t>
        </is>
      </c>
      <c r="I505" s="4" t="n">
        <v>109000</v>
      </c>
      <c r="J505" s="4" t="n"/>
      <c r="K505" s="4">
        <f>IF(AND(ISNUMBER(J505),ISNUMBER(I505)),J505-I505,"")</f>
        <v/>
      </c>
      <c r="L505" s="5">
        <f>IF(AND(ISNUMBER(J505),ISNUMBER(I505),I505&gt;0),(J505-I505)/I505,"")</f>
        <v/>
      </c>
      <c r="M505" s="2">
        <f>IF(L505="","",IF(L505&lt;-0.05,"Bán phá giá",IF(L505&gt;0.05,"Bán cao hơn","Đúng giá niêm yết")))</f>
        <v/>
      </c>
      <c r="N505" s="2" t="n"/>
      <c r="O505" s="3" t="n"/>
      <c r="P505" s="3" t="n"/>
    </row>
    <row r="506">
      <c r="A506" s="2" t="n">
        <v>505</v>
      </c>
      <c r="B506" s="2" t="inlineStr">
        <is>
          <t>KH002</t>
        </is>
      </c>
      <c r="C506" s="3" t="inlineStr">
        <is>
          <t>Nguyễn Hoàng Phú</t>
        </is>
      </c>
      <c r="D506" s="2" t="inlineStr">
        <is>
          <t>HCM</t>
        </is>
      </c>
      <c r="E506" s="2" t="inlineStr">
        <is>
          <t>BẢO TRÂM</t>
        </is>
      </c>
      <c r="F506" s="2" t="inlineStr">
        <is>
          <t>Shopee</t>
        </is>
      </c>
      <c r="G506" s="2" t="inlineStr">
        <is>
          <t>KBO-X0215</t>
        </is>
      </c>
      <c r="H506" s="3" t="inlineStr">
        <is>
          <t>Súng Xịt Hơi KBO-X0215</t>
        </is>
      </c>
      <c r="I506" s="4" t="n">
        <v>121000</v>
      </c>
      <c r="J506" s="4" t="n"/>
      <c r="K506" s="4">
        <f>IF(AND(ISNUMBER(J506),ISNUMBER(I506)),J506-I506,"")</f>
        <v/>
      </c>
      <c r="L506" s="5">
        <f>IF(AND(ISNUMBER(J506),ISNUMBER(I506),I506&gt;0),(J506-I506)/I506,"")</f>
        <v/>
      </c>
      <c r="M506" s="2">
        <f>IF(L506="","",IF(L506&lt;-0.05,"Bán phá giá",IF(L506&gt;0.05,"Bán cao hơn","Đúng giá niêm yết")))</f>
        <v/>
      </c>
      <c r="N506" s="2" t="n"/>
      <c r="O506" s="3" t="n"/>
      <c r="P506" s="3" t="n"/>
    </row>
    <row r="507">
      <c r="A507" s="2" t="n">
        <v>506</v>
      </c>
      <c r="B507" s="2" t="inlineStr">
        <is>
          <t>KH002</t>
        </is>
      </c>
      <c r="C507" s="3" t="inlineStr">
        <is>
          <t>Nguyễn Hoàng Phú</t>
        </is>
      </c>
      <c r="D507" s="2" t="inlineStr">
        <is>
          <t>HCM</t>
        </is>
      </c>
      <c r="E507" s="2" t="inlineStr">
        <is>
          <t>BẢO TRÂM</t>
        </is>
      </c>
      <c r="F507" s="2" t="inlineStr">
        <is>
          <t>Shopee</t>
        </is>
      </c>
      <c r="G507" s="2" t="inlineStr">
        <is>
          <t>KV3-6*150</t>
        </is>
      </c>
      <c r="H507" s="3" t="inlineStr">
        <is>
          <t>Tuốc nơ vít 2 đầu tịnh tiến KV3-6*150</t>
        </is>
      </c>
      <c r="I507" s="4" t="n">
        <v>66000</v>
      </c>
      <c r="J507" s="4" t="n"/>
      <c r="K507" s="4">
        <f>IF(AND(ISNUMBER(J507),ISNUMBER(I507)),J507-I507,"")</f>
        <v/>
      </c>
      <c r="L507" s="5">
        <f>IF(AND(ISNUMBER(J507),ISNUMBER(I507),I507&gt;0),(J507-I507)/I507,"")</f>
        <v/>
      </c>
      <c r="M507" s="2">
        <f>IF(L507="","",IF(L507&lt;-0.05,"Bán phá giá",IF(L507&gt;0.05,"Bán cao hơn","Đúng giá niêm yết")))</f>
        <v/>
      </c>
      <c r="N507" s="2" t="n"/>
      <c r="O507" s="3" t="n"/>
      <c r="P507" s="3" t="n"/>
    </row>
    <row r="508">
      <c r="A508" s="2" t="n">
        <v>507</v>
      </c>
      <c r="B508" s="2" t="inlineStr">
        <is>
          <t>KH002</t>
        </is>
      </c>
      <c r="C508" s="3" t="inlineStr">
        <is>
          <t>Nguyễn Hoàng Phú</t>
        </is>
      </c>
      <c r="D508" s="2" t="inlineStr">
        <is>
          <t>HCM</t>
        </is>
      </c>
      <c r="E508" s="2" t="inlineStr">
        <is>
          <t>BẢO TRÂM</t>
        </is>
      </c>
      <c r="F508" s="2" t="inlineStr">
        <is>
          <t>Shopee</t>
        </is>
      </c>
      <c r="G508" s="2" t="inlineStr">
        <is>
          <t>KV4-6*38</t>
        </is>
      </c>
      <c r="H508" s="3" t="inlineStr">
        <is>
          <t>Tuốc nơ vít tự động 3 chức năng S2 KV4-6*38</t>
        </is>
      </c>
      <c r="I508" s="4" t="n">
        <v>89000</v>
      </c>
      <c r="J508" s="4" t="n"/>
      <c r="K508" s="4">
        <f>IF(AND(ISNUMBER(J508),ISNUMBER(I508)),J508-I508,"")</f>
        <v/>
      </c>
      <c r="L508" s="5">
        <f>IF(AND(ISNUMBER(J508),ISNUMBER(I508),I508&gt;0),(J508-I508)/I508,"")</f>
        <v/>
      </c>
      <c r="M508" s="2">
        <f>IF(L508="","",IF(L508&lt;-0.05,"Bán phá giá",IF(L508&gt;0.05,"Bán cao hơn","Đúng giá niêm yết")))</f>
        <v/>
      </c>
      <c r="N508" s="2" t="n"/>
      <c r="O508" s="3" t="n"/>
      <c r="P508" s="3" t="n"/>
    </row>
    <row r="509">
      <c r="A509" s="2" t="n">
        <v>508</v>
      </c>
      <c r="B509" s="2" t="inlineStr">
        <is>
          <t>KH002</t>
        </is>
      </c>
      <c r="C509" s="3" t="inlineStr">
        <is>
          <t>Nguyễn Hoàng Phú</t>
        </is>
      </c>
      <c r="D509" s="2" t="inlineStr">
        <is>
          <t>HCM</t>
        </is>
      </c>
      <c r="E509" s="2" t="inlineStr">
        <is>
          <t>BẢO TRÂM</t>
        </is>
      </c>
      <c r="F509" s="2" t="inlineStr">
        <is>
          <t>Shopee</t>
        </is>
      </c>
      <c r="G509" s="2" t="inlineStr">
        <is>
          <t>MC-30.16</t>
        </is>
      </c>
      <c r="H509" s="3" t="inlineStr">
        <is>
          <t>Thước Cuộn MC-30.16</t>
        </is>
      </c>
      <c r="I509" s="4" t="n">
        <v>48000</v>
      </c>
      <c r="J509" s="4" t="n"/>
      <c r="K509" s="4">
        <f>IF(AND(ISNUMBER(J509),ISNUMBER(I509)),J509-I509,"")</f>
        <v/>
      </c>
      <c r="L509" s="5">
        <f>IF(AND(ISNUMBER(J509),ISNUMBER(I509),I509&gt;0),(J509-I509)/I509,"")</f>
        <v/>
      </c>
      <c r="M509" s="2">
        <f>IF(L509="","",IF(L509&lt;-0.05,"Bán phá giá",IF(L509&gt;0.05,"Bán cao hơn","Đúng giá niêm yết")))</f>
        <v/>
      </c>
      <c r="N509" s="2" t="n"/>
      <c r="O509" s="3" t="n"/>
      <c r="P509" s="3" t="n"/>
    </row>
    <row r="510">
      <c r="A510" s="2" t="n">
        <v>509</v>
      </c>
      <c r="B510" s="2" t="inlineStr">
        <is>
          <t>KH002</t>
        </is>
      </c>
      <c r="C510" s="3" t="inlineStr">
        <is>
          <t>Nguyễn Hoàng Phú</t>
        </is>
      </c>
      <c r="D510" s="2" t="inlineStr">
        <is>
          <t>HCM</t>
        </is>
      </c>
      <c r="E510" s="2" t="inlineStr">
        <is>
          <t>BẢO TRÂM</t>
        </is>
      </c>
      <c r="F510" s="2" t="inlineStr">
        <is>
          <t>Shopee</t>
        </is>
      </c>
      <c r="G510" s="2" t="inlineStr">
        <is>
          <t>MC-50.25</t>
        </is>
      </c>
      <c r="H510" s="3" t="inlineStr">
        <is>
          <t>Thước Cuộn MC-50.25</t>
        </is>
      </c>
      <c r="I510" s="4" t="n">
        <v>76000</v>
      </c>
      <c r="J510" s="4" t="n"/>
      <c r="K510" s="4">
        <f>IF(AND(ISNUMBER(J510),ISNUMBER(I510)),J510-I510,"")</f>
        <v/>
      </c>
      <c r="L510" s="5">
        <f>IF(AND(ISNUMBER(J510),ISNUMBER(I510),I510&gt;0),(J510-I510)/I510,"")</f>
        <v/>
      </c>
      <c r="M510" s="2">
        <f>IF(L510="","",IF(L510&lt;-0.05,"Bán phá giá",IF(L510&gt;0.05,"Bán cao hơn","Đúng giá niêm yết")))</f>
        <v/>
      </c>
      <c r="N510" s="2" t="n"/>
      <c r="O510" s="3" t="n"/>
      <c r="P510" s="3" t="n"/>
    </row>
    <row r="511">
      <c r="A511" s="2" t="n">
        <v>510</v>
      </c>
      <c r="B511" s="2" t="inlineStr">
        <is>
          <t>KH002</t>
        </is>
      </c>
      <c r="C511" s="3" t="inlineStr">
        <is>
          <t>Nguyễn Hoàng Phú</t>
        </is>
      </c>
      <c r="D511" s="2" t="inlineStr">
        <is>
          <t>HCM</t>
        </is>
      </c>
      <c r="E511" s="2" t="inlineStr">
        <is>
          <t>BẢO TRÂM</t>
        </is>
      </c>
      <c r="F511" s="2" t="inlineStr">
        <is>
          <t>Shopee</t>
        </is>
      </c>
      <c r="G511" s="2" t="inlineStr">
        <is>
          <t>MC-80.25</t>
        </is>
      </c>
      <c r="H511" s="3" t="inlineStr">
        <is>
          <t>Thước Cuộn MC-80.25</t>
        </is>
      </c>
      <c r="I511" s="4" t="n">
        <v>110000</v>
      </c>
      <c r="J511" s="4" t="n"/>
      <c r="K511" s="4">
        <f>IF(AND(ISNUMBER(J511),ISNUMBER(I511)),J511-I511,"")</f>
        <v/>
      </c>
      <c r="L511" s="5">
        <f>IF(AND(ISNUMBER(J511),ISNUMBER(I511),I511&gt;0),(J511-I511)/I511,"")</f>
        <v/>
      </c>
      <c r="M511" s="2">
        <f>IF(L511="","",IF(L511&lt;-0.05,"Bán phá giá",IF(L511&gt;0.05,"Bán cao hơn","Đúng giá niêm yết")))</f>
        <v/>
      </c>
      <c r="N511" s="2" t="n"/>
      <c r="O511" s="3" t="n"/>
      <c r="P511" s="3" t="n"/>
    </row>
    <row r="512">
      <c r="A512" s="2" t="n">
        <v>511</v>
      </c>
      <c r="B512" s="2" t="inlineStr">
        <is>
          <t>KH002</t>
        </is>
      </c>
      <c r="C512" s="3" t="inlineStr">
        <is>
          <t>Nguyễn Hoàng Phú</t>
        </is>
      </c>
      <c r="D512" s="2" t="inlineStr">
        <is>
          <t>HCM</t>
        </is>
      </c>
      <c r="E512" s="2" t="inlineStr">
        <is>
          <t>BẢO TRÂM</t>
        </is>
      </c>
      <c r="F512" s="2" t="inlineStr">
        <is>
          <t>Shopee</t>
        </is>
      </c>
      <c r="G512" s="2" t="inlineStr">
        <is>
          <t>LC-20.13</t>
        </is>
      </c>
      <c r="H512" s="3" t="inlineStr">
        <is>
          <t>Thước kéo LC-20.13</t>
        </is>
      </c>
      <c r="I512" s="4" t="n">
        <v>33000</v>
      </c>
      <c r="J512" s="4" t="n"/>
      <c r="K512" s="4">
        <f>IF(AND(ISNUMBER(J512),ISNUMBER(I512)),J512-I512,"")</f>
        <v/>
      </c>
      <c r="L512" s="5">
        <f>IF(AND(ISNUMBER(J512),ISNUMBER(I512),I512&gt;0),(J512-I512)/I512,"")</f>
        <v/>
      </c>
      <c r="M512" s="2">
        <f>IF(L512="","",IF(L512&lt;-0.05,"Bán phá giá",IF(L512&gt;0.05,"Bán cao hơn","Đúng giá niêm yết")))</f>
        <v/>
      </c>
      <c r="N512" s="2" t="n"/>
      <c r="O512" s="3" t="n"/>
      <c r="P512" s="3" t="n"/>
    </row>
    <row r="513">
      <c r="A513" s="2" t="n">
        <v>512</v>
      </c>
      <c r="B513" s="2" t="inlineStr">
        <is>
          <t>KH002</t>
        </is>
      </c>
      <c r="C513" s="3" t="inlineStr">
        <is>
          <t>Nguyễn Hoàng Phú</t>
        </is>
      </c>
      <c r="D513" s="2" t="inlineStr">
        <is>
          <t>HCM</t>
        </is>
      </c>
      <c r="E513" s="2" t="inlineStr">
        <is>
          <t>BẢO TRÂM</t>
        </is>
      </c>
      <c r="F513" s="2" t="inlineStr">
        <is>
          <t>Shopee</t>
        </is>
      </c>
      <c r="G513" s="2" t="inlineStr">
        <is>
          <t>TK-150</t>
        </is>
      </c>
      <c r="H513" s="3" t="inlineStr">
        <is>
          <t>Thước kẹp cơ TK-150</t>
        </is>
      </c>
      <c r="I513" s="4" t="n">
        <v>227000</v>
      </c>
      <c r="J513" s="4" t="n"/>
      <c r="K513" s="4">
        <f>IF(AND(ISNUMBER(J513),ISNUMBER(I513)),J513-I513,"")</f>
        <v/>
      </c>
      <c r="L513" s="5">
        <f>IF(AND(ISNUMBER(J513),ISNUMBER(I513),I513&gt;0),(J513-I513)/I513,"")</f>
        <v/>
      </c>
      <c r="M513" s="2">
        <f>IF(L513="","",IF(L513&lt;-0.05,"Bán phá giá",IF(L513&gt;0.05,"Bán cao hơn","Đúng giá niêm yết")))</f>
        <v/>
      </c>
      <c r="N513" s="2" t="n"/>
      <c r="O513" s="3" t="n"/>
      <c r="P513" s="3" t="n"/>
    </row>
    <row r="514">
      <c r="A514" s="2" t="n">
        <v>513</v>
      </c>
      <c r="B514" s="2" t="inlineStr">
        <is>
          <t>KH002</t>
        </is>
      </c>
      <c r="C514" s="3" t="inlineStr">
        <is>
          <t>Nguyễn Hoàng Phú</t>
        </is>
      </c>
      <c r="D514" s="2" t="inlineStr">
        <is>
          <t>HCM</t>
        </is>
      </c>
      <c r="E514" s="2" t="inlineStr">
        <is>
          <t>BẢO TRÂM</t>
        </is>
      </c>
      <c r="F514" s="2" t="inlineStr">
        <is>
          <t>Shopee</t>
        </is>
      </c>
      <c r="G514" s="2" t="inlineStr">
        <is>
          <t>KTT-25A</t>
        </is>
      </c>
      <c r="H514" s="3" t="inlineStr">
        <is>
          <t>Thước thủy KTT-25A</t>
        </is>
      </c>
      <c r="I514" s="4" t="n">
        <v>44000</v>
      </c>
      <c r="J514" s="4" t="n"/>
      <c r="K514" s="4">
        <f>IF(AND(ISNUMBER(J514),ISNUMBER(I514)),J514-I514,"")</f>
        <v/>
      </c>
      <c r="L514" s="5">
        <f>IF(AND(ISNUMBER(J514),ISNUMBER(I514),I514&gt;0),(J514-I514)/I514,"")</f>
        <v/>
      </c>
      <c r="M514" s="2">
        <f>IF(L514="","",IF(L514&lt;-0.05,"Bán phá giá",IF(L514&gt;0.05,"Bán cao hơn","Đúng giá niêm yết")))</f>
        <v/>
      </c>
      <c r="N514" s="2" t="n"/>
      <c r="O514" s="3" t="n"/>
      <c r="P514" s="3" t="n"/>
    </row>
    <row r="515">
      <c r="A515" s="2" t="n">
        <v>514</v>
      </c>
      <c r="B515" s="2" t="inlineStr">
        <is>
          <t>KH002</t>
        </is>
      </c>
      <c r="C515" s="3" t="inlineStr">
        <is>
          <t>Nguyễn Hoàng Phú</t>
        </is>
      </c>
      <c r="D515" s="2" t="inlineStr">
        <is>
          <t>HCM</t>
        </is>
      </c>
      <c r="E515" s="2" t="inlineStr">
        <is>
          <t>BẢO TRÂM</t>
        </is>
      </c>
      <c r="F515" s="2" t="inlineStr">
        <is>
          <t>Shopee</t>
        </is>
      </c>
      <c r="G515" s="2" t="inlineStr">
        <is>
          <t>KFJ-432</t>
        </is>
      </c>
      <c r="H515" s="3" t="inlineStr">
        <is>
          <t>Vít bê tông không dùng tắc kê KFJ-432</t>
        </is>
      </c>
      <c r="I515" s="4" t="n">
        <v>86000</v>
      </c>
      <c r="J515" s="4" t="n"/>
      <c r="K515" s="4">
        <f>IF(AND(ISNUMBER(J515),ISNUMBER(I515)),J515-I515,"")</f>
        <v/>
      </c>
      <c r="L515" s="5">
        <f>IF(AND(ISNUMBER(J515),ISNUMBER(I515),I515&gt;0),(J515-I515)/I515,"")</f>
        <v/>
      </c>
      <c r="M515" s="2">
        <f>IF(L515="","",IF(L515&lt;-0.05,"Bán phá giá",IF(L515&gt;0.05,"Bán cao hơn","Đúng giá niêm yết")))</f>
        <v/>
      </c>
      <c r="N515" s="2" t="n"/>
      <c r="O515" s="3" t="n"/>
      <c r="P515" s="3" t="n"/>
    </row>
    <row r="516">
      <c r="A516" s="2" t="n">
        <v>515</v>
      </c>
      <c r="B516" s="2" t="inlineStr">
        <is>
          <t>KH002</t>
        </is>
      </c>
      <c r="C516" s="3" t="inlineStr">
        <is>
          <t>Nguyễn Hoàng Phú</t>
        </is>
      </c>
      <c r="D516" s="2" t="inlineStr">
        <is>
          <t>HCM</t>
        </is>
      </c>
      <c r="E516" s="2" t="inlineStr">
        <is>
          <t>BẢO TRÂM</t>
        </is>
      </c>
      <c r="F516" s="2" t="inlineStr">
        <is>
          <t>Shopee</t>
        </is>
      </c>
      <c r="G516" s="2" t="inlineStr">
        <is>
          <t>KFJ-438</t>
        </is>
      </c>
      <c r="H516" s="3" t="inlineStr">
        <is>
          <t>Vít bê tông không dùng tắc kê KFJ-438</t>
        </is>
      </c>
      <c r="I516" s="4" t="n">
        <v>86000</v>
      </c>
      <c r="J516" s="4" t="n"/>
      <c r="K516" s="4">
        <f>IF(AND(ISNUMBER(J516),ISNUMBER(I516)),J516-I516,"")</f>
        <v/>
      </c>
      <c r="L516" s="5">
        <f>IF(AND(ISNUMBER(J516),ISNUMBER(I516),I516&gt;0),(J516-I516)/I516,"")</f>
        <v/>
      </c>
      <c r="M516" s="2">
        <f>IF(L516="","",IF(L516&lt;-0.05,"Bán phá giá",IF(L516&gt;0.05,"Bán cao hơn","Đúng giá niêm yết")))</f>
        <v/>
      </c>
      <c r="N516" s="2" t="n"/>
      <c r="O516" s="3" t="n"/>
      <c r="P516" s="3" t="n"/>
    </row>
    <row r="517">
      <c r="A517" s="2" t="n">
        <v>516</v>
      </c>
      <c r="B517" s="2" t="inlineStr">
        <is>
          <t>KH002</t>
        </is>
      </c>
      <c r="C517" s="3" t="inlineStr">
        <is>
          <t>Nguyễn Hoàng Phú</t>
        </is>
      </c>
      <c r="D517" s="2" t="inlineStr">
        <is>
          <t>HCM</t>
        </is>
      </c>
      <c r="E517" s="2" t="inlineStr">
        <is>
          <t>BẢO TRÂM</t>
        </is>
      </c>
      <c r="F517" s="2" t="inlineStr">
        <is>
          <t>Shopee</t>
        </is>
      </c>
      <c r="G517" s="2" t="inlineStr">
        <is>
          <t>KFJ-445</t>
        </is>
      </c>
      <c r="H517" s="3" t="inlineStr">
        <is>
          <t>Vít bê tông không dùng tắc kê KFJ-445</t>
        </is>
      </c>
      <c r="I517" s="4" t="n">
        <v>86000</v>
      </c>
      <c r="J517" s="4" t="n"/>
      <c r="K517" s="4">
        <f>IF(AND(ISNUMBER(J517),ISNUMBER(I517)),J517-I517,"")</f>
        <v/>
      </c>
      <c r="L517" s="5">
        <f>IF(AND(ISNUMBER(J517),ISNUMBER(I517),I517&gt;0),(J517-I517)/I517,"")</f>
        <v/>
      </c>
      <c r="M517" s="2">
        <f>IF(L517="","",IF(L517&lt;-0.05,"Bán phá giá",IF(L517&gt;0.05,"Bán cao hơn","Đúng giá niêm yết")))</f>
        <v/>
      </c>
      <c r="N517" s="2" t="n"/>
      <c r="O517" s="3" t="n"/>
      <c r="P517" s="3" t="n"/>
    </row>
    <row r="518">
      <c r="A518" s="2" t="n">
        <v>517</v>
      </c>
      <c r="B518" s="2" t="inlineStr">
        <is>
          <t>KH002</t>
        </is>
      </c>
      <c r="C518" s="3" t="inlineStr">
        <is>
          <t>Nguyễn Hoàng Phú</t>
        </is>
      </c>
      <c r="D518" s="2" t="inlineStr">
        <is>
          <t>HCM</t>
        </is>
      </c>
      <c r="E518" s="2" t="inlineStr">
        <is>
          <t>BẢO TRÂM</t>
        </is>
      </c>
      <c r="F518" s="2" t="inlineStr">
        <is>
          <t>Shopee</t>
        </is>
      </c>
      <c r="G518" s="2" t="inlineStr">
        <is>
          <t>KFJ-535</t>
        </is>
      </c>
      <c r="H518" s="3" t="inlineStr">
        <is>
          <t>Vít bê tông không dùng tắc kê KFJ-535</t>
        </is>
      </c>
      <c r="I518" s="4" t="n">
        <v>86000</v>
      </c>
      <c r="J518" s="4" t="n"/>
      <c r="K518" s="4">
        <f>IF(AND(ISNUMBER(J518),ISNUMBER(I518)),J518-I518,"")</f>
        <v/>
      </c>
      <c r="L518" s="5">
        <f>IF(AND(ISNUMBER(J518),ISNUMBER(I518),I518&gt;0),(J518-I518)/I518,"")</f>
        <v/>
      </c>
      <c r="M518" s="2">
        <f>IF(L518="","",IF(L518&lt;-0.05,"Bán phá giá",IF(L518&gt;0.05,"Bán cao hơn","Đúng giá niêm yết")))</f>
        <v/>
      </c>
      <c r="N518" s="2" t="n"/>
      <c r="O518" s="3" t="n"/>
      <c r="P518" s="3" t="n"/>
    </row>
    <row r="519">
      <c r="A519" s="2" t="n">
        <v>518</v>
      </c>
      <c r="B519" s="2" t="inlineStr">
        <is>
          <t>KH002</t>
        </is>
      </c>
      <c r="C519" s="3" t="inlineStr">
        <is>
          <t>Nguyễn Hoàng Phú</t>
        </is>
      </c>
      <c r="D519" s="2" t="inlineStr">
        <is>
          <t>HCM</t>
        </is>
      </c>
      <c r="E519" s="2" t="inlineStr">
        <is>
          <t>BẢO TRÂM</t>
        </is>
      </c>
      <c r="F519" s="2" t="inlineStr">
        <is>
          <t>Shopee</t>
        </is>
      </c>
      <c r="G519" s="2" t="inlineStr">
        <is>
          <t>KFJ-545</t>
        </is>
      </c>
      <c r="H519" s="3" t="inlineStr">
        <is>
          <t>Vít bê tông không dùng tắc kê KFJ-545</t>
        </is>
      </c>
      <c r="I519" s="4" t="n">
        <v>86000</v>
      </c>
      <c r="J519" s="4" t="n"/>
      <c r="K519" s="4">
        <f>IF(AND(ISNUMBER(J519),ISNUMBER(I519)),J519-I519,"")</f>
        <v/>
      </c>
      <c r="L519" s="5">
        <f>IF(AND(ISNUMBER(J519),ISNUMBER(I519),I519&gt;0),(J519-I519)/I519,"")</f>
        <v/>
      </c>
      <c r="M519" s="2">
        <f>IF(L519="","",IF(L519&lt;-0.05,"Bán phá giá",IF(L519&gt;0.05,"Bán cao hơn","Đúng giá niêm yết")))</f>
        <v/>
      </c>
      <c r="N519" s="2" t="n"/>
      <c r="O519" s="3" t="n"/>
      <c r="P519" s="3" t="n"/>
    </row>
    <row r="520">
      <c r="A520" s="2" t="n">
        <v>519</v>
      </c>
      <c r="B520" s="2" t="inlineStr">
        <is>
          <t>KH003</t>
        </is>
      </c>
      <c r="C520" s="3" t="inlineStr">
        <is>
          <t>CÔNG TY TNHH ĐỒ NGHỀ CẦM TAY PHƯƠNG MY</t>
        </is>
      </c>
      <c r="D520" s="2" t="inlineStr">
        <is>
          <t>HCM</t>
        </is>
      </c>
      <c r="E520" s="2" t="inlineStr">
        <is>
          <t>BẢO TRÂM</t>
        </is>
      </c>
      <c r="F520" s="2" t="inlineStr">
        <is>
          <t>Shopee</t>
        </is>
      </c>
      <c r="G520" s="2" t="inlineStr">
        <is>
          <t>K10000</t>
        </is>
      </c>
      <c r="H520" s="3" t="inlineStr">
        <is>
          <t>Bộ bơm lốp, kích bình đa năng K10000</t>
        </is>
      </c>
      <c r="I520" s="4" t="n">
        <v>1580000</v>
      </c>
      <c r="J520" s="4" t="n"/>
      <c r="K520" s="4">
        <f>IF(AND(ISNUMBER(J520),ISNUMBER(I520)),J520-I520,"")</f>
        <v/>
      </c>
      <c r="L520" s="5">
        <f>IF(AND(ISNUMBER(J520),ISNUMBER(I520),I520&gt;0),(J520-I520)/I520,"")</f>
        <v/>
      </c>
      <c r="M520" s="2">
        <f>IF(L520="","",IF(L520&lt;-0.05,"Bán phá giá",IF(L520&gt;0.05,"Bán cao hơn","Đúng giá niêm yết")))</f>
        <v/>
      </c>
      <c r="N520" s="2" t="n"/>
      <c r="O520" s="3" t="n"/>
      <c r="P520" s="3" t="n"/>
    </row>
    <row r="521">
      <c r="A521" s="2" t="n">
        <v>520</v>
      </c>
      <c r="B521" s="2" t="inlineStr">
        <is>
          <t>KH003</t>
        </is>
      </c>
      <c r="C521" s="3" t="inlineStr">
        <is>
          <t>CÔNG TY TNHH ĐỒ NGHỀ CẦM TAY PHƯƠNG MY</t>
        </is>
      </c>
      <c r="D521" s="2" t="inlineStr">
        <is>
          <t>HCM</t>
        </is>
      </c>
      <c r="E521" s="2" t="inlineStr">
        <is>
          <t>BẢO TRÂM</t>
        </is>
      </c>
      <c r="F521" s="2" t="inlineStr">
        <is>
          <t>Shopee</t>
        </is>
      </c>
      <c r="G521" s="2" t="inlineStr">
        <is>
          <t>K12000</t>
        </is>
      </c>
      <c r="H521" s="3" t="inlineStr">
        <is>
          <t>Bộ bơm lốp, kích bình đa năng K12000</t>
        </is>
      </c>
      <c r="I521" s="4" t="n"/>
      <c r="J521" s="4" t="n"/>
      <c r="K521" s="4">
        <f>IF(AND(ISNUMBER(J521),ISNUMBER(I521)),J521-I521,"")</f>
        <v/>
      </c>
      <c r="L521" s="5">
        <f>IF(AND(ISNUMBER(J521),ISNUMBER(I521),I521&gt;0),(J521-I521)/I521,"")</f>
        <v/>
      </c>
      <c r="M521" s="2">
        <f>IF(L521="","",IF(L521&lt;-0.05,"Bán phá giá",IF(L521&gt;0.05,"Bán cao hơn","Đúng giá niêm yết")))</f>
        <v/>
      </c>
      <c r="N521" s="2" t="n"/>
      <c r="O521" s="3" t="n"/>
      <c r="P521" s="3" t="n"/>
    </row>
    <row r="522">
      <c r="A522" s="2" t="n">
        <v>521</v>
      </c>
      <c r="B522" s="2" t="inlineStr">
        <is>
          <t>KH003</t>
        </is>
      </c>
      <c r="C522" s="3" t="inlineStr">
        <is>
          <t>CÔNG TY TNHH ĐỒ NGHỀ CẦM TAY PHƯƠNG MY</t>
        </is>
      </c>
      <c r="D522" s="2" t="inlineStr">
        <is>
          <t>HCM</t>
        </is>
      </c>
      <c r="E522" s="2" t="inlineStr">
        <is>
          <t>BẢO TRÂM</t>
        </is>
      </c>
      <c r="F522" s="2" t="inlineStr">
        <is>
          <t>Shopee</t>
        </is>
      </c>
      <c r="G522" s="2" t="inlineStr"/>
      <c r="H522" s="3" t="inlineStr">
        <is>
          <t>Bộ chuyển đổi chân pin KingBlue</t>
        </is>
      </c>
      <c r="I522" s="4" t="n">
        <v>220000</v>
      </c>
      <c r="J522" s="4" t="n"/>
      <c r="K522" s="4">
        <f>IF(AND(ISNUMBER(J522),ISNUMBER(I522)),J522-I522,"")</f>
        <v/>
      </c>
      <c r="L522" s="5">
        <f>IF(AND(ISNUMBER(J522),ISNUMBER(I522),I522&gt;0),(J522-I522)/I522,"")</f>
        <v/>
      </c>
      <c r="M522" s="2">
        <f>IF(L522="","",IF(L522&lt;-0.05,"Bán phá giá",IF(L522&gt;0.05,"Bán cao hơn","Đúng giá niêm yết")))</f>
        <v/>
      </c>
      <c r="N522" s="2" t="n"/>
      <c r="O522" s="3" t="n"/>
      <c r="P522" s="3" t="n"/>
    </row>
    <row r="523">
      <c r="A523" s="2" t="n">
        <v>522</v>
      </c>
      <c r="B523" s="2" t="inlineStr">
        <is>
          <t>KH003</t>
        </is>
      </c>
      <c r="C523" s="3" t="inlineStr">
        <is>
          <t>CÔNG TY TNHH ĐỒ NGHỀ CẦM TAY PHƯƠNG MY</t>
        </is>
      </c>
      <c r="D523" s="2" t="inlineStr">
        <is>
          <t>HCM</t>
        </is>
      </c>
      <c r="E523" s="2" t="inlineStr">
        <is>
          <t>BẢO TRÂM</t>
        </is>
      </c>
      <c r="F523" s="2" t="inlineStr">
        <is>
          <t>Shopee</t>
        </is>
      </c>
      <c r="G523" s="2" t="inlineStr">
        <is>
          <t>T9100E</t>
        </is>
      </c>
      <c r="H523" s="3" t="inlineStr">
        <is>
          <t>Bộ đầu hoa thị T9100E</t>
        </is>
      </c>
      <c r="I523" s="4" t="n">
        <v>116000</v>
      </c>
      <c r="J523" s="4" t="n"/>
      <c r="K523" s="4">
        <f>IF(AND(ISNUMBER(J523),ISNUMBER(I523)),J523-I523,"")</f>
        <v/>
      </c>
      <c r="L523" s="5">
        <f>IF(AND(ISNUMBER(J523),ISNUMBER(I523),I523&gt;0),(J523-I523)/I523,"")</f>
        <v/>
      </c>
      <c r="M523" s="2">
        <f>IF(L523="","",IF(L523&lt;-0.05,"Bán phá giá",IF(L523&gt;0.05,"Bán cao hơn","Đúng giá niêm yết")))</f>
        <v/>
      </c>
      <c r="N523" s="2" t="n"/>
      <c r="O523" s="3" t="n"/>
      <c r="P523" s="3" t="n"/>
    </row>
    <row r="524">
      <c r="A524" s="2" t="n">
        <v>523</v>
      </c>
      <c r="B524" s="2" t="inlineStr">
        <is>
          <t>KH003</t>
        </is>
      </c>
      <c r="C524" s="3" t="inlineStr">
        <is>
          <t>CÔNG TY TNHH ĐỒ NGHỀ CẦM TAY PHƯƠNG MY</t>
        </is>
      </c>
      <c r="D524" s="2" t="inlineStr">
        <is>
          <t>HCM</t>
        </is>
      </c>
      <c r="E524" s="2" t="inlineStr">
        <is>
          <t>BẢO TRÂM</t>
        </is>
      </c>
      <c r="F524" s="2" t="inlineStr">
        <is>
          <t>Shopee</t>
        </is>
      </c>
      <c r="G524" s="2" t="inlineStr">
        <is>
          <t>L8100E</t>
        </is>
      </c>
      <c r="H524" s="3" t="inlineStr">
        <is>
          <t>Bộ đầu lục giác L8100E</t>
        </is>
      </c>
      <c r="I524" s="4" t="n">
        <v>116000</v>
      </c>
      <c r="J524" s="4" t="n"/>
      <c r="K524" s="4">
        <f>IF(AND(ISNUMBER(J524),ISNUMBER(I524)),J524-I524,"")</f>
        <v/>
      </c>
      <c r="L524" s="5">
        <f>IF(AND(ISNUMBER(J524),ISNUMBER(I524),I524&gt;0),(J524-I524)/I524,"")</f>
        <v/>
      </c>
      <c r="M524" s="2">
        <f>IF(L524="","",IF(L524&lt;-0.05,"Bán phá giá",IF(L524&gt;0.05,"Bán cao hơn","Đúng giá niêm yết")))</f>
        <v/>
      </c>
      <c r="N524" s="2" t="n"/>
      <c r="O524" s="3" t="n"/>
      <c r="P524" s="3" t="n"/>
    </row>
    <row r="525">
      <c r="A525" s="2" t="n">
        <v>524</v>
      </c>
      <c r="B525" s="2" t="inlineStr">
        <is>
          <t>KH003</t>
        </is>
      </c>
      <c r="C525" s="3" t="inlineStr">
        <is>
          <t>CÔNG TY TNHH ĐỒ NGHỀ CẦM TAY PHƯƠNG MY</t>
        </is>
      </c>
      <c r="D525" s="2" t="inlineStr">
        <is>
          <t>HCM</t>
        </is>
      </c>
      <c r="E525" s="2" t="inlineStr">
        <is>
          <t>BẢO TRÂM</t>
        </is>
      </c>
      <c r="F525" s="2" t="inlineStr">
        <is>
          <t>Shopee</t>
        </is>
      </c>
      <c r="G525" s="2" t="inlineStr">
        <is>
          <t>KBYT6</t>
        </is>
      </c>
      <c r="H525" s="3" t="inlineStr">
        <is>
          <t>Bộ lấy ốc gãy KingBlue KBYT6</t>
        </is>
      </c>
      <c r="I525" s="4" t="n">
        <v>86000</v>
      </c>
      <c r="J525" s="4" t="n"/>
      <c r="K525" s="4">
        <f>IF(AND(ISNUMBER(J525),ISNUMBER(I525)),J525-I525,"")</f>
        <v/>
      </c>
      <c r="L525" s="5">
        <f>IF(AND(ISNUMBER(J525),ISNUMBER(I525),I525&gt;0),(J525-I525)/I525,"")</f>
        <v/>
      </c>
      <c r="M525" s="2">
        <f>IF(L525="","",IF(L525&lt;-0.05,"Bán phá giá",IF(L525&gt;0.05,"Bán cao hơn","Đúng giá niêm yết")))</f>
        <v/>
      </c>
      <c r="N525" s="2" t="n"/>
      <c r="O525" s="3" t="n"/>
      <c r="P525" s="3" t="n"/>
    </row>
    <row r="526">
      <c r="A526" s="2" t="n">
        <v>525</v>
      </c>
      <c r="B526" s="2" t="inlineStr">
        <is>
          <t>KH003</t>
        </is>
      </c>
      <c r="C526" s="3" t="inlineStr">
        <is>
          <t>CÔNG TY TNHH ĐỒ NGHỀ CẦM TAY PHƯƠNG MY</t>
        </is>
      </c>
      <c r="D526" s="2" t="inlineStr">
        <is>
          <t>HCM</t>
        </is>
      </c>
      <c r="E526" s="2" t="inlineStr">
        <is>
          <t>BẢO TRÂM</t>
        </is>
      </c>
      <c r="F526" s="2" t="inlineStr">
        <is>
          <t>Shopee</t>
        </is>
      </c>
      <c r="G526" s="2" t="inlineStr">
        <is>
          <t>KL018</t>
        </is>
      </c>
      <c r="H526" s="3" t="inlineStr">
        <is>
          <t>Bộ lục giác KL018</t>
        </is>
      </c>
      <c r="I526" s="4" t="n">
        <v>433000</v>
      </c>
      <c r="J526" s="4" t="n"/>
      <c r="K526" s="4">
        <f>IF(AND(ISNUMBER(J526),ISNUMBER(I526)),J526-I526,"")</f>
        <v/>
      </c>
      <c r="L526" s="5">
        <f>IF(AND(ISNUMBER(J526),ISNUMBER(I526),I526&gt;0),(J526-I526)/I526,"")</f>
        <v/>
      </c>
      <c r="M526" s="2">
        <f>IF(L526="","",IF(L526&lt;-0.05,"Bán phá giá",IF(L526&gt;0.05,"Bán cao hơn","Đúng giá niêm yết")))</f>
        <v/>
      </c>
      <c r="N526" s="2" t="n"/>
      <c r="O526" s="3" t="n"/>
      <c r="P526" s="3" t="n"/>
    </row>
    <row r="527">
      <c r="A527" s="2" t="n">
        <v>526</v>
      </c>
      <c r="B527" s="2" t="inlineStr">
        <is>
          <t>KH003</t>
        </is>
      </c>
      <c r="C527" s="3" t="inlineStr">
        <is>
          <t>CÔNG TY TNHH ĐỒ NGHỀ CẦM TAY PHƯƠNG MY</t>
        </is>
      </c>
      <c r="D527" s="2" t="inlineStr">
        <is>
          <t>HCM</t>
        </is>
      </c>
      <c r="E527" s="2" t="inlineStr">
        <is>
          <t>BẢO TRÂM</t>
        </is>
      </c>
      <c r="F527" s="2" t="inlineStr">
        <is>
          <t>Shopee</t>
        </is>
      </c>
      <c r="G527" s="2" t="inlineStr">
        <is>
          <t>KL5-09</t>
        </is>
      </c>
      <c r="H527" s="3" t="inlineStr">
        <is>
          <t>Bộ lục giác KL5-09 ( đầu bi)</t>
        </is>
      </c>
      <c r="I527" s="4" t="n">
        <v>132000</v>
      </c>
      <c r="J527" s="4" t="n"/>
      <c r="K527" s="4">
        <f>IF(AND(ISNUMBER(J527),ISNUMBER(I527)),J527-I527,"")</f>
        <v/>
      </c>
      <c r="L527" s="5">
        <f>IF(AND(ISNUMBER(J527),ISNUMBER(I527),I527&gt;0),(J527-I527)/I527,"")</f>
        <v/>
      </c>
      <c r="M527" s="2">
        <f>IF(L527="","",IF(L527&lt;-0.05,"Bán phá giá",IF(L527&gt;0.05,"Bán cao hơn","Đúng giá niêm yết")))</f>
        <v/>
      </c>
      <c r="N527" s="2" t="n"/>
      <c r="O527" s="3" t="n"/>
      <c r="P527" s="3" t="n"/>
    </row>
    <row r="528">
      <c r="A528" s="2" t="n">
        <v>527</v>
      </c>
      <c r="B528" s="2" t="inlineStr">
        <is>
          <t>KH003</t>
        </is>
      </c>
      <c r="C528" s="3" t="inlineStr">
        <is>
          <t>CÔNG TY TNHH ĐỒ NGHỀ CẦM TAY PHƯƠNG MY</t>
        </is>
      </c>
      <c r="D528" s="2" t="inlineStr">
        <is>
          <t>HCM</t>
        </is>
      </c>
      <c r="E528" s="2" t="inlineStr">
        <is>
          <t>BẢO TRÂM</t>
        </is>
      </c>
      <c r="F528" s="2" t="inlineStr">
        <is>
          <t>Shopee</t>
        </is>
      </c>
      <c r="G528" s="2" t="inlineStr">
        <is>
          <t>KL7-09</t>
        </is>
      </c>
      <c r="H528" s="3" t="inlineStr">
        <is>
          <t>Bộ lục giác KL7-09 ( đầu bi)</t>
        </is>
      </c>
      <c r="I528" s="4" t="n">
        <v>270000</v>
      </c>
      <c r="J528" s="4" t="n"/>
      <c r="K528" s="4">
        <f>IF(AND(ISNUMBER(J528),ISNUMBER(I528)),J528-I528,"")</f>
        <v/>
      </c>
      <c r="L528" s="5">
        <f>IF(AND(ISNUMBER(J528),ISNUMBER(I528),I528&gt;0),(J528-I528)/I528,"")</f>
        <v/>
      </c>
      <c r="M528" s="2">
        <f>IF(L528="","",IF(L528&lt;-0.05,"Bán phá giá",IF(L528&gt;0.05,"Bán cao hơn","Đúng giá niêm yết")))</f>
        <v/>
      </c>
      <c r="N528" s="2" t="n"/>
      <c r="O528" s="3" t="n"/>
      <c r="P528" s="3" t="n"/>
    </row>
    <row r="529">
      <c r="A529" s="2" t="n">
        <v>528</v>
      </c>
      <c r="B529" s="2" t="inlineStr">
        <is>
          <t>KH003</t>
        </is>
      </c>
      <c r="C529" s="3" t="inlineStr">
        <is>
          <t>CÔNG TY TNHH ĐỒ NGHỀ CẦM TAY PHƯƠNG MY</t>
        </is>
      </c>
      <c r="D529" s="2" t="inlineStr">
        <is>
          <t>HCM</t>
        </is>
      </c>
      <c r="E529" s="2" t="inlineStr">
        <is>
          <t>BẢO TRÂM</t>
        </is>
      </c>
      <c r="F529" s="2" t="inlineStr">
        <is>
          <t>Shopee</t>
        </is>
      </c>
      <c r="G529" s="2" t="inlineStr">
        <is>
          <t>KL9-09</t>
        </is>
      </c>
      <c r="H529" s="3" t="inlineStr">
        <is>
          <t>Bộ lục giác KL9-09 (đầu hoa thị)</t>
        </is>
      </c>
      <c r="I529" s="4" t="n">
        <v>275000</v>
      </c>
      <c r="J529" s="4" t="n"/>
      <c r="K529" s="4">
        <f>IF(AND(ISNUMBER(J529),ISNUMBER(I529)),J529-I529,"")</f>
        <v/>
      </c>
      <c r="L529" s="5">
        <f>IF(AND(ISNUMBER(J529),ISNUMBER(I529),I529&gt;0),(J529-I529)/I529,"")</f>
        <v/>
      </c>
      <c r="M529" s="2">
        <f>IF(L529="","",IF(L529&lt;-0.05,"Bán phá giá",IF(L529&gt;0.05,"Bán cao hơn","Đúng giá niêm yết")))</f>
        <v/>
      </c>
      <c r="N529" s="2" t="n"/>
      <c r="O529" s="3" t="n"/>
      <c r="P529" s="3" t="n"/>
    </row>
    <row r="530">
      <c r="A530" s="2" t="n">
        <v>529</v>
      </c>
      <c r="B530" s="2" t="inlineStr">
        <is>
          <t>KH003</t>
        </is>
      </c>
      <c r="C530" s="3" t="inlineStr">
        <is>
          <t>CÔNG TY TNHH ĐỒ NGHỀ CẦM TAY PHƯƠNG MY</t>
        </is>
      </c>
      <c r="D530" s="2" t="inlineStr">
        <is>
          <t>HCM</t>
        </is>
      </c>
      <c r="E530" s="2" t="inlineStr">
        <is>
          <t>BẢO TRÂM</t>
        </is>
      </c>
      <c r="F530" s="2" t="inlineStr">
        <is>
          <t>Shopee</t>
        </is>
      </c>
      <c r="G530" s="2" t="inlineStr">
        <is>
          <t>KV10-13</t>
        </is>
      </c>
      <c r="H530" s="3" t="inlineStr">
        <is>
          <t>Bộ tuvit đóng KV10-13</t>
        </is>
      </c>
      <c r="I530" s="4" t="n">
        <v>275000</v>
      </c>
      <c r="J530" s="4" t="n"/>
      <c r="K530" s="4">
        <f>IF(AND(ISNUMBER(J530),ISNUMBER(I530)),J530-I530,"")</f>
        <v/>
      </c>
      <c r="L530" s="5">
        <f>IF(AND(ISNUMBER(J530),ISNUMBER(I530),I530&gt;0),(J530-I530)/I530,"")</f>
        <v/>
      </c>
      <c r="M530" s="2">
        <f>IF(L530="","",IF(L530&lt;-0.05,"Bán phá giá",IF(L530&gt;0.05,"Bán cao hơn","Đúng giá niêm yết")))</f>
        <v/>
      </c>
      <c r="N530" s="2" t="n"/>
      <c r="O530" s="3" t="n"/>
      <c r="P530" s="3" t="n"/>
    </row>
    <row r="531">
      <c r="A531" s="2" t="n">
        <v>530</v>
      </c>
      <c r="B531" s="2" t="inlineStr">
        <is>
          <t>KH003</t>
        </is>
      </c>
      <c r="C531" s="3" t="inlineStr">
        <is>
          <t>CÔNG TY TNHH ĐỒ NGHỀ CẦM TAY PHƯƠNG MY</t>
        </is>
      </c>
      <c r="D531" s="2" t="inlineStr">
        <is>
          <t>HCM</t>
        </is>
      </c>
      <c r="E531" s="2" t="inlineStr">
        <is>
          <t>BẢO TRÂM</t>
        </is>
      </c>
      <c r="F531" s="2" t="inlineStr">
        <is>
          <t>Shopee</t>
        </is>
      </c>
      <c r="G531" s="2" t="inlineStr">
        <is>
          <t>KB-ST18</t>
        </is>
      </c>
      <c r="H531" s="3" t="inlineStr">
        <is>
          <t>Công cụ đóng đinh bán tự động KB-ST18</t>
        </is>
      </c>
      <c r="I531" s="4" t="n">
        <v>303000</v>
      </c>
      <c r="J531" s="4" t="n"/>
      <c r="K531" s="4">
        <f>IF(AND(ISNUMBER(J531),ISNUMBER(I531)),J531-I531,"")</f>
        <v/>
      </c>
      <c r="L531" s="5">
        <f>IF(AND(ISNUMBER(J531),ISNUMBER(I531),I531&gt;0),(J531-I531)/I531,"")</f>
        <v/>
      </c>
      <c r="M531" s="2">
        <f>IF(L531="","",IF(L531&lt;-0.05,"Bán phá giá",IF(L531&gt;0.05,"Bán cao hơn","Đúng giá niêm yết")))</f>
        <v/>
      </c>
      <c r="N531" s="2" t="n"/>
      <c r="O531" s="3" t="n"/>
      <c r="P531" s="3" t="n"/>
    </row>
    <row r="532">
      <c r="A532" s="2" t="n">
        <v>531</v>
      </c>
      <c r="B532" s="2" t="inlineStr">
        <is>
          <t>KH003</t>
        </is>
      </c>
      <c r="C532" s="3" t="inlineStr">
        <is>
          <t>CÔNG TY TNHH ĐỒ NGHỀ CẦM TAY PHƯƠNG MY</t>
        </is>
      </c>
      <c r="D532" s="2" t="inlineStr">
        <is>
          <t>HCM</t>
        </is>
      </c>
      <c r="E532" s="2" t="inlineStr">
        <is>
          <t>BẢO TRÂM</t>
        </is>
      </c>
      <c r="F532" s="2" t="inlineStr">
        <is>
          <t>Shopee</t>
        </is>
      </c>
      <c r="G532" s="2" t="inlineStr">
        <is>
          <t>ES180i</t>
        </is>
      </c>
      <c r="H532" s="3" t="inlineStr">
        <is>
          <t>Cưa gấp KingBlue ES180i</t>
        </is>
      </c>
      <c r="I532" s="4" t="n">
        <v>132000</v>
      </c>
      <c r="J532" s="4" t="n"/>
      <c r="K532" s="4">
        <f>IF(AND(ISNUMBER(J532),ISNUMBER(I532)),J532-I532,"")</f>
        <v/>
      </c>
      <c r="L532" s="5">
        <f>IF(AND(ISNUMBER(J532),ISNUMBER(I532),I532&gt;0),(J532-I532)/I532,"")</f>
        <v/>
      </c>
      <c r="M532" s="2">
        <f>IF(L532="","",IF(L532&lt;-0.05,"Bán phá giá",IF(L532&gt;0.05,"Bán cao hơn","Đúng giá niêm yết")))</f>
        <v/>
      </c>
      <c r="N532" s="2" t="n"/>
      <c r="O532" s="3" t="n"/>
      <c r="P532" s="3" t="n"/>
    </row>
    <row r="533">
      <c r="A533" s="2" t="n">
        <v>532</v>
      </c>
      <c r="B533" s="2" t="inlineStr">
        <is>
          <t>KH003</t>
        </is>
      </c>
      <c r="C533" s="3" t="inlineStr">
        <is>
          <t>CÔNG TY TNHH ĐỒ NGHỀ CẦM TAY PHƯƠNG MY</t>
        </is>
      </c>
      <c r="D533" s="2" t="inlineStr">
        <is>
          <t>HCM</t>
        </is>
      </c>
      <c r="E533" s="2" t="inlineStr">
        <is>
          <t>BẢO TRÂM</t>
        </is>
      </c>
      <c r="F533" s="2" t="inlineStr">
        <is>
          <t>Shopee</t>
        </is>
      </c>
      <c r="G533" s="2" t="inlineStr">
        <is>
          <t>ES250</t>
        </is>
      </c>
      <c r="H533" s="3" t="inlineStr">
        <is>
          <t>Cưa gấp KingBlue ES250</t>
        </is>
      </c>
      <c r="I533" s="4" t="n">
        <v>176000</v>
      </c>
      <c r="J533" s="4" t="n"/>
      <c r="K533" s="4">
        <f>IF(AND(ISNUMBER(J533),ISNUMBER(I533)),J533-I533,"")</f>
        <v/>
      </c>
      <c r="L533" s="5">
        <f>IF(AND(ISNUMBER(J533),ISNUMBER(I533),I533&gt;0),(J533-I533)/I533,"")</f>
        <v/>
      </c>
      <c r="M533" s="2">
        <f>IF(L533="","",IF(L533&lt;-0.05,"Bán phá giá",IF(L533&gt;0.05,"Bán cao hơn","Đúng giá niêm yết")))</f>
        <v/>
      </c>
      <c r="N533" s="2" t="n"/>
      <c r="O533" s="3" t="n"/>
      <c r="P533" s="3" t="n"/>
    </row>
    <row r="534">
      <c r="A534" s="2" t="n">
        <v>533</v>
      </c>
      <c r="B534" s="2" t="inlineStr">
        <is>
          <t>KH003</t>
        </is>
      </c>
      <c r="C534" s="3" t="inlineStr">
        <is>
          <t>CÔNG TY TNHH ĐỒ NGHỀ CẦM TAY PHƯƠNG MY</t>
        </is>
      </c>
      <c r="D534" s="2" t="inlineStr">
        <is>
          <t>HCM</t>
        </is>
      </c>
      <c r="E534" s="2" t="inlineStr">
        <is>
          <t>BẢO TRÂM</t>
        </is>
      </c>
      <c r="F534" s="2" t="inlineStr">
        <is>
          <t>Shopee</t>
        </is>
      </c>
      <c r="G534" s="2" t="inlineStr">
        <is>
          <t>KB-E350</t>
        </is>
      </c>
      <c r="H534" s="3" t="inlineStr">
        <is>
          <t>Cưa KingBlue KB-E350</t>
        </is>
      </c>
      <c r="I534" s="4" t="n">
        <v>273000</v>
      </c>
      <c r="J534" s="4" t="n"/>
      <c r="K534" s="4">
        <f>IF(AND(ISNUMBER(J534),ISNUMBER(I534)),J534-I534,"")</f>
        <v/>
      </c>
      <c r="L534" s="5">
        <f>IF(AND(ISNUMBER(J534),ISNUMBER(I534),I534&gt;0),(J534-I534)/I534,"")</f>
        <v/>
      </c>
      <c r="M534" s="2">
        <f>IF(L534="","",IF(L534&lt;-0.05,"Bán phá giá",IF(L534&gt;0.05,"Bán cao hơn","Đúng giá niêm yết")))</f>
        <v/>
      </c>
      <c r="N534" s="2" t="n"/>
      <c r="O534" s="3" t="n"/>
      <c r="P534" s="3" t="n"/>
    </row>
    <row r="535">
      <c r="A535" s="2" t="n">
        <v>534</v>
      </c>
      <c r="B535" s="2" t="inlineStr">
        <is>
          <t>KH003</t>
        </is>
      </c>
      <c r="C535" s="3" t="inlineStr">
        <is>
          <t>CÔNG TY TNHH ĐỒ NGHỀ CẦM TAY PHƯƠNG MY</t>
        </is>
      </c>
      <c r="D535" s="2" t="inlineStr">
        <is>
          <t>HCM</t>
        </is>
      </c>
      <c r="E535" s="2" t="inlineStr">
        <is>
          <t>BẢO TRÂM</t>
        </is>
      </c>
      <c r="F535" s="2" t="inlineStr">
        <is>
          <t>Shopee</t>
        </is>
      </c>
      <c r="G535" s="2" t="inlineStr">
        <is>
          <t>KJC300</t>
        </is>
      </c>
      <c r="H535" s="3" t="inlineStr">
        <is>
          <t>Cưa tay KJC300</t>
        </is>
      </c>
      <c r="I535" s="4" t="n">
        <v>97000</v>
      </c>
      <c r="J535" s="4" t="n"/>
      <c r="K535" s="4">
        <f>IF(AND(ISNUMBER(J535),ISNUMBER(I535)),J535-I535,"")</f>
        <v/>
      </c>
      <c r="L535" s="5">
        <f>IF(AND(ISNUMBER(J535),ISNUMBER(I535),I535&gt;0),(J535-I535)/I535,"")</f>
        <v/>
      </c>
      <c r="M535" s="2">
        <f>IF(L535="","",IF(L535&lt;-0.05,"Bán phá giá",IF(L535&gt;0.05,"Bán cao hơn","Đúng giá niêm yết")))</f>
        <v/>
      </c>
      <c r="N535" s="2" t="n"/>
      <c r="O535" s="3" t="n"/>
      <c r="P535" s="3" t="n"/>
    </row>
    <row r="536">
      <c r="A536" s="2" t="n">
        <v>535</v>
      </c>
      <c r="B536" s="2" t="inlineStr">
        <is>
          <t>KH003</t>
        </is>
      </c>
      <c r="C536" s="3" t="inlineStr">
        <is>
          <t>CÔNG TY TNHH ĐỒ NGHỀ CẦM TAY PHƯƠNG MY</t>
        </is>
      </c>
      <c r="D536" s="2" t="inlineStr">
        <is>
          <t>HCM</t>
        </is>
      </c>
      <c r="E536" s="2" t="inlineStr">
        <is>
          <t>BẢO TRÂM</t>
        </is>
      </c>
      <c r="F536" s="2" t="inlineStr">
        <is>
          <t>Shopee</t>
        </is>
      </c>
      <c r="G536" s="2" t="inlineStr">
        <is>
          <t>KPG-032</t>
        </is>
      </c>
      <c r="H536" s="3" t="inlineStr">
        <is>
          <t>Dao cắt ống kim loại KPG-032</t>
        </is>
      </c>
      <c r="I536" s="4" t="n">
        <v>303000</v>
      </c>
      <c r="J536" s="4" t="n"/>
      <c r="K536" s="4">
        <f>IF(AND(ISNUMBER(J536),ISNUMBER(I536)),J536-I536,"")</f>
        <v/>
      </c>
      <c r="L536" s="5">
        <f>IF(AND(ISNUMBER(J536),ISNUMBER(I536),I536&gt;0),(J536-I536)/I536,"")</f>
        <v/>
      </c>
      <c r="M536" s="2">
        <f>IF(L536="","",IF(L536&lt;-0.05,"Bán phá giá",IF(L536&gt;0.05,"Bán cao hơn","Đúng giá niêm yết")))</f>
        <v/>
      </c>
      <c r="N536" s="2" t="n"/>
      <c r="O536" s="3" t="n"/>
      <c r="P536" s="3" t="n"/>
    </row>
    <row r="537">
      <c r="A537" s="2" t="n">
        <v>536</v>
      </c>
      <c r="B537" s="2" t="inlineStr">
        <is>
          <t>KH003</t>
        </is>
      </c>
      <c r="C537" s="3" t="inlineStr">
        <is>
          <t>CÔNG TY TNHH ĐỒ NGHỀ CẦM TAY PHƯƠNG MY</t>
        </is>
      </c>
      <c r="D537" s="2" t="inlineStr">
        <is>
          <t>HCM</t>
        </is>
      </c>
      <c r="E537" s="2" t="inlineStr">
        <is>
          <t>BẢO TRÂM</t>
        </is>
      </c>
      <c r="F537" s="2" t="inlineStr">
        <is>
          <t>Shopee</t>
        </is>
      </c>
      <c r="G537" s="2" t="inlineStr">
        <is>
          <t>KJH-05</t>
        </is>
      </c>
      <c r="H537" s="3" t="inlineStr">
        <is>
          <t>Dao rọc cáp đa năng KJH-05</t>
        </is>
      </c>
      <c r="I537" s="4" t="n">
        <v>161000</v>
      </c>
      <c r="J537" s="4" t="n"/>
      <c r="K537" s="4">
        <f>IF(AND(ISNUMBER(J537),ISNUMBER(I537)),J537-I537,"")</f>
        <v/>
      </c>
      <c r="L537" s="5">
        <f>IF(AND(ISNUMBER(J537),ISNUMBER(I537),I537&gt;0),(J537-I537)/I537,"")</f>
        <v/>
      </c>
      <c r="M537" s="2">
        <f>IF(L537="","",IF(L537&lt;-0.05,"Bán phá giá",IF(L537&gt;0.05,"Bán cao hơn","Đúng giá niêm yết")))</f>
        <v/>
      </c>
      <c r="N537" s="2" t="n"/>
      <c r="O537" s="3" t="n"/>
      <c r="P537" s="3" t="n"/>
    </row>
    <row r="538">
      <c r="A538" s="2" t="n">
        <v>537</v>
      </c>
      <c r="B538" s="2" t="inlineStr">
        <is>
          <t>KH003</t>
        </is>
      </c>
      <c r="C538" s="3" t="inlineStr">
        <is>
          <t>CÔNG TY TNHH ĐỒ NGHỀ CẦM TAY PHƯƠNG MY</t>
        </is>
      </c>
      <c r="D538" s="2" t="inlineStr">
        <is>
          <t>HCM</t>
        </is>
      </c>
      <c r="E538" s="2" t="inlineStr">
        <is>
          <t>BẢO TRÂM</t>
        </is>
      </c>
      <c r="F538" s="2" t="inlineStr">
        <is>
          <t>Shopee</t>
        </is>
      </c>
      <c r="G538" s="2" t="inlineStr">
        <is>
          <t>KJH-06</t>
        </is>
      </c>
      <c r="H538" s="3" t="inlineStr">
        <is>
          <t>Dao rọc cáp đa năng KJH-06</t>
        </is>
      </c>
      <c r="I538" s="4" t="n">
        <v>196000</v>
      </c>
      <c r="J538" s="4" t="n"/>
      <c r="K538" s="4">
        <f>IF(AND(ISNUMBER(J538),ISNUMBER(I538)),J538-I538,"")</f>
        <v/>
      </c>
      <c r="L538" s="5">
        <f>IF(AND(ISNUMBER(J538),ISNUMBER(I538),I538&gt;0),(J538-I538)/I538,"")</f>
        <v/>
      </c>
      <c r="M538" s="2">
        <f>IF(L538="","",IF(L538&lt;-0.05,"Bán phá giá",IF(L538&gt;0.05,"Bán cao hơn","Đúng giá niêm yết")))</f>
        <v/>
      </c>
      <c r="N538" s="2" t="n"/>
      <c r="O538" s="3" t="n"/>
      <c r="P538" s="3" t="n"/>
    </row>
    <row r="539">
      <c r="A539" s="2" t="n">
        <v>538</v>
      </c>
      <c r="B539" s="2" t="inlineStr">
        <is>
          <t>KH003</t>
        </is>
      </c>
      <c r="C539" s="3" t="inlineStr">
        <is>
          <t>CÔNG TY TNHH ĐỒ NGHỀ CẦM TAY PHƯƠNG MY</t>
        </is>
      </c>
      <c r="D539" s="2" t="inlineStr">
        <is>
          <t>HCM</t>
        </is>
      </c>
      <c r="E539" s="2" t="inlineStr">
        <is>
          <t>BẢO TRÂM</t>
        </is>
      </c>
      <c r="F539" s="2" t="inlineStr">
        <is>
          <t>Shopee</t>
        </is>
      </c>
      <c r="G539" s="2" t="inlineStr">
        <is>
          <t>KJH-01</t>
        </is>
      </c>
      <c r="H539" s="3" t="inlineStr">
        <is>
          <t>Dao rọc giấy KJH-01</t>
        </is>
      </c>
      <c r="I539" s="4" t="n">
        <v>30000</v>
      </c>
      <c r="J539" s="4" t="n"/>
      <c r="K539" s="4">
        <f>IF(AND(ISNUMBER(J539),ISNUMBER(I539)),J539-I539,"")</f>
        <v/>
      </c>
      <c r="L539" s="5">
        <f>IF(AND(ISNUMBER(J539),ISNUMBER(I539),I539&gt;0),(J539-I539)/I539,"")</f>
        <v/>
      </c>
      <c r="M539" s="2">
        <f>IF(L539="","",IF(L539&lt;-0.05,"Bán phá giá",IF(L539&gt;0.05,"Bán cao hơn","Đúng giá niêm yết")))</f>
        <v/>
      </c>
      <c r="N539" s="2" t="n"/>
      <c r="O539" s="3" t="n"/>
      <c r="P539" s="3" t="n"/>
    </row>
    <row r="540">
      <c r="A540" s="2" t="n">
        <v>539</v>
      </c>
      <c r="B540" s="2" t="inlineStr">
        <is>
          <t>KH003</t>
        </is>
      </c>
      <c r="C540" s="3" t="inlineStr">
        <is>
          <t>CÔNG TY TNHH ĐỒ NGHỀ CẦM TAY PHƯƠNG MY</t>
        </is>
      </c>
      <c r="D540" s="2" t="inlineStr">
        <is>
          <t>HCM</t>
        </is>
      </c>
      <c r="E540" s="2" t="inlineStr">
        <is>
          <t>BẢO TRÂM</t>
        </is>
      </c>
      <c r="F540" s="2" t="inlineStr">
        <is>
          <t>Shopee</t>
        </is>
      </c>
      <c r="G540" s="2" t="inlineStr">
        <is>
          <t>K54M</t>
        </is>
      </c>
      <c r="H540" s="3" t="inlineStr">
        <is>
          <t>Dụng cụ khò gas mini K54M</t>
        </is>
      </c>
      <c r="I540" s="4" t="n">
        <v>264000</v>
      </c>
      <c r="J540" s="4" t="n"/>
      <c r="K540" s="4">
        <f>IF(AND(ISNUMBER(J540),ISNUMBER(I540)),J540-I540,"")</f>
        <v/>
      </c>
      <c r="L540" s="5">
        <f>IF(AND(ISNUMBER(J540),ISNUMBER(I540),I540&gt;0),(J540-I540)/I540,"")</f>
        <v/>
      </c>
      <c r="M540" s="2">
        <f>IF(L540="","",IF(L540&lt;-0.05,"Bán phá giá",IF(L540&gt;0.05,"Bán cao hơn","Đúng giá niêm yết")))</f>
        <v/>
      </c>
      <c r="N540" s="2" t="n"/>
      <c r="O540" s="3" t="n"/>
      <c r="P540" s="3" t="n"/>
    </row>
    <row r="541">
      <c r="A541" s="2" t="n">
        <v>540</v>
      </c>
      <c r="B541" s="2" t="inlineStr">
        <is>
          <t>KH003</t>
        </is>
      </c>
      <c r="C541" s="3" t="inlineStr">
        <is>
          <t>CÔNG TY TNHH ĐỒ NGHỀ CẦM TAY PHƯƠNG MY</t>
        </is>
      </c>
      <c r="D541" s="2" t="inlineStr">
        <is>
          <t>HCM</t>
        </is>
      </c>
      <c r="E541" s="2" t="inlineStr">
        <is>
          <t>BẢO TRÂM</t>
        </is>
      </c>
      <c r="F541" s="2" t="inlineStr">
        <is>
          <t>Shopee</t>
        </is>
      </c>
      <c r="G541" s="2" t="inlineStr">
        <is>
          <t>KB-1301</t>
        </is>
      </c>
      <c r="H541" s="3" t="inlineStr">
        <is>
          <t>Dụng cụ vát mép (ba via) ống đồng KingBlue, KB-1301</t>
        </is>
      </c>
      <c r="I541" s="4" t="n">
        <v>150000</v>
      </c>
      <c r="J541" s="4" t="n"/>
      <c r="K541" s="4">
        <f>IF(AND(ISNUMBER(J541),ISNUMBER(I541)),J541-I541,"")</f>
        <v/>
      </c>
      <c r="L541" s="5">
        <f>IF(AND(ISNUMBER(J541),ISNUMBER(I541),I541&gt;0),(J541-I541)/I541,"")</f>
        <v/>
      </c>
      <c r="M541" s="2">
        <f>IF(L541="","",IF(L541&lt;-0.05,"Bán phá giá",IF(L541&gt;0.05,"Bán cao hơn","Đúng giá niêm yết")))</f>
        <v/>
      </c>
      <c r="N541" s="2" t="n"/>
      <c r="O541" s="3" t="n"/>
      <c r="P541" s="3" t="n"/>
    </row>
    <row r="542">
      <c r="A542" s="2" t="n">
        <v>541</v>
      </c>
      <c r="B542" s="2" t="inlineStr">
        <is>
          <t>KH003</t>
        </is>
      </c>
      <c r="C542" s="3" t="inlineStr">
        <is>
          <t>CÔNG TY TNHH ĐỒ NGHỀ CẦM TAY PHƯƠNG MY</t>
        </is>
      </c>
      <c r="D542" s="2" t="inlineStr">
        <is>
          <t>HCM</t>
        </is>
      </c>
      <c r="E542" s="2" t="inlineStr">
        <is>
          <t>BẢO TRÂM</t>
        </is>
      </c>
      <c r="F542" s="2" t="inlineStr">
        <is>
          <t>Shopee</t>
        </is>
      </c>
      <c r="G542" s="2" t="inlineStr">
        <is>
          <t>K45M</t>
        </is>
      </c>
      <c r="H542" s="3" t="inlineStr">
        <is>
          <t>Đầu khò gas K45M</t>
        </is>
      </c>
      <c r="I542" s="4" t="n">
        <v>185000</v>
      </c>
      <c r="J542" s="4" t="n"/>
      <c r="K542" s="4">
        <f>IF(AND(ISNUMBER(J542),ISNUMBER(I542)),J542-I542,"")</f>
        <v/>
      </c>
      <c r="L542" s="5">
        <f>IF(AND(ISNUMBER(J542),ISNUMBER(I542),I542&gt;0),(J542-I542)/I542,"")</f>
        <v/>
      </c>
      <c r="M542" s="2">
        <f>IF(L542="","",IF(L542&lt;-0.05,"Bán phá giá",IF(L542&gt;0.05,"Bán cao hơn","Đúng giá niêm yết")))</f>
        <v/>
      </c>
      <c r="N542" s="2" t="n"/>
      <c r="O542" s="3" t="n"/>
      <c r="P542" s="3" t="n"/>
    </row>
    <row r="543">
      <c r="A543" s="2" t="n">
        <v>542</v>
      </c>
      <c r="B543" s="2" t="inlineStr">
        <is>
          <t>KH003</t>
        </is>
      </c>
      <c r="C543" s="3" t="inlineStr">
        <is>
          <t>CÔNG TY TNHH ĐỒ NGHỀ CẦM TAY PHƯƠNG MY</t>
        </is>
      </c>
      <c r="D543" s="2" t="inlineStr">
        <is>
          <t>HCM</t>
        </is>
      </c>
      <c r="E543" s="2" t="inlineStr">
        <is>
          <t>BẢO TRÂM</t>
        </is>
      </c>
      <c r="F543" s="2" t="inlineStr">
        <is>
          <t>Shopee</t>
        </is>
      </c>
      <c r="G543" s="2" t="inlineStr">
        <is>
          <t>K49M</t>
        </is>
      </c>
      <c r="H543" s="3" t="inlineStr">
        <is>
          <t>Đầu khò gas K49M</t>
        </is>
      </c>
      <c r="I543" s="4" t="n">
        <v>193000</v>
      </c>
      <c r="J543" s="4" t="n"/>
      <c r="K543" s="4">
        <f>IF(AND(ISNUMBER(J543),ISNUMBER(I543)),J543-I543,"")</f>
        <v/>
      </c>
      <c r="L543" s="5">
        <f>IF(AND(ISNUMBER(J543),ISNUMBER(I543),I543&gt;0),(J543-I543)/I543,"")</f>
        <v/>
      </c>
      <c r="M543" s="2">
        <f>IF(L543="","",IF(L543&lt;-0.05,"Bán phá giá",IF(L543&gt;0.05,"Bán cao hơn","Đúng giá niêm yết")))</f>
        <v/>
      </c>
      <c r="N543" s="2" t="n"/>
      <c r="O543" s="3" t="n"/>
      <c r="P543" s="3" t="n"/>
    </row>
    <row r="544">
      <c r="A544" s="2" t="n">
        <v>543</v>
      </c>
      <c r="B544" s="2" t="inlineStr">
        <is>
          <t>KH003</t>
        </is>
      </c>
      <c r="C544" s="3" t="inlineStr">
        <is>
          <t>CÔNG TY TNHH ĐỒ NGHỀ CẦM TAY PHƯƠNG MY</t>
        </is>
      </c>
      <c r="D544" s="2" t="inlineStr">
        <is>
          <t>HCM</t>
        </is>
      </c>
      <c r="E544" s="2" t="inlineStr">
        <is>
          <t>BẢO TRÂM</t>
        </is>
      </c>
      <c r="F544" s="2" t="inlineStr">
        <is>
          <t>Shopee</t>
        </is>
      </c>
      <c r="G544" s="2" t="inlineStr"/>
      <c r="H544" s="3" t="inlineStr">
        <is>
          <t>Đầu nạp gas</t>
        </is>
      </c>
      <c r="I544" s="4" t="n"/>
      <c r="J544" s="4" t="n"/>
      <c r="K544" s="4">
        <f>IF(AND(ISNUMBER(J544),ISNUMBER(I544)),J544-I544,"")</f>
        <v/>
      </c>
      <c r="L544" s="5">
        <f>IF(AND(ISNUMBER(J544),ISNUMBER(I544),I544&gt;0),(J544-I544)/I544,"")</f>
        <v/>
      </c>
      <c r="M544" s="2">
        <f>IF(L544="","",IF(L544&lt;-0.05,"Bán phá giá",IF(L544&gt;0.05,"Bán cao hơn","Đúng giá niêm yết")))</f>
        <v/>
      </c>
      <c r="N544" s="2" t="n"/>
      <c r="O544" s="3" t="n"/>
      <c r="P544" s="3" t="n"/>
    </row>
    <row r="545">
      <c r="A545" s="2" t="n">
        <v>544</v>
      </c>
      <c r="B545" s="2" t="inlineStr">
        <is>
          <t>KH003</t>
        </is>
      </c>
      <c r="C545" s="3" t="inlineStr">
        <is>
          <t>CÔNG TY TNHH ĐỒ NGHỀ CẦM TAY PHƯƠNG MY</t>
        </is>
      </c>
      <c r="D545" s="2" t="inlineStr">
        <is>
          <t>HCM</t>
        </is>
      </c>
      <c r="E545" s="2" t="inlineStr">
        <is>
          <t>BẢO TRÂM</t>
        </is>
      </c>
      <c r="F545" s="2" t="inlineStr">
        <is>
          <t>Shopee</t>
        </is>
      </c>
      <c r="G545" s="2" t="inlineStr">
        <is>
          <t>LED750</t>
        </is>
      </c>
      <c r="H545" s="3" t="inlineStr">
        <is>
          <t>Đèn Led cài áo LED750</t>
        </is>
      </c>
      <c r="I545" s="4" t="n">
        <v>540000</v>
      </c>
      <c r="J545" s="4" t="n"/>
      <c r="K545" s="4">
        <f>IF(AND(ISNUMBER(J545),ISNUMBER(I545)),J545-I545,"")</f>
        <v/>
      </c>
      <c r="L545" s="5">
        <f>IF(AND(ISNUMBER(J545),ISNUMBER(I545),I545&gt;0),(J545-I545)/I545,"")</f>
        <v/>
      </c>
      <c r="M545" s="2">
        <f>IF(L545="","",IF(L545&lt;-0.05,"Bán phá giá",IF(L545&gt;0.05,"Bán cao hơn","Đúng giá niêm yết")))</f>
        <v/>
      </c>
      <c r="N545" s="2" t="n"/>
      <c r="O545" s="3" t="n"/>
      <c r="P545" s="3" t="n"/>
    </row>
    <row r="546">
      <c r="A546" s="2" t="n">
        <v>545</v>
      </c>
      <c r="B546" s="2" t="inlineStr">
        <is>
          <t>KH003</t>
        </is>
      </c>
      <c r="C546" s="3" t="inlineStr">
        <is>
          <t>CÔNG TY TNHH ĐỒ NGHỀ CẦM TAY PHƯƠNG MY</t>
        </is>
      </c>
      <c r="D546" s="2" t="inlineStr">
        <is>
          <t>HCM</t>
        </is>
      </c>
      <c r="E546" s="2" t="inlineStr">
        <is>
          <t>BẢO TRÂM</t>
        </is>
      </c>
      <c r="F546" s="2" t="inlineStr">
        <is>
          <t>Shopee</t>
        </is>
      </c>
      <c r="G546" s="2" t="inlineStr">
        <is>
          <t>LED6500</t>
        </is>
      </c>
      <c r="H546" s="3" t="inlineStr">
        <is>
          <t>Đèn Led công trình dùng pin  LED6500</t>
        </is>
      </c>
      <c r="I546" s="4" t="n">
        <v>1950000</v>
      </c>
      <c r="J546" s="4" t="n"/>
      <c r="K546" s="4">
        <f>IF(AND(ISNUMBER(J546),ISNUMBER(I546)),J546-I546,"")</f>
        <v/>
      </c>
      <c r="L546" s="5">
        <f>IF(AND(ISNUMBER(J546),ISNUMBER(I546),I546&gt;0),(J546-I546)/I546,"")</f>
        <v/>
      </c>
      <c r="M546" s="2">
        <f>IF(L546="","",IF(L546&lt;-0.05,"Bán phá giá",IF(L546&gt;0.05,"Bán cao hơn","Đúng giá niêm yết")))</f>
        <v/>
      </c>
      <c r="N546" s="2" t="n"/>
      <c r="O546" s="3" t="n"/>
      <c r="P546" s="3" t="n"/>
    </row>
    <row r="547">
      <c r="A547" s="2" t="n">
        <v>546</v>
      </c>
      <c r="B547" s="2" t="inlineStr">
        <is>
          <t>KH003</t>
        </is>
      </c>
      <c r="C547" s="3" t="inlineStr">
        <is>
          <t>CÔNG TY TNHH ĐỒ NGHỀ CẦM TAY PHƯƠNG MY</t>
        </is>
      </c>
      <c r="D547" s="2" t="inlineStr">
        <is>
          <t>HCM</t>
        </is>
      </c>
      <c r="E547" s="2" t="inlineStr">
        <is>
          <t>BẢO TRÂM</t>
        </is>
      </c>
      <c r="F547" s="2" t="inlineStr">
        <is>
          <t>Shopee</t>
        </is>
      </c>
      <c r="G547" s="2" t="inlineStr">
        <is>
          <t>LED500</t>
        </is>
      </c>
      <c r="H547" s="3" t="inlineStr">
        <is>
          <t>Đèn Led đội đầu LED500</t>
        </is>
      </c>
      <c r="I547" s="4" t="n">
        <v>490000</v>
      </c>
      <c r="J547" s="4" t="n"/>
      <c r="K547" s="4">
        <f>IF(AND(ISNUMBER(J547),ISNUMBER(I547)),J547-I547,"")</f>
        <v/>
      </c>
      <c r="L547" s="5">
        <f>IF(AND(ISNUMBER(J547),ISNUMBER(I547),I547&gt;0),(J547-I547)/I547,"")</f>
        <v/>
      </c>
      <c r="M547" s="2">
        <f>IF(L547="","",IF(L547&lt;-0.05,"Bán phá giá",IF(L547&gt;0.05,"Bán cao hơn","Đúng giá niêm yết")))</f>
        <v/>
      </c>
      <c r="N547" s="2" t="n"/>
      <c r="O547" s="3" t="n"/>
      <c r="P547" s="3" t="n"/>
    </row>
    <row r="548">
      <c r="A548" s="2" t="n">
        <v>547</v>
      </c>
      <c r="B548" s="2" t="inlineStr">
        <is>
          <t>KH003</t>
        </is>
      </c>
      <c r="C548" s="3" t="inlineStr">
        <is>
          <t>CÔNG TY TNHH ĐỒ NGHỀ CẦM TAY PHƯƠNG MY</t>
        </is>
      </c>
      <c r="D548" s="2" t="inlineStr">
        <is>
          <t>HCM</t>
        </is>
      </c>
      <c r="E548" s="2" t="inlineStr">
        <is>
          <t>BẢO TRÂM</t>
        </is>
      </c>
      <c r="F548" s="2" t="inlineStr">
        <is>
          <t>Shopee</t>
        </is>
      </c>
      <c r="G548" s="2" t="inlineStr">
        <is>
          <t>MINI20GKD</t>
        </is>
      </c>
      <c r="H548" s="3" t="inlineStr">
        <is>
          <t>Đinh MINI20GKD</t>
        </is>
      </c>
      <c r="I548" s="4" t="n"/>
      <c r="J548" s="4" t="n"/>
      <c r="K548" s="4">
        <f>IF(AND(ISNUMBER(J548),ISNUMBER(I548)),J548-I548,"")</f>
        <v/>
      </c>
      <c r="L548" s="5">
        <f>IF(AND(ISNUMBER(J548),ISNUMBER(I548),I548&gt;0),(J548-I548)/I548,"")</f>
        <v/>
      </c>
      <c r="M548" s="2">
        <f>IF(L548="","",IF(L548&lt;-0.05,"Bán phá giá",IF(L548&gt;0.05,"Bán cao hơn","Đúng giá niêm yết")))</f>
        <v/>
      </c>
      <c r="N548" s="2" t="n"/>
      <c r="O548" s="3" t="n"/>
      <c r="P548" s="3" t="n"/>
    </row>
    <row r="549">
      <c r="A549" s="2" t="n">
        <v>548</v>
      </c>
      <c r="B549" s="2" t="inlineStr">
        <is>
          <t>KH003</t>
        </is>
      </c>
      <c r="C549" s="3" t="inlineStr">
        <is>
          <t>CÔNG TY TNHH ĐỒ NGHỀ CẦM TAY PHƯƠNG MY</t>
        </is>
      </c>
      <c r="D549" s="2" t="inlineStr">
        <is>
          <t>HCM</t>
        </is>
      </c>
      <c r="E549" s="2" t="inlineStr">
        <is>
          <t>BẢO TRÂM</t>
        </is>
      </c>
      <c r="F549" s="2" t="inlineStr">
        <is>
          <t>Shopee</t>
        </is>
      </c>
      <c r="G549" s="2" t="inlineStr"/>
      <c r="H549" s="3" t="inlineStr">
        <is>
          <t>Đinh MINIGJD</t>
        </is>
      </c>
      <c r="I549" s="4" t="n"/>
      <c r="J549" s="4" t="n"/>
      <c r="K549" s="4">
        <f>IF(AND(ISNUMBER(J549),ISNUMBER(I549)),J549-I549,"")</f>
        <v/>
      </c>
      <c r="L549" s="5">
        <f>IF(AND(ISNUMBER(J549),ISNUMBER(I549),I549&gt;0),(J549-I549)/I549,"")</f>
        <v/>
      </c>
      <c r="M549" s="2">
        <f>IF(L549="","",IF(L549&lt;-0.05,"Bán phá giá",IF(L549&gt;0.05,"Bán cao hơn","Đúng giá niêm yết")))</f>
        <v/>
      </c>
      <c r="N549" s="2" t="n"/>
      <c r="O549" s="3" t="n"/>
      <c r="P549" s="3" t="n"/>
    </row>
    <row r="550">
      <c r="A550" s="2" t="n">
        <v>549</v>
      </c>
      <c r="B550" s="2" t="inlineStr">
        <is>
          <t>KH003</t>
        </is>
      </c>
      <c r="C550" s="3" t="inlineStr">
        <is>
          <t>CÔNG TY TNHH ĐỒ NGHỀ CẦM TAY PHƯƠNG MY</t>
        </is>
      </c>
      <c r="D550" s="2" t="inlineStr">
        <is>
          <t>HCM</t>
        </is>
      </c>
      <c r="E550" s="2" t="inlineStr">
        <is>
          <t>BẢO TRÂM</t>
        </is>
      </c>
      <c r="F550" s="2" t="inlineStr">
        <is>
          <t>Shopee</t>
        </is>
      </c>
      <c r="G550" s="2" t="inlineStr"/>
      <c r="H550" s="3" t="inlineStr">
        <is>
          <t>Đinh MINISFD</t>
        </is>
      </c>
      <c r="I550" s="4" t="n"/>
      <c r="J550" s="4" t="n"/>
      <c r="K550" s="4">
        <f>IF(AND(ISNUMBER(J550),ISNUMBER(I550)),J550-I550,"")</f>
        <v/>
      </c>
      <c r="L550" s="5">
        <f>IF(AND(ISNUMBER(J550),ISNUMBER(I550),I550&gt;0),(J550-I550)/I550,"")</f>
        <v/>
      </c>
      <c r="M550" s="2">
        <f>IF(L550="","",IF(L550&lt;-0.05,"Bán phá giá",IF(L550&gt;0.05,"Bán cao hơn","Đúng giá niêm yết")))</f>
        <v/>
      </c>
      <c r="N550" s="2" t="n"/>
      <c r="O550" s="3" t="n"/>
      <c r="P550" s="3" t="n"/>
    </row>
    <row r="551">
      <c r="A551" s="2" t="n">
        <v>550</v>
      </c>
      <c r="B551" s="2" t="inlineStr">
        <is>
          <t>KH003</t>
        </is>
      </c>
      <c r="C551" s="3" t="inlineStr">
        <is>
          <t>CÔNG TY TNHH ĐỒ NGHỀ CẦM TAY PHƯƠNG MY</t>
        </is>
      </c>
      <c r="D551" s="2" t="inlineStr">
        <is>
          <t>HCM</t>
        </is>
      </c>
      <c r="E551" s="2" t="inlineStr">
        <is>
          <t>BẢO TRÂM</t>
        </is>
      </c>
      <c r="F551" s="2" t="inlineStr">
        <is>
          <t>Shopee</t>
        </is>
      </c>
      <c r="G551" s="2" t="inlineStr">
        <is>
          <t>KIW-600</t>
        </is>
      </c>
      <c r="H551" s="3" t="inlineStr">
        <is>
          <t>Đồng hồ vạn năng điện tử KIW-600</t>
        </is>
      </c>
      <c r="I551" s="4" t="n">
        <v>320000</v>
      </c>
      <c r="J551" s="4" t="n"/>
      <c r="K551" s="4">
        <f>IF(AND(ISNUMBER(J551),ISNUMBER(I551)),J551-I551,"")</f>
        <v/>
      </c>
      <c r="L551" s="5">
        <f>IF(AND(ISNUMBER(J551),ISNUMBER(I551),I551&gt;0),(J551-I551)/I551,"")</f>
        <v/>
      </c>
      <c r="M551" s="2">
        <f>IF(L551="","",IF(L551&lt;-0.05,"Bán phá giá",IF(L551&gt;0.05,"Bán cao hơn","Đúng giá niêm yết")))</f>
        <v/>
      </c>
      <c r="N551" s="2" t="n"/>
      <c r="O551" s="3" t="n"/>
      <c r="P551" s="3" t="n"/>
    </row>
    <row r="552">
      <c r="A552" s="2" t="n">
        <v>551</v>
      </c>
      <c r="B552" s="2" t="inlineStr">
        <is>
          <t>KH003</t>
        </is>
      </c>
      <c r="C552" s="3" t="inlineStr">
        <is>
          <t>CÔNG TY TNHH ĐỒ NGHỀ CẦM TAY PHƯƠNG MY</t>
        </is>
      </c>
      <c r="D552" s="2" t="inlineStr">
        <is>
          <t>HCM</t>
        </is>
      </c>
      <c r="E552" s="2" t="inlineStr">
        <is>
          <t>BẢO TRÂM</t>
        </is>
      </c>
      <c r="F552" s="2" t="inlineStr">
        <is>
          <t>Shopee</t>
        </is>
      </c>
      <c r="G552" s="2" t="inlineStr">
        <is>
          <t>KFG-1.2/8/11.3</t>
        </is>
      </c>
      <c r="H552" s="3" t="inlineStr">
        <is>
          <t>Ghim KFG-1.2/8/11.3</t>
        </is>
      </c>
      <c r="I552" s="4" t="n">
        <v>66000</v>
      </c>
      <c r="J552" s="4" t="n"/>
      <c r="K552" s="4">
        <f>IF(AND(ISNUMBER(J552),ISNUMBER(I552)),J552-I552,"")</f>
        <v/>
      </c>
      <c r="L552" s="5">
        <f>IF(AND(ISNUMBER(J552),ISNUMBER(I552),I552&gt;0),(J552-I552)/I552,"")</f>
        <v/>
      </c>
      <c r="M552" s="2">
        <f>IF(L552="","",IF(L552&lt;-0.05,"Bán phá giá",IF(L552&gt;0.05,"Bán cao hơn","Đúng giá niêm yết")))</f>
        <v/>
      </c>
      <c r="N552" s="2" t="n"/>
      <c r="O552" s="3" t="n"/>
      <c r="P552" s="3" t="n"/>
    </row>
    <row r="553">
      <c r="A553" s="2" t="n">
        <v>552</v>
      </c>
      <c r="B553" s="2" t="inlineStr">
        <is>
          <t>KH003</t>
        </is>
      </c>
      <c r="C553" s="3" t="inlineStr">
        <is>
          <t>CÔNG TY TNHH ĐỒ NGHỀ CẦM TAY PHƯƠNG MY</t>
        </is>
      </c>
      <c r="D553" s="2" t="inlineStr">
        <is>
          <t>HCM</t>
        </is>
      </c>
      <c r="E553" s="2" t="inlineStr">
        <is>
          <t>BẢO TRÂM</t>
        </is>
      </c>
      <c r="F553" s="2" t="inlineStr">
        <is>
          <t>Shopee</t>
        </is>
      </c>
      <c r="G553" s="2" t="inlineStr">
        <is>
          <t>KFG-16/6</t>
        </is>
      </c>
      <c r="H553" s="3" t="inlineStr">
        <is>
          <t>Ghim KFG-16/6</t>
        </is>
      </c>
      <c r="I553" s="4" t="n">
        <v>27000</v>
      </c>
      <c r="J553" s="4" t="n"/>
      <c r="K553" s="4">
        <f>IF(AND(ISNUMBER(J553),ISNUMBER(I553)),J553-I553,"")</f>
        <v/>
      </c>
      <c r="L553" s="5">
        <f>IF(AND(ISNUMBER(J553),ISNUMBER(I553),I553&gt;0),(J553-I553)/I553,"")</f>
        <v/>
      </c>
      <c r="M553" s="2">
        <f>IF(L553="","",IF(L553&lt;-0.05,"Bán phá giá",IF(L553&gt;0.05,"Bán cao hơn","Đúng giá niêm yết")))</f>
        <v/>
      </c>
      <c r="N553" s="2" t="n"/>
      <c r="O553" s="3" t="n"/>
      <c r="P553" s="3" t="n"/>
    </row>
    <row r="554">
      <c r="A554" s="2" t="n">
        <v>553</v>
      </c>
      <c r="B554" s="2" t="inlineStr">
        <is>
          <t>KH003</t>
        </is>
      </c>
      <c r="C554" s="3" t="inlineStr">
        <is>
          <t>CÔNG TY TNHH ĐỒ NGHỀ CẦM TAY PHƯƠNG MY</t>
        </is>
      </c>
      <c r="D554" s="2" t="inlineStr">
        <is>
          <t>HCM</t>
        </is>
      </c>
      <c r="E554" s="2" t="inlineStr">
        <is>
          <t>BẢO TRÂM</t>
        </is>
      </c>
      <c r="F554" s="2" t="inlineStr">
        <is>
          <t>Shopee</t>
        </is>
      </c>
      <c r="G554" s="2" t="inlineStr">
        <is>
          <t>KFG-16/8</t>
        </is>
      </c>
      <c r="H554" s="3" t="inlineStr">
        <is>
          <t>Ghim KFG-16/8</t>
        </is>
      </c>
      <c r="I554" s="4" t="n">
        <v>43000</v>
      </c>
      <c r="J554" s="4" t="n"/>
      <c r="K554" s="4">
        <f>IF(AND(ISNUMBER(J554),ISNUMBER(I554)),J554-I554,"")</f>
        <v/>
      </c>
      <c r="L554" s="5">
        <f>IF(AND(ISNUMBER(J554),ISNUMBER(I554),I554&gt;0),(J554-I554)/I554,"")</f>
        <v/>
      </c>
      <c r="M554" s="2">
        <f>IF(L554="","",IF(L554&lt;-0.05,"Bán phá giá",IF(L554&gt;0.05,"Bán cao hơn","Đúng giá niêm yết")))</f>
        <v/>
      </c>
      <c r="N554" s="2" t="n"/>
      <c r="O554" s="3" t="n"/>
      <c r="P554" s="3" t="n"/>
    </row>
    <row r="555">
      <c r="A555" s="2" t="n">
        <v>554</v>
      </c>
      <c r="B555" s="2" t="inlineStr">
        <is>
          <t>KH003</t>
        </is>
      </c>
      <c r="C555" s="3" t="inlineStr">
        <is>
          <t>CÔNG TY TNHH ĐỒ NGHỀ CẦM TAY PHƯƠNG MY</t>
        </is>
      </c>
      <c r="D555" s="2" t="inlineStr">
        <is>
          <t>HCM</t>
        </is>
      </c>
      <c r="E555" s="2" t="inlineStr">
        <is>
          <t>BẢO TRÂM</t>
        </is>
      </c>
      <c r="F555" s="2" t="inlineStr">
        <is>
          <t>Shopee</t>
        </is>
      </c>
      <c r="G555" s="2" t="inlineStr">
        <is>
          <t>HKE-924</t>
        </is>
      </c>
      <c r="H555" s="3" t="inlineStr">
        <is>
          <t>Hít gạch điện tử HKE-924</t>
        </is>
      </c>
      <c r="I555" s="4" t="n"/>
      <c r="J555" s="4" t="n"/>
      <c r="K555" s="4">
        <f>IF(AND(ISNUMBER(J555),ISNUMBER(I555)),J555-I555,"")</f>
        <v/>
      </c>
      <c r="L555" s="5">
        <f>IF(AND(ISNUMBER(J555),ISNUMBER(I555),I555&gt;0),(J555-I555)/I555,"")</f>
        <v/>
      </c>
      <c r="M555" s="2">
        <f>IF(L555="","",IF(L555&lt;-0.05,"Bán phá giá",IF(L555&gt;0.05,"Bán cao hơn","Đúng giá niêm yết")))</f>
        <v/>
      </c>
      <c r="N555" s="2" t="n"/>
      <c r="O555" s="3" t="n"/>
      <c r="P555" s="3" t="n"/>
    </row>
    <row r="556">
      <c r="A556" s="2" t="n">
        <v>555</v>
      </c>
      <c r="B556" s="2" t="inlineStr">
        <is>
          <t>KH003</t>
        </is>
      </c>
      <c r="C556" s="3" t="inlineStr">
        <is>
          <t>CÔNG TY TNHH ĐỒ NGHỀ CẦM TAY PHƯƠNG MY</t>
        </is>
      </c>
      <c r="D556" s="2" t="inlineStr">
        <is>
          <t>HCM</t>
        </is>
      </c>
      <c r="E556" s="2" t="inlineStr">
        <is>
          <t>BẢO TRÂM</t>
        </is>
      </c>
      <c r="F556" s="2" t="inlineStr">
        <is>
          <t>Shopee</t>
        </is>
      </c>
      <c r="G556" s="2" t="inlineStr">
        <is>
          <t>HKE-200</t>
        </is>
      </c>
      <c r="H556" s="3" t="inlineStr">
        <is>
          <t>Hít kính điện tử HKE-200</t>
        </is>
      </c>
      <c r="I556" s="4" t="n">
        <v>671000</v>
      </c>
      <c r="J556" s="4" t="n"/>
      <c r="K556" s="4">
        <f>IF(AND(ISNUMBER(J556),ISNUMBER(I556)),J556-I556,"")</f>
        <v/>
      </c>
      <c r="L556" s="5">
        <f>IF(AND(ISNUMBER(J556),ISNUMBER(I556),I556&gt;0),(J556-I556)/I556,"")</f>
        <v/>
      </c>
      <c r="M556" s="2">
        <f>IF(L556="","",IF(L556&lt;-0.05,"Bán phá giá",IF(L556&gt;0.05,"Bán cao hơn","Đúng giá niêm yết")))</f>
        <v/>
      </c>
      <c r="N556" s="2" t="n"/>
      <c r="O556" s="3" t="n"/>
      <c r="P556" s="3" t="n"/>
    </row>
    <row r="557">
      <c r="A557" s="2" t="n">
        <v>556</v>
      </c>
      <c r="B557" s="2" t="inlineStr">
        <is>
          <t>KH003</t>
        </is>
      </c>
      <c r="C557" s="3" t="inlineStr">
        <is>
          <t>CÔNG TY TNHH ĐỒ NGHỀ CẦM TAY PHƯƠNG MY</t>
        </is>
      </c>
      <c r="D557" s="2" t="inlineStr">
        <is>
          <t>HCM</t>
        </is>
      </c>
      <c r="E557" s="2" t="inlineStr">
        <is>
          <t>BẢO TRÂM</t>
        </is>
      </c>
      <c r="F557" s="2" t="inlineStr">
        <is>
          <t>Shopee</t>
        </is>
      </c>
      <c r="G557" s="2" t="inlineStr">
        <is>
          <t>HK2-130</t>
        </is>
      </c>
      <c r="H557" s="3" t="inlineStr">
        <is>
          <t>Hít kính HK2-130</t>
        </is>
      </c>
      <c r="I557" s="4" t="n">
        <v>336000</v>
      </c>
      <c r="J557" s="4" t="n"/>
      <c r="K557" s="4">
        <f>IF(AND(ISNUMBER(J557),ISNUMBER(I557)),J557-I557,"")</f>
        <v/>
      </c>
      <c r="L557" s="5">
        <f>IF(AND(ISNUMBER(J557),ISNUMBER(I557),I557&gt;0),(J557-I557)/I557,"")</f>
        <v/>
      </c>
      <c r="M557" s="2">
        <f>IF(L557="","",IF(L557&lt;-0.05,"Bán phá giá",IF(L557&gt;0.05,"Bán cao hơn","Đúng giá niêm yết")))</f>
        <v/>
      </c>
      <c r="N557" s="2" t="n"/>
      <c r="O557" s="3" t="n"/>
      <c r="P557" s="3" t="n"/>
    </row>
    <row r="558">
      <c r="A558" s="2" t="n">
        <v>557</v>
      </c>
      <c r="B558" s="2" t="inlineStr">
        <is>
          <t>KH003</t>
        </is>
      </c>
      <c r="C558" s="3" t="inlineStr">
        <is>
          <t>CÔNG TY TNHH ĐỒ NGHỀ CẦM TAY PHƯƠNG MY</t>
        </is>
      </c>
      <c r="D558" s="2" t="inlineStr">
        <is>
          <t>HCM</t>
        </is>
      </c>
      <c r="E558" s="2" t="inlineStr">
        <is>
          <t>BẢO TRÂM</t>
        </is>
      </c>
      <c r="F558" s="2" t="inlineStr">
        <is>
          <t>Shopee</t>
        </is>
      </c>
      <c r="G558" s="2" t="inlineStr">
        <is>
          <t>KPQ-32</t>
        </is>
      </c>
      <c r="H558" s="3" t="inlineStr">
        <is>
          <t>Kéo cắt góc nẹp điện KPQ-32</t>
        </is>
      </c>
      <c r="I558" s="4" t="n">
        <v>185000</v>
      </c>
      <c r="J558" s="4" t="n"/>
      <c r="K558" s="4">
        <f>IF(AND(ISNUMBER(J558),ISNUMBER(I558)),J558-I558,"")</f>
        <v/>
      </c>
      <c r="L558" s="5">
        <f>IF(AND(ISNUMBER(J558),ISNUMBER(I558),I558&gt;0),(J558-I558)/I558,"")</f>
        <v/>
      </c>
      <c r="M558" s="2">
        <f>IF(L558="","",IF(L558&lt;-0.05,"Bán phá giá",IF(L558&gt;0.05,"Bán cao hơn","Đúng giá niêm yết")))</f>
        <v/>
      </c>
      <c r="N558" s="2" t="n"/>
      <c r="O558" s="3" t="n"/>
      <c r="P558" s="3" t="n"/>
    </row>
    <row r="559">
      <c r="A559" s="2" t="n">
        <v>558</v>
      </c>
      <c r="B559" s="2" t="inlineStr">
        <is>
          <t>KH003</t>
        </is>
      </c>
      <c r="C559" s="3" t="inlineStr">
        <is>
          <t>CÔNG TY TNHH ĐỒ NGHỀ CẦM TAY PHƯƠNG MY</t>
        </is>
      </c>
      <c r="D559" s="2" t="inlineStr">
        <is>
          <t>HCM</t>
        </is>
      </c>
      <c r="E559" s="2" t="inlineStr">
        <is>
          <t>BẢO TRÂM</t>
        </is>
      </c>
      <c r="F559" s="2" t="inlineStr">
        <is>
          <t>Shopee</t>
        </is>
      </c>
      <c r="G559" s="2" t="inlineStr">
        <is>
          <t>KPC-132</t>
        </is>
      </c>
      <c r="H559" s="3" t="inlineStr">
        <is>
          <t>Kéo cắt ống KPC-132</t>
        </is>
      </c>
      <c r="I559" s="4" t="n">
        <v>132000</v>
      </c>
      <c r="J559" s="4" t="n"/>
      <c r="K559" s="4">
        <f>IF(AND(ISNUMBER(J559),ISNUMBER(I559)),J559-I559,"")</f>
        <v/>
      </c>
      <c r="L559" s="5">
        <f>IF(AND(ISNUMBER(J559),ISNUMBER(I559),I559&gt;0),(J559-I559)/I559,"")</f>
        <v/>
      </c>
      <c r="M559" s="2">
        <f>IF(L559="","",IF(L559&lt;-0.05,"Bán phá giá",IF(L559&gt;0.05,"Bán cao hơn","Đúng giá niêm yết")))</f>
        <v/>
      </c>
      <c r="N559" s="2" t="n"/>
      <c r="O559" s="3" t="n"/>
      <c r="P559" s="3" t="n"/>
    </row>
    <row r="560">
      <c r="A560" s="2" t="n">
        <v>559</v>
      </c>
      <c r="B560" s="2" t="inlineStr">
        <is>
          <t>KH003</t>
        </is>
      </c>
      <c r="C560" s="3" t="inlineStr">
        <is>
          <t>CÔNG TY TNHH ĐỒ NGHỀ CẦM TAY PHƯƠNG MY</t>
        </is>
      </c>
      <c r="D560" s="2" t="inlineStr">
        <is>
          <t>HCM</t>
        </is>
      </c>
      <c r="E560" s="2" t="inlineStr">
        <is>
          <t>BẢO TRÂM</t>
        </is>
      </c>
      <c r="F560" s="2" t="inlineStr">
        <is>
          <t>Shopee</t>
        </is>
      </c>
      <c r="G560" s="2" t="inlineStr">
        <is>
          <t>KPC-164</t>
        </is>
      </c>
      <c r="H560" s="3" t="inlineStr">
        <is>
          <t>Kéo cắt ống KPC-164</t>
        </is>
      </c>
      <c r="I560" s="4" t="n">
        <v>298000</v>
      </c>
      <c r="J560" s="4" t="n"/>
      <c r="K560" s="4">
        <f>IF(AND(ISNUMBER(J560),ISNUMBER(I560)),J560-I560,"")</f>
        <v/>
      </c>
      <c r="L560" s="5">
        <f>IF(AND(ISNUMBER(J560),ISNUMBER(I560),I560&gt;0),(J560-I560)/I560,"")</f>
        <v/>
      </c>
      <c r="M560" s="2">
        <f>IF(L560="","",IF(L560&lt;-0.05,"Bán phá giá",IF(L560&gt;0.05,"Bán cao hơn","Đúng giá niêm yết")))</f>
        <v/>
      </c>
      <c r="N560" s="2" t="n"/>
      <c r="O560" s="3" t="n"/>
      <c r="P560" s="3" t="n"/>
    </row>
    <row r="561">
      <c r="A561" s="2" t="n">
        <v>560</v>
      </c>
      <c r="B561" s="2" t="inlineStr">
        <is>
          <t>KH003</t>
        </is>
      </c>
      <c r="C561" s="3" t="inlineStr">
        <is>
          <t>CÔNG TY TNHH ĐỒ NGHỀ CẦM TAY PHƯƠNG MY</t>
        </is>
      </c>
      <c r="D561" s="2" t="inlineStr">
        <is>
          <t>HCM</t>
        </is>
      </c>
      <c r="E561" s="2" t="inlineStr">
        <is>
          <t>BẢO TRÂM</t>
        </is>
      </c>
      <c r="F561" s="2" t="inlineStr">
        <is>
          <t>Shopee</t>
        </is>
      </c>
      <c r="G561" s="2" t="inlineStr">
        <is>
          <t>KPC-242</t>
        </is>
      </c>
      <c r="H561" s="3" t="inlineStr">
        <is>
          <t>Kéo cắt ống KPC-242</t>
        </is>
      </c>
      <c r="I561" s="4" t="n">
        <v>172000</v>
      </c>
      <c r="J561" s="4" t="n"/>
      <c r="K561" s="4">
        <f>IF(AND(ISNUMBER(J561),ISNUMBER(I561)),J561-I561,"")</f>
        <v/>
      </c>
      <c r="L561" s="5">
        <f>IF(AND(ISNUMBER(J561),ISNUMBER(I561),I561&gt;0),(J561-I561)/I561,"")</f>
        <v/>
      </c>
      <c r="M561" s="2">
        <f>IF(L561="","",IF(L561&lt;-0.05,"Bán phá giá",IF(L561&gt;0.05,"Bán cao hơn","Đúng giá niêm yết")))</f>
        <v/>
      </c>
      <c r="N561" s="2" t="n"/>
      <c r="O561" s="3" t="n"/>
      <c r="P561" s="3" t="n"/>
    </row>
    <row r="562">
      <c r="A562" s="2" t="n">
        <v>561</v>
      </c>
      <c r="B562" s="2" t="inlineStr">
        <is>
          <t>KH003</t>
        </is>
      </c>
      <c r="C562" s="3" t="inlineStr">
        <is>
          <t>CÔNG TY TNHH ĐỒ NGHỀ CẦM TAY PHƯƠNG MY</t>
        </is>
      </c>
      <c r="D562" s="2" t="inlineStr">
        <is>
          <t>HCM</t>
        </is>
      </c>
      <c r="E562" s="2" t="inlineStr">
        <is>
          <t>BẢO TRÂM</t>
        </is>
      </c>
      <c r="F562" s="2" t="inlineStr">
        <is>
          <t>Shopee</t>
        </is>
      </c>
      <c r="G562" s="2" t="inlineStr">
        <is>
          <t>QC1</t>
        </is>
      </c>
      <c r="H562" s="3" t="inlineStr">
        <is>
          <t>Kéo cắt trái cây QC1</t>
        </is>
      </c>
      <c r="I562" s="4" t="n">
        <v>47000</v>
      </c>
      <c r="J562" s="4" t="n"/>
      <c r="K562" s="4">
        <f>IF(AND(ISNUMBER(J562),ISNUMBER(I562)),J562-I562,"")</f>
        <v/>
      </c>
      <c r="L562" s="5">
        <f>IF(AND(ISNUMBER(J562),ISNUMBER(I562),I562&gt;0),(J562-I562)/I562,"")</f>
        <v/>
      </c>
      <c r="M562" s="2">
        <f>IF(L562="","",IF(L562&lt;-0.05,"Bán phá giá",IF(L562&gt;0.05,"Bán cao hơn","Đúng giá niêm yết")))</f>
        <v/>
      </c>
      <c r="N562" s="2" t="n"/>
      <c r="O562" s="3" t="n"/>
      <c r="P562" s="3" t="n"/>
    </row>
    <row r="563">
      <c r="A563" s="2" t="n">
        <v>562</v>
      </c>
      <c r="B563" s="2" t="inlineStr">
        <is>
          <t>KH003</t>
        </is>
      </c>
      <c r="C563" s="3" t="inlineStr">
        <is>
          <t>CÔNG TY TNHH ĐỒ NGHỀ CẦM TAY PHƯƠNG MY</t>
        </is>
      </c>
      <c r="D563" s="2" t="inlineStr">
        <is>
          <t>HCM</t>
        </is>
      </c>
      <c r="E563" s="2" t="inlineStr">
        <is>
          <t>BẢO TRÂM</t>
        </is>
      </c>
      <c r="F563" s="2" t="inlineStr">
        <is>
          <t>Shopee</t>
        </is>
      </c>
      <c r="G563" s="2" t="inlineStr">
        <is>
          <t>QC2</t>
        </is>
      </c>
      <c r="H563" s="3" t="inlineStr">
        <is>
          <t>Kéo cắt trái cây QC2</t>
        </is>
      </c>
      <c r="I563" s="4" t="n">
        <v>81000</v>
      </c>
      <c r="J563" s="4" t="n"/>
      <c r="K563" s="4">
        <f>IF(AND(ISNUMBER(J563),ISNUMBER(I563)),J563-I563,"")</f>
        <v/>
      </c>
      <c r="L563" s="5">
        <f>IF(AND(ISNUMBER(J563),ISNUMBER(I563),I563&gt;0),(J563-I563)/I563,"")</f>
        <v/>
      </c>
      <c r="M563" s="2">
        <f>IF(L563="","",IF(L563&lt;-0.05,"Bán phá giá",IF(L563&gt;0.05,"Bán cao hơn","Đúng giá niêm yết")))</f>
        <v/>
      </c>
      <c r="N563" s="2" t="n"/>
      <c r="O563" s="3" t="n"/>
      <c r="P563" s="3" t="n"/>
    </row>
    <row r="564">
      <c r="A564" s="2" t="n">
        <v>563</v>
      </c>
      <c r="B564" s="2" t="inlineStr">
        <is>
          <t>KH003</t>
        </is>
      </c>
      <c r="C564" s="3" t="inlineStr">
        <is>
          <t>CÔNG TY TNHH ĐỒ NGHỀ CẦM TAY PHƯƠNG MY</t>
        </is>
      </c>
      <c r="D564" s="2" t="inlineStr">
        <is>
          <t>HCM</t>
        </is>
      </c>
      <c r="E564" s="2" t="inlineStr">
        <is>
          <t>BẢO TRÂM</t>
        </is>
      </c>
      <c r="F564" s="2" t="inlineStr">
        <is>
          <t>Shopee</t>
        </is>
      </c>
      <c r="G564" s="2" t="inlineStr">
        <is>
          <t>NG107</t>
        </is>
      </c>
      <c r="H564" s="3" t="inlineStr">
        <is>
          <t>Kích nâng gạch NG107</t>
        </is>
      </c>
      <c r="I564" s="4" t="n">
        <v>105000</v>
      </c>
      <c r="J564" s="4" t="n"/>
      <c r="K564" s="4">
        <f>IF(AND(ISNUMBER(J564),ISNUMBER(I564)),J564-I564,"")</f>
        <v/>
      </c>
      <c r="L564" s="5">
        <f>IF(AND(ISNUMBER(J564),ISNUMBER(I564),I564&gt;0),(J564-I564)/I564,"")</f>
        <v/>
      </c>
      <c r="M564" s="2">
        <f>IF(L564="","",IF(L564&lt;-0.05,"Bán phá giá",IF(L564&gt;0.05,"Bán cao hơn","Đúng giá niêm yết")))</f>
        <v/>
      </c>
      <c r="N564" s="2" t="n"/>
      <c r="O564" s="3" t="n"/>
      <c r="P564" s="3" t="n"/>
    </row>
    <row r="565">
      <c r="A565" s="2" t="n">
        <v>564</v>
      </c>
      <c r="B565" s="2" t="inlineStr">
        <is>
          <t>KH003</t>
        </is>
      </c>
      <c r="C565" s="3" t="inlineStr">
        <is>
          <t>CÔNG TY TNHH ĐỒ NGHỀ CẦM TAY PHƯƠNG MY</t>
        </is>
      </c>
      <c r="D565" s="2" t="inlineStr">
        <is>
          <t>HCM</t>
        </is>
      </c>
      <c r="E565" s="2" t="inlineStr">
        <is>
          <t>BẢO TRÂM</t>
        </is>
      </c>
      <c r="F565" s="2" t="inlineStr">
        <is>
          <t>Shopee</t>
        </is>
      </c>
      <c r="G565" s="2" t="inlineStr">
        <is>
          <t>KND150</t>
        </is>
      </c>
      <c r="H565" s="3" t="inlineStr">
        <is>
          <t>Kìm cắt chân mạch đa năng KND150</t>
        </is>
      </c>
      <c r="I565" s="4" t="n">
        <v>80000</v>
      </c>
      <c r="J565" s="4" t="n"/>
      <c r="K565" s="4">
        <f>IF(AND(ISNUMBER(J565),ISNUMBER(I565)),J565-I565,"")</f>
        <v/>
      </c>
      <c r="L565" s="5">
        <f>IF(AND(ISNUMBER(J565),ISNUMBER(I565),I565&gt;0),(J565-I565)/I565,"")</f>
        <v/>
      </c>
      <c r="M565" s="2">
        <f>IF(L565="","",IF(L565&lt;-0.05,"Bán phá giá",IF(L565&gt;0.05,"Bán cao hơn","Đúng giá niêm yết")))</f>
        <v/>
      </c>
      <c r="N565" s="2" t="n"/>
      <c r="O565" s="3" t="n"/>
      <c r="P565" s="3" t="n"/>
    </row>
    <row r="566">
      <c r="A566" s="2" t="n">
        <v>565</v>
      </c>
      <c r="B566" s="2" t="inlineStr">
        <is>
          <t>KH003</t>
        </is>
      </c>
      <c r="C566" s="3" t="inlineStr">
        <is>
          <t>CÔNG TY TNHH ĐỒ NGHỀ CẦM TAY PHƯƠNG MY</t>
        </is>
      </c>
      <c r="D566" s="2" t="inlineStr">
        <is>
          <t>HCM</t>
        </is>
      </c>
      <c r="E566" s="2" t="inlineStr">
        <is>
          <t>BẢO TRÂM</t>
        </is>
      </c>
      <c r="F566" s="2" t="inlineStr">
        <is>
          <t>Shopee</t>
        </is>
      </c>
      <c r="G566" s="2" t="inlineStr">
        <is>
          <t>KC3-09</t>
        </is>
      </c>
      <c r="H566" s="3" t="inlineStr">
        <is>
          <t>Kìm cắt đa năng KC3-09</t>
        </is>
      </c>
      <c r="I566" s="4" t="n">
        <v>167000</v>
      </c>
      <c r="J566" s="4" t="n"/>
      <c r="K566" s="4">
        <f>IF(AND(ISNUMBER(J566),ISNUMBER(I566)),J566-I566,"")</f>
        <v/>
      </c>
      <c r="L566" s="5">
        <f>IF(AND(ISNUMBER(J566),ISNUMBER(I566),I566&gt;0),(J566-I566)/I566,"")</f>
        <v/>
      </c>
      <c r="M566" s="2">
        <f>IF(L566="","",IF(L566&lt;-0.05,"Bán phá giá",IF(L566&gt;0.05,"Bán cao hơn","Đúng giá niêm yết")))</f>
        <v/>
      </c>
      <c r="N566" s="2" t="n"/>
      <c r="O566" s="3" t="n"/>
      <c r="P566" s="3" t="n"/>
    </row>
    <row r="567">
      <c r="A567" s="2" t="n">
        <v>566</v>
      </c>
      <c r="B567" s="2" t="inlineStr">
        <is>
          <t>KH003</t>
        </is>
      </c>
      <c r="C567" s="3" t="inlineStr">
        <is>
          <t>CÔNG TY TNHH ĐỒ NGHỀ CẦM TAY PHƯƠNG MY</t>
        </is>
      </c>
      <c r="D567" s="2" t="inlineStr">
        <is>
          <t>HCM</t>
        </is>
      </c>
      <c r="E567" s="2" t="inlineStr">
        <is>
          <t>BẢO TRÂM</t>
        </is>
      </c>
      <c r="F567" s="2" t="inlineStr">
        <is>
          <t>Shopee</t>
        </is>
      </c>
      <c r="G567" s="2" t="inlineStr">
        <is>
          <t>KND200</t>
        </is>
      </c>
      <c r="H567" s="3" t="inlineStr">
        <is>
          <t>Kìm cắt tuốt đa năng 5 in1 KND200</t>
        </is>
      </c>
      <c r="I567" s="4" t="n">
        <v>72000</v>
      </c>
      <c r="J567" s="4" t="n"/>
      <c r="K567" s="4">
        <f>IF(AND(ISNUMBER(J567),ISNUMBER(I567)),J567-I567,"")</f>
        <v/>
      </c>
      <c r="L567" s="5">
        <f>IF(AND(ISNUMBER(J567),ISNUMBER(I567),I567&gt;0),(J567-I567)/I567,"")</f>
        <v/>
      </c>
      <c r="M567" s="2">
        <f>IF(L567="","",IF(L567&lt;-0.05,"Bán phá giá",IF(L567&gt;0.05,"Bán cao hơn","Đúng giá niêm yết")))</f>
        <v/>
      </c>
      <c r="N567" s="2" t="n"/>
      <c r="O567" s="3" t="n"/>
      <c r="P567" s="3" t="n"/>
    </row>
    <row r="568">
      <c r="A568" s="2" t="n">
        <v>567</v>
      </c>
      <c r="B568" s="2" t="inlineStr">
        <is>
          <t>KH003</t>
        </is>
      </c>
      <c r="C568" s="3" t="inlineStr">
        <is>
          <t>CÔNG TY TNHH ĐỒ NGHỀ CẦM TAY PHƯƠNG MY</t>
        </is>
      </c>
      <c r="D568" s="2" t="inlineStr">
        <is>
          <t>HCM</t>
        </is>
      </c>
      <c r="E568" s="2" t="inlineStr">
        <is>
          <t>BẢO TRÂM</t>
        </is>
      </c>
      <c r="F568" s="2" t="inlineStr">
        <is>
          <t>Shopee</t>
        </is>
      </c>
      <c r="G568" s="2" t="inlineStr"/>
      <c r="H568" s="3" t="inlineStr">
        <is>
          <t>Kìm cong phe ngoài KCE 180</t>
        </is>
      </c>
      <c r="I568" s="4" t="n">
        <v>61000</v>
      </c>
      <c r="J568" s="4" t="n"/>
      <c r="K568" s="4">
        <f>IF(AND(ISNUMBER(J568),ISNUMBER(I568)),J568-I568,"")</f>
        <v/>
      </c>
      <c r="L568" s="5">
        <f>IF(AND(ISNUMBER(J568),ISNUMBER(I568),I568&gt;0),(J568-I568)/I568,"")</f>
        <v/>
      </c>
      <c r="M568" s="2">
        <f>IF(L568="","",IF(L568&lt;-0.05,"Bán phá giá",IF(L568&gt;0.05,"Bán cao hơn","Đúng giá niêm yết")))</f>
        <v/>
      </c>
      <c r="N568" s="2" t="n"/>
      <c r="O568" s="3" t="n"/>
      <c r="P568" s="3" t="n"/>
    </row>
    <row r="569">
      <c r="A569" s="2" t="n">
        <v>568</v>
      </c>
      <c r="B569" s="2" t="inlineStr">
        <is>
          <t>KH003</t>
        </is>
      </c>
      <c r="C569" s="3" t="inlineStr">
        <is>
          <t>CÔNG TY TNHH ĐỒ NGHỀ CẦM TAY PHƯƠNG MY</t>
        </is>
      </c>
      <c r="D569" s="2" t="inlineStr">
        <is>
          <t>HCM</t>
        </is>
      </c>
      <c r="E569" s="2" t="inlineStr">
        <is>
          <t>BẢO TRÂM</t>
        </is>
      </c>
      <c r="F569" s="2" t="inlineStr">
        <is>
          <t>Shopee</t>
        </is>
      </c>
      <c r="G569" s="2" t="inlineStr"/>
      <c r="H569" s="3" t="inlineStr">
        <is>
          <t>Kìm cong phe trong KCD 180</t>
        </is>
      </c>
      <c r="I569" s="4" t="n">
        <v>61000</v>
      </c>
      <c r="J569" s="4" t="n"/>
      <c r="K569" s="4">
        <f>IF(AND(ISNUMBER(J569),ISNUMBER(I569)),J569-I569,"")</f>
        <v/>
      </c>
      <c r="L569" s="5">
        <f>IF(AND(ISNUMBER(J569),ISNUMBER(I569),I569&gt;0),(J569-I569)/I569,"")</f>
        <v/>
      </c>
      <c r="M569" s="2">
        <f>IF(L569="","",IF(L569&lt;-0.05,"Bán phá giá",IF(L569&gt;0.05,"Bán cao hơn","Đúng giá niêm yết")))</f>
        <v/>
      </c>
      <c r="N569" s="2" t="n"/>
      <c r="O569" s="3" t="n"/>
      <c r="P569" s="3" t="n"/>
    </row>
    <row r="570">
      <c r="A570" s="2" t="n">
        <v>569</v>
      </c>
      <c r="B570" s="2" t="inlineStr">
        <is>
          <t>KH003</t>
        </is>
      </c>
      <c r="C570" s="3" t="inlineStr">
        <is>
          <t>CÔNG TY TNHH ĐỒ NGHỀ CẦM TAY PHƯƠNG MY</t>
        </is>
      </c>
      <c r="D570" s="2" t="inlineStr">
        <is>
          <t>HCM</t>
        </is>
      </c>
      <c r="E570" s="2" t="inlineStr">
        <is>
          <t>BẢO TRÂM</t>
        </is>
      </c>
      <c r="F570" s="2" t="inlineStr">
        <is>
          <t>Shopee</t>
        </is>
      </c>
      <c r="G570" s="2" t="inlineStr">
        <is>
          <t>KS2-250</t>
        </is>
      </c>
      <c r="H570" s="3" t="inlineStr">
        <is>
          <t>Kìm chết KS2-250</t>
        </is>
      </c>
      <c r="I570" s="4" t="n">
        <v>186000</v>
      </c>
      <c r="J570" s="4" t="n"/>
      <c r="K570" s="4">
        <f>IF(AND(ISNUMBER(J570),ISNUMBER(I570)),J570-I570,"")</f>
        <v/>
      </c>
      <c r="L570" s="5">
        <f>IF(AND(ISNUMBER(J570),ISNUMBER(I570),I570&gt;0),(J570-I570)/I570,"")</f>
        <v/>
      </c>
      <c r="M570" s="2">
        <f>IF(L570="","",IF(L570&lt;-0.05,"Bán phá giá",IF(L570&gt;0.05,"Bán cao hơn","Đúng giá niêm yết")))</f>
        <v/>
      </c>
      <c r="N570" s="2" t="n"/>
      <c r="O570" s="3" t="n"/>
      <c r="P570" s="3" t="n"/>
    </row>
    <row r="571">
      <c r="A571" s="2" t="n">
        <v>570</v>
      </c>
      <c r="B571" s="2" t="inlineStr">
        <is>
          <t>KH003</t>
        </is>
      </c>
      <c r="C571" s="3" t="inlineStr">
        <is>
          <t>CÔNG TY TNHH ĐỒ NGHỀ CẦM TAY PHƯƠNG MY</t>
        </is>
      </c>
      <c r="D571" s="2" t="inlineStr">
        <is>
          <t>HCM</t>
        </is>
      </c>
      <c r="E571" s="2" t="inlineStr">
        <is>
          <t>BẢO TRÂM</t>
        </is>
      </c>
      <c r="F571" s="2" t="inlineStr">
        <is>
          <t>Shopee</t>
        </is>
      </c>
      <c r="G571" s="2" t="inlineStr">
        <is>
          <t>KS4-260</t>
        </is>
      </c>
      <c r="H571" s="3" t="inlineStr">
        <is>
          <t>Kìm chết ngàm rộng 4 chế độ KS4-260</t>
        </is>
      </c>
      <c r="I571" s="4" t="n">
        <v>306000</v>
      </c>
      <c r="J571" s="4" t="n"/>
      <c r="K571" s="4">
        <f>IF(AND(ISNUMBER(J571),ISNUMBER(I571)),J571-I571,"")</f>
        <v/>
      </c>
      <c r="L571" s="5">
        <f>IF(AND(ISNUMBER(J571),ISNUMBER(I571),I571&gt;0),(J571-I571)/I571,"")</f>
        <v/>
      </c>
      <c r="M571" s="2">
        <f>IF(L571="","",IF(L571&lt;-0.05,"Bán phá giá",IF(L571&gt;0.05,"Bán cao hơn","Đúng giá niêm yết")))</f>
        <v/>
      </c>
      <c r="N571" s="2" t="n"/>
      <c r="O571" s="3" t="n"/>
      <c r="P571" s="3" t="n"/>
    </row>
    <row r="572">
      <c r="A572" s="2" t="n">
        <v>571</v>
      </c>
      <c r="B572" s="2" t="inlineStr">
        <is>
          <t>KH003</t>
        </is>
      </c>
      <c r="C572" s="3" t="inlineStr">
        <is>
          <t>CÔNG TY TNHH ĐỒ NGHỀ CẦM TAY PHƯƠNG MY</t>
        </is>
      </c>
      <c r="D572" s="2" t="inlineStr">
        <is>
          <t>HCM</t>
        </is>
      </c>
      <c r="E572" s="2" t="inlineStr">
        <is>
          <t>BẢO TRÂM</t>
        </is>
      </c>
      <c r="F572" s="2" t="inlineStr">
        <is>
          <t>Shopee</t>
        </is>
      </c>
      <c r="G572" s="2" t="inlineStr">
        <is>
          <t>KC1-09</t>
        </is>
      </c>
      <c r="H572" s="3" t="inlineStr">
        <is>
          <t>Kìm điện đa năng KC1-09</t>
        </is>
      </c>
      <c r="I572" s="4" t="n">
        <v>167000</v>
      </c>
      <c r="J572" s="4" t="n"/>
      <c r="K572" s="4">
        <f>IF(AND(ISNUMBER(J572),ISNUMBER(I572)),J572-I572,"")</f>
        <v/>
      </c>
      <c r="L572" s="5">
        <f>IF(AND(ISNUMBER(J572),ISNUMBER(I572),I572&gt;0),(J572-I572)/I572,"")</f>
        <v/>
      </c>
      <c r="M572" s="2">
        <f>IF(L572="","",IF(L572&lt;-0.05,"Bán phá giá",IF(L572&gt;0.05,"Bán cao hơn","Đúng giá niêm yết")))</f>
        <v/>
      </c>
      <c r="N572" s="2" t="n"/>
      <c r="O572" s="3" t="n"/>
      <c r="P572" s="3" t="n"/>
    </row>
    <row r="573">
      <c r="A573" s="2" t="n">
        <v>572</v>
      </c>
      <c r="B573" s="2" t="inlineStr">
        <is>
          <t>KH003</t>
        </is>
      </c>
      <c r="C573" s="3" t="inlineStr">
        <is>
          <t>CÔNG TY TNHH ĐỒ NGHỀ CẦM TAY PHƯƠNG MY</t>
        </is>
      </c>
      <c r="D573" s="2" t="inlineStr">
        <is>
          <t>HCM</t>
        </is>
      </c>
      <c r="E573" s="2" t="inlineStr">
        <is>
          <t>BẢO TRÂM</t>
        </is>
      </c>
      <c r="F573" s="2" t="inlineStr">
        <is>
          <t>Shopee</t>
        </is>
      </c>
      <c r="G573" s="2" t="inlineStr">
        <is>
          <t>KC2-09</t>
        </is>
      </c>
      <c r="H573" s="3" t="inlineStr">
        <is>
          <t>Kìm mỏ nhọn đa năng KC2-09</t>
        </is>
      </c>
      <c r="I573" s="4" t="n">
        <v>167000</v>
      </c>
      <c r="J573" s="4" t="n"/>
      <c r="K573" s="4">
        <f>IF(AND(ISNUMBER(J573),ISNUMBER(I573)),J573-I573,"")</f>
        <v/>
      </c>
      <c r="L573" s="5">
        <f>IF(AND(ISNUMBER(J573),ISNUMBER(I573),I573&gt;0),(J573-I573)/I573,"")</f>
        <v/>
      </c>
      <c r="M573" s="2">
        <f>IF(L573="","",IF(L573&lt;-0.05,"Bán phá giá",IF(L573&gt;0.05,"Bán cao hơn","Đúng giá niêm yết")))</f>
        <v/>
      </c>
      <c r="N573" s="2" t="n"/>
      <c r="O573" s="3" t="n"/>
      <c r="P573" s="3" t="n"/>
    </row>
    <row r="574">
      <c r="A574" s="2" t="n">
        <v>573</v>
      </c>
      <c r="B574" s="2" t="inlineStr">
        <is>
          <t>KH003</t>
        </is>
      </c>
      <c r="C574" s="3" t="inlineStr">
        <is>
          <t>CÔNG TY TNHH ĐỒ NGHỀ CẦM TAY PHƯƠNG MY</t>
        </is>
      </c>
      <c r="D574" s="2" t="inlineStr">
        <is>
          <t>HCM</t>
        </is>
      </c>
      <c r="E574" s="2" t="inlineStr">
        <is>
          <t>BẢO TRÂM</t>
        </is>
      </c>
      <c r="F574" s="2" t="inlineStr">
        <is>
          <t>Shopee</t>
        </is>
      </c>
      <c r="G574" s="2" t="inlineStr">
        <is>
          <t>KC4-300</t>
        </is>
      </c>
      <c r="H574" s="3" t="inlineStr">
        <is>
          <t>Kìm mỏ quạ KC4-300</t>
        </is>
      </c>
      <c r="I574" s="4" t="n">
        <v>241000</v>
      </c>
      <c r="J574" s="4" t="n"/>
      <c r="K574" s="4">
        <f>IF(AND(ISNUMBER(J574),ISNUMBER(I574)),J574-I574,"")</f>
        <v/>
      </c>
      <c r="L574" s="5">
        <f>IF(AND(ISNUMBER(J574),ISNUMBER(I574),I574&gt;0),(J574-I574)/I574,"")</f>
        <v/>
      </c>
      <c r="M574" s="2">
        <f>IF(L574="","",IF(L574&lt;-0.05,"Bán phá giá",IF(L574&gt;0.05,"Bán cao hơn","Đúng giá niêm yết")))</f>
        <v/>
      </c>
      <c r="N574" s="2" t="n"/>
      <c r="O574" s="3" t="n"/>
      <c r="P574" s="3" t="n"/>
    </row>
    <row r="575">
      <c r="A575" s="2" t="n">
        <v>574</v>
      </c>
      <c r="B575" s="2" t="inlineStr">
        <is>
          <t>KH003</t>
        </is>
      </c>
      <c r="C575" s="3" t="inlineStr">
        <is>
          <t>CÔNG TY TNHH ĐỒ NGHỀ CẦM TAY PHƯƠNG MY</t>
        </is>
      </c>
      <c r="D575" s="2" t="inlineStr">
        <is>
          <t>HCM</t>
        </is>
      </c>
      <c r="E575" s="2" t="inlineStr">
        <is>
          <t>BẢO TRÂM</t>
        </is>
      </c>
      <c r="F575" s="2" t="inlineStr">
        <is>
          <t>Shopee</t>
        </is>
      </c>
      <c r="G575" s="2" t="inlineStr">
        <is>
          <t>KJ-230</t>
        </is>
      </c>
      <c r="H575" s="3" t="inlineStr">
        <is>
          <t>Kìm rút đinh công nghiệp KJ-230</t>
        </is>
      </c>
      <c r="I575" s="4" t="n">
        <v>311000</v>
      </c>
      <c r="J575" s="4" t="n"/>
      <c r="K575" s="4">
        <f>IF(AND(ISNUMBER(J575),ISNUMBER(I575)),J575-I575,"")</f>
        <v/>
      </c>
      <c r="L575" s="5">
        <f>IF(AND(ISNUMBER(J575),ISNUMBER(I575),I575&gt;0),(J575-I575)/I575,"")</f>
        <v/>
      </c>
      <c r="M575" s="2">
        <f>IF(L575="","",IF(L575&lt;-0.05,"Bán phá giá",IF(L575&gt;0.05,"Bán cao hơn","Đúng giá niêm yết")))</f>
        <v/>
      </c>
      <c r="N575" s="2" t="n"/>
      <c r="O575" s="3" t="n"/>
      <c r="P575" s="3" t="n"/>
    </row>
    <row r="576">
      <c r="A576" s="2" t="n">
        <v>575</v>
      </c>
      <c r="B576" s="2" t="inlineStr">
        <is>
          <t>KH003</t>
        </is>
      </c>
      <c r="C576" s="3" t="inlineStr">
        <is>
          <t>CÔNG TY TNHH ĐỒ NGHỀ CẦM TAY PHƯƠNG MY</t>
        </is>
      </c>
      <c r="D576" s="2" t="inlineStr">
        <is>
          <t>HCM</t>
        </is>
      </c>
      <c r="E576" s="2" t="inlineStr">
        <is>
          <t>BẢO TRÂM</t>
        </is>
      </c>
      <c r="F576" s="2" t="inlineStr">
        <is>
          <t>Shopee</t>
        </is>
      </c>
      <c r="G576" s="2" t="inlineStr">
        <is>
          <t>KJ-103</t>
        </is>
      </c>
      <c r="H576" s="3" t="inlineStr">
        <is>
          <t>Kìm rút đinh KJ-103</t>
        </is>
      </c>
      <c r="I576" s="4" t="n">
        <v>94000</v>
      </c>
      <c r="J576" s="4" t="n"/>
      <c r="K576" s="4">
        <f>IF(AND(ISNUMBER(J576),ISNUMBER(I576)),J576-I576,"")</f>
        <v/>
      </c>
      <c r="L576" s="5">
        <f>IF(AND(ISNUMBER(J576),ISNUMBER(I576),I576&gt;0),(J576-I576)/I576,"")</f>
        <v/>
      </c>
      <c r="M576" s="2">
        <f>IF(L576="","",IF(L576&lt;-0.05,"Bán phá giá",IF(L576&gt;0.05,"Bán cao hơn","Đúng giá niêm yết")))</f>
        <v/>
      </c>
      <c r="N576" s="2" t="n"/>
      <c r="O576" s="3" t="n"/>
      <c r="P576" s="3" t="n"/>
    </row>
    <row r="577">
      <c r="A577" s="2" t="n">
        <v>576</v>
      </c>
      <c r="B577" s="2" t="inlineStr">
        <is>
          <t>KH003</t>
        </is>
      </c>
      <c r="C577" s="3" t="inlineStr">
        <is>
          <t>CÔNG TY TNHH ĐỒ NGHỀ CẦM TAY PHƯƠNG MY</t>
        </is>
      </c>
      <c r="D577" s="2" t="inlineStr">
        <is>
          <t>HCM</t>
        </is>
      </c>
      <c r="E577" s="2" t="inlineStr">
        <is>
          <t>BẢO TRÂM</t>
        </is>
      </c>
      <c r="F577" s="2" t="inlineStr">
        <is>
          <t>Shopee</t>
        </is>
      </c>
      <c r="G577" s="2" t="inlineStr">
        <is>
          <t>KJ-105</t>
        </is>
      </c>
      <c r="H577" s="3" t="inlineStr">
        <is>
          <t>Kìm rút đinh rút KJ-105</t>
        </is>
      </c>
      <c r="I577" s="4" t="n">
        <v>154000</v>
      </c>
      <c r="J577" s="4" t="n"/>
      <c r="K577" s="4">
        <f>IF(AND(ISNUMBER(J577),ISNUMBER(I577)),J577-I577,"")</f>
        <v/>
      </c>
      <c r="L577" s="5">
        <f>IF(AND(ISNUMBER(J577),ISNUMBER(I577),I577&gt;0),(J577-I577)/I577,"")</f>
        <v/>
      </c>
      <c r="M577" s="2">
        <f>IF(L577="","",IF(L577&lt;-0.05,"Bán phá giá",IF(L577&gt;0.05,"Bán cao hơn","Đúng giá niêm yết")))</f>
        <v/>
      </c>
      <c r="N577" s="2" t="n"/>
      <c r="O577" s="3" t="n"/>
      <c r="P577" s="3" t="n"/>
    </row>
    <row r="578">
      <c r="A578" s="2" t="n">
        <v>577</v>
      </c>
      <c r="B578" s="2" t="inlineStr">
        <is>
          <t>KH003</t>
        </is>
      </c>
      <c r="C578" s="3" t="inlineStr">
        <is>
          <t>CÔNG TY TNHH ĐỒ NGHỀ CẦM TAY PHƯƠNG MY</t>
        </is>
      </c>
      <c r="D578" s="2" t="inlineStr">
        <is>
          <t>HCM</t>
        </is>
      </c>
      <c r="E578" s="2" t="inlineStr">
        <is>
          <t>BẢO TRÂM</t>
        </is>
      </c>
      <c r="F578" s="2" t="inlineStr">
        <is>
          <t>Shopee</t>
        </is>
      </c>
      <c r="G578" s="2" t="inlineStr">
        <is>
          <t>KJ-104</t>
        </is>
      </c>
      <c r="H578" s="3" t="inlineStr">
        <is>
          <t>Kìm rút đinh rút trợ lực KJ-104</t>
        </is>
      </c>
      <c r="I578" s="4" t="n">
        <v>204000</v>
      </c>
      <c r="J578" s="4" t="n"/>
      <c r="K578" s="4">
        <f>IF(AND(ISNUMBER(J578),ISNUMBER(I578)),J578-I578,"")</f>
        <v/>
      </c>
      <c r="L578" s="5">
        <f>IF(AND(ISNUMBER(J578),ISNUMBER(I578),I578&gt;0),(J578-I578)/I578,"")</f>
        <v/>
      </c>
      <c r="M578" s="2">
        <f>IF(L578="","",IF(L578&lt;-0.05,"Bán phá giá",IF(L578&gt;0.05,"Bán cao hơn","Đúng giá niêm yết")))</f>
        <v/>
      </c>
      <c r="N578" s="2" t="n"/>
      <c r="O578" s="3" t="n"/>
      <c r="P578" s="3" t="n"/>
    </row>
    <row r="579">
      <c r="A579" s="2" t="n">
        <v>578</v>
      </c>
      <c r="B579" s="2" t="inlineStr">
        <is>
          <t>KH003</t>
        </is>
      </c>
      <c r="C579" s="3" t="inlineStr">
        <is>
          <t>CÔNG TY TNHH ĐỒ NGHỀ CẦM TAY PHƯƠNG MY</t>
        </is>
      </c>
      <c r="D579" s="2" t="inlineStr">
        <is>
          <t>HCM</t>
        </is>
      </c>
      <c r="E579" s="2" t="inlineStr">
        <is>
          <t>BẢO TRÂM</t>
        </is>
      </c>
      <c r="F579" s="2" t="inlineStr">
        <is>
          <t>Shopee</t>
        </is>
      </c>
      <c r="G579" s="2" t="inlineStr">
        <is>
          <t>KND180</t>
        </is>
      </c>
      <c r="H579" s="3" t="inlineStr">
        <is>
          <t>Kìm tuốt dây điện đa năng KND180</t>
        </is>
      </c>
      <c r="I579" s="4" t="n">
        <v>158000</v>
      </c>
      <c r="J579" s="4" t="n"/>
      <c r="K579" s="4">
        <f>IF(AND(ISNUMBER(J579),ISNUMBER(I579)),J579-I579,"")</f>
        <v/>
      </c>
      <c r="L579" s="5">
        <f>IF(AND(ISNUMBER(J579),ISNUMBER(I579),I579&gt;0),(J579-I579)/I579,"")</f>
        <v/>
      </c>
      <c r="M579" s="2">
        <f>IF(L579="","",IF(L579&lt;-0.05,"Bán phá giá",IF(L579&gt;0.05,"Bán cao hơn","Đúng giá niêm yết")))</f>
        <v/>
      </c>
      <c r="N579" s="2" t="n"/>
      <c r="O579" s="3" t="n"/>
      <c r="P579" s="3" t="n"/>
    </row>
    <row r="580">
      <c r="A580" s="2" t="n">
        <v>579</v>
      </c>
      <c r="B580" s="2" t="inlineStr">
        <is>
          <t>KH003</t>
        </is>
      </c>
      <c r="C580" s="3" t="inlineStr">
        <is>
          <t>CÔNG TY TNHH ĐỒ NGHỀ CẦM TAY PHƯƠNG MY</t>
        </is>
      </c>
      <c r="D580" s="2" t="inlineStr">
        <is>
          <t>HCM</t>
        </is>
      </c>
      <c r="E580" s="2" t="inlineStr">
        <is>
          <t>BẢO TRÂM</t>
        </is>
      </c>
      <c r="F580" s="2" t="inlineStr">
        <is>
          <t>Shopee</t>
        </is>
      </c>
      <c r="G580" s="2" t="inlineStr"/>
      <c r="H580" s="3" t="inlineStr">
        <is>
          <t>Kìm thẳng phe ngoài KCB 180</t>
        </is>
      </c>
      <c r="I580" s="4" t="n">
        <v>61000</v>
      </c>
      <c r="J580" s="4" t="n"/>
      <c r="K580" s="4">
        <f>IF(AND(ISNUMBER(J580),ISNUMBER(I580)),J580-I580,"")</f>
        <v/>
      </c>
      <c r="L580" s="5">
        <f>IF(AND(ISNUMBER(J580),ISNUMBER(I580),I580&gt;0),(J580-I580)/I580,"")</f>
        <v/>
      </c>
      <c r="M580" s="2">
        <f>IF(L580="","",IF(L580&lt;-0.05,"Bán phá giá",IF(L580&gt;0.05,"Bán cao hơn","Đúng giá niêm yết")))</f>
        <v/>
      </c>
      <c r="N580" s="2" t="n"/>
      <c r="O580" s="3" t="n"/>
      <c r="P580" s="3" t="n"/>
    </row>
    <row r="581">
      <c r="A581" s="2" t="n">
        <v>580</v>
      </c>
      <c r="B581" s="2" t="inlineStr">
        <is>
          <t>KH003</t>
        </is>
      </c>
      <c r="C581" s="3" t="inlineStr">
        <is>
          <t>CÔNG TY TNHH ĐỒ NGHỀ CẦM TAY PHƯƠNG MY</t>
        </is>
      </c>
      <c r="D581" s="2" t="inlineStr">
        <is>
          <t>HCM</t>
        </is>
      </c>
      <c r="E581" s="2" t="inlineStr">
        <is>
          <t>BẢO TRÂM</t>
        </is>
      </c>
      <c r="F581" s="2" t="inlineStr">
        <is>
          <t>Shopee</t>
        </is>
      </c>
      <c r="G581" s="2" t="inlineStr"/>
      <c r="H581" s="3" t="inlineStr">
        <is>
          <t>Kìm thẳng phe trong KCA 180</t>
        </is>
      </c>
      <c r="I581" s="4" t="n">
        <v>61000</v>
      </c>
      <c r="J581" s="4" t="n"/>
      <c r="K581" s="4">
        <f>IF(AND(ISNUMBER(J581),ISNUMBER(I581)),J581-I581,"")</f>
        <v/>
      </c>
      <c r="L581" s="5">
        <f>IF(AND(ISNUMBER(J581),ISNUMBER(I581),I581&gt;0),(J581-I581)/I581,"")</f>
        <v/>
      </c>
      <c r="M581" s="2">
        <f>IF(L581="","",IF(L581&lt;-0.05,"Bán phá giá",IF(L581&gt;0.05,"Bán cao hơn","Đúng giá niêm yết")))</f>
        <v/>
      </c>
      <c r="N581" s="2" t="n"/>
      <c r="O581" s="3" t="n"/>
      <c r="P581" s="3" t="n"/>
    </row>
    <row r="582">
      <c r="A582" s="2" t="n">
        <v>581</v>
      </c>
      <c r="B582" s="2" t="inlineStr">
        <is>
          <t>KH003</t>
        </is>
      </c>
      <c r="C582" s="3" t="inlineStr">
        <is>
          <t>CÔNG TY TNHH ĐỒ NGHỀ CẦM TAY PHƯƠNG MY</t>
        </is>
      </c>
      <c r="D582" s="2" t="inlineStr">
        <is>
          <t>HCM</t>
        </is>
      </c>
      <c r="E582" s="2" t="inlineStr">
        <is>
          <t>BẢO TRÂM</t>
        </is>
      </c>
      <c r="F582" s="2" t="inlineStr">
        <is>
          <t>Shopee</t>
        </is>
      </c>
      <c r="G582" s="2" t="inlineStr">
        <is>
          <t>KBY3-020CO</t>
        </is>
      </c>
      <c r="H582" s="3" t="inlineStr">
        <is>
          <t>Khoan inox chuôi lục KBY3-020CO</t>
        </is>
      </c>
      <c r="I582" s="4" t="n">
        <v>18000</v>
      </c>
      <c r="J582" s="4" t="n"/>
      <c r="K582" s="4">
        <f>IF(AND(ISNUMBER(J582),ISNUMBER(I582)),J582-I582,"")</f>
        <v/>
      </c>
      <c r="L582" s="5">
        <f>IF(AND(ISNUMBER(J582),ISNUMBER(I582),I582&gt;0),(J582-I582)/I582,"")</f>
        <v/>
      </c>
      <c r="M582" s="2">
        <f>IF(L582="","",IF(L582&lt;-0.05,"Bán phá giá",IF(L582&gt;0.05,"Bán cao hơn","Đúng giá niêm yết")))</f>
        <v/>
      </c>
      <c r="N582" s="2" t="n"/>
      <c r="O582" s="3" t="n"/>
      <c r="P582" s="3" t="n"/>
    </row>
    <row r="583">
      <c r="A583" s="2" t="n">
        <v>582</v>
      </c>
      <c r="B583" s="2" t="inlineStr">
        <is>
          <t>KH003</t>
        </is>
      </c>
      <c r="C583" s="3" t="inlineStr">
        <is>
          <t>CÔNG TY TNHH ĐỒ NGHỀ CẦM TAY PHƯƠNG MY</t>
        </is>
      </c>
      <c r="D583" s="2" t="inlineStr">
        <is>
          <t>HCM</t>
        </is>
      </c>
      <c r="E583" s="2" t="inlineStr">
        <is>
          <t>BẢO TRÂM</t>
        </is>
      </c>
      <c r="F583" s="2" t="inlineStr">
        <is>
          <t>Shopee</t>
        </is>
      </c>
      <c r="G583" s="2" t="inlineStr">
        <is>
          <t>KBY3-025CO</t>
        </is>
      </c>
      <c r="H583" s="3" t="inlineStr">
        <is>
          <t>Khoan inox chuôi lục KBY3-025CO</t>
        </is>
      </c>
      <c r="I583" s="4" t="n">
        <v>25500</v>
      </c>
      <c r="J583" s="4" t="n"/>
      <c r="K583" s="4">
        <f>IF(AND(ISNUMBER(J583),ISNUMBER(I583)),J583-I583,"")</f>
        <v/>
      </c>
      <c r="L583" s="5">
        <f>IF(AND(ISNUMBER(J583),ISNUMBER(I583),I583&gt;0),(J583-I583)/I583,"")</f>
        <v/>
      </c>
      <c r="M583" s="2">
        <f>IF(L583="","",IF(L583&lt;-0.05,"Bán phá giá",IF(L583&gt;0.05,"Bán cao hơn","Đúng giá niêm yết")))</f>
        <v/>
      </c>
      <c r="N583" s="2" t="n"/>
      <c r="O583" s="3" t="n"/>
      <c r="P583" s="3" t="n"/>
    </row>
    <row r="584">
      <c r="A584" s="2" t="n">
        <v>583</v>
      </c>
      <c r="B584" s="2" t="inlineStr">
        <is>
          <t>KH003</t>
        </is>
      </c>
      <c r="C584" s="3" t="inlineStr">
        <is>
          <t>CÔNG TY TNHH ĐỒ NGHỀ CẦM TAY PHƯƠNG MY</t>
        </is>
      </c>
      <c r="D584" s="2" t="inlineStr">
        <is>
          <t>HCM</t>
        </is>
      </c>
      <c r="E584" s="2" t="inlineStr">
        <is>
          <t>BẢO TRÂM</t>
        </is>
      </c>
      <c r="F584" s="2" t="inlineStr">
        <is>
          <t>Shopee</t>
        </is>
      </c>
      <c r="G584" s="2" t="inlineStr">
        <is>
          <t>KBY3-030CO</t>
        </is>
      </c>
      <c r="H584" s="3" t="inlineStr">
        <is>
          <t>Khoan inox chuôi lục KBY3-030CO</t>
        </is>
      </c>
      <c r="I584" s="4" t="n">
        <v>28500</v>
      </c>
      <c r="J584" s="4" t="n"/>
      <c r="K584" s="4">
        <f>IF(AND(ISNUMBER(J584),ISNUMBER(I584)),J584-I584,"")</f>
        <v/>
      </c>
      <c r="L584" s="5">
        <f>IF(AND(ISNUMBER(J584),ISNUMBER(I584),I584&gt;0),(J584-I584)/I584,"")</f>
        <v/>
      </c>
      <c r="M584" s="2">
        <f>IF(L584="","",IF(L584&lt;-0.05,"Bán phá giá",IF(L584&gt;0.05,"Bán cao hơn","Đúng giá niêm yết")))</f>
        <v/>
      </c>
      <c r="N584" s="2" t="n"/>
      <c r="O584" s="3" t="n"/>
      <c r="P584" s="3" t="n"/>
    </row>
    <row r="585">
      <c r="A585" s="2" t="n">
        <v>584</v>
      </c>
      <c r="B585" s="2" t="inlineStr">
        <is>
          <t>KH003</t>
        </is>
      </c>
      <c r="C585" s="3" t="inlineStr">
        <is>
          <t>CÔNG TY TNHH ĐỒ NGHỀ CẦM TAY PHƯƠNG MY</t>
        </is>
      </c>
      <c r="D585" s="2" t="inlineStr">
        <is>
          <t>HCM</t>
        </is>
      </c>
      <c r="E585" s="2" t="inlineStr">
        <is>
          <t>BẢO TRÂM</t>
        </is>
      </c>
      <c r="F585" s="2" t="inlineStr">
        <is>
          <t>Shopee</t>
        </is>
      </c>
      <c r="G585" s="2" t="inlineStr">
        <is>
          <t>KBY3-032CO</t>
        </is>
      </c>
      <c r="H585" s="3" t="inlineStr">
        <is>
          <t>Khoan inox chuôi lục KBY3-032CO</t>
        </is>
      </c>
      <c r="I585" s="4" t="n">
        <v>32000</v>
      </c>
      <c r="J585" s="4" t="n"/>
      <c r="K585" s="4">
        <f>IF(AND(ISNUMBER(J585),ISNUMBER(I585)),J585-I585,"")</f>
        <v/>
      </c>
      <c r="L585" s="5">
        <f>IF(AND(ISNUMBER(J585),ISNUMBER(I585),I585&gt;0),(J585-I585)/I585,"")</f>
        <v/>
      </c>
      <c r="M585" s="2">
        <f>IF(L585="","",IF(L585&lt;-0.05,"Bán phá giá",IF(L585&gt;0.05,"Bán cao hơn","Đúng giá niêm yết")))</f>
        <v/>
      </c>
      <c r="N585" s="2" t="n"/>
      <c r="O585" s="3" t="n"/>
      <c r="P585" s="3" t="n"/>
    </row>
    <row r="586">
      <c r="A586" s="2" t="n">
        <v>585</v>
      </c>
      <c r="B586" s="2" t="inlineStr">
        <is>
          <t>KH003</t>
        </is>
      </c>
      <c r="C586" s="3" t="inlineStr">
        <is>
          <t>CÔNG TY TNHH ĐỒ NGHỀ CẦM TAY PHƯƠNG MY</t>
        </is>
      </c>
      <c r="D586" s="2" t="inlineStr">
        <is>
          <t>HCM</t>
        </is>
      </c>
      <c r="E586" s="2" t="inlineStr">
        <is>
          <t>BẢO TRÂM</t>
        </is>
      </c>
      <c r="F586" s="2" t="inlineStr">
        <is>
          <t>Shopee</t>
        </is>
      </c>
      <c r="G586" s="2" t="inlineStr">
        <is>
          <t>KBY3-035CO</t>
        </is>
      </c>
      <c r="H586" s="3" t="inlineStr">
        <is>
          <t>Khoan inox chuôi lục KBY3-035CO</t>
        </is>
      </c>
      <c r="I586" s="4" t="n">
        <v>33000</v>
      </c>
      <c r="J586" s="4" t="n"/>
      <c r="K586" s="4">
        <f>IF(AND(ISNUMBER(J586),ISNUMBER(I586)),J586-I586,"")</f>
        <v/>
      </c>
      <c r="L586" s="5">
        <f>IF(AND(ISNUMBER(J586),ISNUMBER(I586),I586&gt;0),(J586-I586)/I586,"")</f>
        <v/>
      </c>
      <c r="M586" s="2">
        <f>IF(L586="","",IF(L586&lt;-0.05,"Bán phá giá",IF(L586&gt;0.05,"Bán cao hơn","Đúng giá niêm yết")))</f>
        <v/>
      </c>
      <c r="N586" s="2" t="n"/>
      <c r="O586" s="3" t="n"/>
      <c r="P586" s="3" t="n"/>
    </row>
    <row r="587">
      <c r="A587" s="2" t="n">
        <v>586</v>
      </c>
      <c r="B587" s="2" t="inlineStr">
        <is>
          <t>KH003</t>
        </is>
      </c>
      <c r="C587" s="3" t="inlineStr">
        <is>
          <t>CÔNG TY TNHH ĐỒ NGHỀ CẦM TAY PHƯƠNG MY</t>
        </is>
      </c>
      <c r="D587" s="2" t="inlineStr">
        <is>
          <t>HCM</t>
        </is>
      </c>
      <c r="E587" s="2" t="inlineStr">
        <is>
          <t>BẢO TRÂM</t>
        </is>
      </c>
      <c r="F587" s="2" t="inlineStr">
        <is>
          <t>Shopee</t>
        </is>
      </c>
      <c r="G587" s="2" t="inlineStr">
        <is>
          <t>KBY3-040CO</t>
        </is>
      </c>
      <c r="H587" s="3" t="inlineStr">
        <is>
          <t>Khoan inox chuôi lục KBY3-040CO</t>
        </is>
      </c>
      <c r="I587" s="4" t="n">
        <v>36000</v>
      </c>
      <c r="J587" s="4" t="n"/>
      <c r="K587" s="4">
        <f>IF(AND(ISNUMBER(J587),ISNUMBER(I587)),J587-I587,"")</f>
        <v/>
      </c>
      <c r="L587" s="5">
        <f>IF(AND(ISNUMBER(J587),ISNUMBER(I587),I587&gt;0),(J587-I587)/I587,"")</f>
        <v/>
      </c>
      <c r="M587" s="2">
        <f>IF(L587="","",IF(L587&lt;-0.05,"Bán phá giá",IF(L587&gt;0.05,"Bán cao hơn","Đúng giá niêm yết")))</f>
        <v/>
      </c>
      <c r="N587" s="2" t="n"/>
      <c r="O587" s="3" t="n"/>
      <c r="P587" s="3" t="n"/>
    </row>
    <row r="588">
      <c r="A588" s="2" t="n">
        <v>587</v>
      </c>
      <c r="B588" s="2" t="inlineStr">
        <is>
          <t>KH003</t>
        </is>
      </c>
      <c r="C588" s="3" t="inlineStr">
        <is>
          <t>CÔNG TY TNHH ĐỒ NGHỀ CẦM TAY PHƯƠNG MY</t>
        </is>
      </c>
      <c r="D588" s="2" t="inlineStr">
        <is>
          <t>HCM</t>
        </is>
      </c>
      <c r="E588" s="2" t="inlineStr">
        <is>
          <t>BẢO TRÂM</t>
        </is>
      </c>
      <c r="F588" s="2" t="inlineStr">
        <is>
          <t>Shopee</t>
        </is>
      </c>
      <c r="G588" s="2" t="inlineStr">
        <is>
          <t>KBY3-042CO</t>
        </is>
      </c>
      <c r="H588" s="3" t="inlineStr">
        <is>
          <t>Khoan inox chuôi lục KBY3-042CO</t>
        </is>
      </c>
      <c r="I588" s="4" t="n">
        <v>41000</v>
      </c>
      <c r="J588" s="4" t="n"/>
      <c r="K588" s="4">
        <f>IF(AND(ISNUMBER(J588),ISNUMBER(I588)),J588-I588,"")</f>
        <v/>
      </c>
      <c r="L588" s="5">
        <f>IF(AND(ISNUMBER(J588),ISNUMBER(I588),I588&gt;0),(J588-I588)/I588,"")</f>
        <v/>
      </c>
      <c r="M588" s="2">
        <f>IF(L588="","",IF(L588&lt;-0.05,"Bán phá giá",IF(L588&gt;0.05,"Bán cao hơn","Đúng giá niêm yết")))</f>
        <v/>
      </c>
      <c r="N588" s="2" t="n"/>
      <c r="O588" s="3" t="n"/>
      <c r="P588" s="3" t="n"/>
    </row>
    <row r="589">
      <c r="A589" s="2" t="n">
        <v>588</v>
      </c>
      <c r="B589" s="2" t="inlineStr">
        <is>
          <t>KH003</t>
        </is>
      </c>
      <c r="C589" s="3" t="inlineStr">
        <is>
          <t>CÔNG TY TNHH ĐỒ NGHỀ CẦM TAY PHƯƠNG MY</t>
        </is>
      </c>
      <c r="D589" s="2" t="inlineStr">
        <is>
          <t>HCM</t>
        </is>
      </c>
      <c r="E589" s="2" t="inlineStr">
        <is>
          <t>BẢO TRÂM</t>
        </is>
      </c>
      <c r="F589" s="2" t="inlineStr">
        <is>
          <t>Shopee</t>
        </is>
      </c>
      <c r="G589" s="2" t="inlineStr">
        <is>
          <t>KBY3-045CO</t>
        </is>
      </c>
      <c r="H589" s="3" t="inlineStr">
        <is>
          <t>Khoan inox chuôi lục KBY3-045CO</t>
        </is>
      </c>
      <c r="I589" s="4" t="n">
        <v>29500</v>
      </c>
      <c r="J589" s="4" t="n"/>
      <c r="K589" s="4">
        <f>IF(AND(ISNUMBER(J589),ISNUMBER(I589)),J589-I589,"")</f>
        <v/>
      </c>
      <c r="L589" s="5">
        <f>IF(AND(ISNUMBER(J589),ISNUMBER(I589),I589&gt;0),(J589-I589)/I589,"")</f>
        <v/>
      </c>
      <c r="M589" s="2">
        <f>IF(L589="","",IF(L589&lt;-0.05,"Bán phá giá",IF(L589&gt;0.05,"Bán cao hơn","Đúng giá niêm yết")))</f>
        <v/>
      </c>
      <c r="N589" s="2" t="n"/>
      <c r="O589" s="3" t="n"/>
      <c r="P589" s="3" t="n"/>
    </row>
    <row r="590">
      <c r="A590" s="2" t="n">
        <v>589</v>
      </c>
      <c r="B590" s="2" t="inlineStr">
        <is>
          <t>KH003</t>
        </is>
      </c>
      <c r="C590" s="3" t="inlineStr">
        <is>
          <t>CÔNG TY TNHH ĐỒ NGHỀ CẦM TAY PHƯƠNG MY</t>
        </is>
      </c>
      <c r="D590" s="2" t="inlineStr">
        <is>
          <t>HCM</t>
        </is>
      </c>
      <c r="E590" s="2" t="inlineStr">
        <is>
          <t>BẢO TRÂM</t>
        </is>
      </c>
      <c r="F590" s="2" t="inlineStr">
        <is>
          <t>Shopee</t>
        </is>
      </c>
      <c r="G590" s="2" t="inlineStr">
        <is>
          <t>KBY3-050CO</t>
        </is>
      </c>
      <c r="H590" s="3" t="inlineStr">
        <is>
          <t>Khoan inox chuôi lục KBY3-050CO</t>
        </is>
      </c>
      <c r="I590" s="4" t="n">
        <v>48000</v>
      </c>
      <c r="J590" s="4" t="n"/>
      <c r="K590" s="4">
        <f>IF(AND(ISNUMBER(J590),ISNUMBER(I590)),J590-I590,"")</f>
        <v/>
      </c>
      <c r="L590" s="5">
        <f>IF(AND(ISNUMBER(J590),ISNUMBER(I590),I590&gt;0),(J590-I590)/I590,"")</f>
        <v/>
      </c>
      <c r="M590" s="2">
        <f>IF(L590="","",IF(L590&lt;-0.05,"Bán phá giá",IF(L590&gt;0.05,"Bán cao hơn","Đúng giá niêm yết")))</f>
        <v/>
      </c>
      <c r="N590" s="2" t="n"/>
      <c r="O590" s="3" t="n"/>
      <c r="P590" s="3" t="n"/>
    </row>
    <row r="591">
      <c r="A591" s="2" t="n">
        <v>590</v>
      </c>
      <c r="B591" s="2" t="inlineStr">
        <is>
          <t>KH003</t>
        </is>
      </c>
      <c r="C591" s="3" t="inlineStr">
        <is>
          <t>CÔNG TY TNHH ĐỒ NGHỀ CẦM TAY PHƯƠNG MY</t>
        </is>
      </c>
      <c r="D591" s="2" t="inlineStr">
        <is>
          <t>HCM</t>
        </is>
      </c>
      <c r="E591" s="2" t="inlineStr">
        <is>
          <t>BẢO TRÂM</t>
        </is>
      </c>
      <c r="F591" s="2" t="inlineStr">
        <is>
          <t>Shopee</t>
        </is>
      </c>
      <c r="G591" s="2" t="inlineStr">
        <is>
          <t>KBY3-060CO</t>
        </is>
      </c>
      <c r="H591" s="3" t="inlineStr">
        <is>
          <t>Khoan inox chuôi lục KBY3-060CO</t>
        </is>
      </c>
      <c r="I591" s="4" t="n">
        <v>59000</v>
      </c>
      <c r="J591" s="4" t="n"/>
      <c r="K591" s="4">
        <f>IF(AND(ISNUMBER(J591),ISNUMBER(I591)),J591-I591,"")</f>
        <v/>
      </c>
      <c r="L591" s="5">
        <f>IF(AND(ISNUMBER(J591),ISNUMBER(I591),I591&gt;0),(J591-I591)/I591,"")</f>
        <v/>
      </c>
      <c r="M591" s="2">
        <f>IF(L591="","",IF(L591&lt;-0.05,"Bán phá giá",IF(L591&gt;0.05,"Bán cao hơn","Đúng giá niêm yết")))</f>
        <v/>
      </c>
      <c r="N591" s="2" t="n"/>
      <c r="O591" s="3" t="n"/>
      <c r="P591" s="3" t="n"/>
    </row>
    <row r="592">
      <c r="A592" s="2" t="n">
        <v>591</v>
      </c>
      <c r="B592" s="2" t="inlineStr">
        <is>
          <t>KH003</t>
        </is>
      </c>
      <c r="C592" s="3" t="inlineStr">
        <is>
          <t>CÔNG TY TNHH ĐỒ NGHỀ CẦM TAY PHƯƠNG MY</t>
        </is>
      </c>
      <c r="D592" s="2" t="inlineStr">
        <is>
          <t>HCM</t>
        </is>
      </c>
      <c r="E592" s="2" t="inlineStr">
        <is>
          <t>BẢO TRÂM</t>
        </is>
      </c>
      <c r="F592" s="2" t="inlineStr">
        <is>
          <t>Shopee</t>
        </is>
      </c>
      <c r="G592" s="2" t="inlineStr">
        <is>
          <t>KBY3-080CO</t>
        </is>
      </c>
      <c r="H592" s="3" t="inlineStr">
        <is>
          <t>Khoan inox chuôi lục KBY3-080CO</t>
        </is>
      </c>
      <c r="I592" s="4" t="n">
        <v>75000</v>
      </c>
      <c r="J592" s="4" t="n"/>
      <c r="K592" s="4">
        <f>IF(AND(ISNUMBER(J592),ISNUMBER(I592)),J592-I592,"")</f>
        <v/>
      </c>
      <c r="L592" s="5">
        <f>IF(AND(ISNUMBER(J592),ISNUMBER(I592),I592&gt;0),(J592-I592)/I592,"")</f>
        <v/>
      </c>
      <c r="M592" s="2">
        <f>IF(L592="","",IF(L592&lt;-0.05,"Bán phá giá",IF(L592&gt;0.05,"Bán cao hơn","Đúng giá niêm yết")))</f>
        <v/>
      </c>
      <c r="N592" s="2" t="n"/>
      <c r="O592" s="3" t="n"/>
      <c r="P592" s="3" t="n"/>
    </row>
    <row r="593">
      <c r="A593" s="2" t="n">
        <v>592</v>
      </c>
      <c r="B593" s="2" t="inlineStr">
        <is>
          <t>KH003</t>
        </is>
      </c>
      <c r="C593" s="3" t="inlineStr">
        <is>
          <t>CÔNG TY TNHH ĐỒ NGHỀ CẦM TAY PHƯƠNG MY</t>
        </is>
      </c>
      <c r="D593" s="2" t="inlineStr">
        <is>
          <t>HCM</t>
        </is>
      </c>
      <c r="E593" s="2" t="inlineStr">
        <is>
          <t>BẢO TRÂM</t>
        </is>
      </c>
      <c r="F593" s="2" t="inlineStr">
        <is>
          <t>Shopee</t>
        </is>
      </c>
      <c r="G593" s="2" t="inlineStr">
        <is>
          <t>KBY3-100CO</t>
        </is>
      </c>
      <c r="H593" s="3" t="inlineStr">
        <is>
          <t>Khoan inox chuôi lục KBY3-100CO</t>
        </is>
      </c>
      <c r="I593" s="4" t="n">
        <v>115000</v>
      </c>
      <c r="J593" s="4" t="n"/>
      <c r="K593" s="4">
        <f>IF(AND(ISNUMBER(J593),ISNUMBER(I593)),J593-I593,"")</f>
        <v/>
      </c>
      <c r="L593" s="5">
        <f>IF(AND(ISNUMBER(J593),ISNUMBER(I593),I593&gt;0),(J593-I593)/I593,"")</f>
        <v/>
      </c>
      <c r="M593" s="2">
        <f>IF(L593="","",IF(L593&lt;-0.05,"Bán phá giá",IF(L593&gt;0.05,"Bán cao hơn","Đúng giá niêm yết")))</f>
        <v/>
      </c>
      <c r="N593" s="2" t="n"/>
      <c r="O593" s="3" t="n"/>
      <c r="P593" s="3" t="n"/>
    </row>
    <row r="594">
      <c r="A594" s="2" t="n">
        <v>593</v>
      </c>
      <c r="B594" s="2" t="inlineStr">
        <is>
          <t>KH003</t>
        </is>
      </c>
      <c r="C594" s="3" t="inlineStr">
        <is>
          <t>CÔNG TY TNHH ĐỒ NGHỀ CẦM TAY PHƯƠNG MY</t>
        </is>
      </c>
      <c r="D594" s="2" t="inlineStr">
        <is>
          <t>HCM</t>
        </is>
      </c>
      <c r="E594" s="2" t="inlineStr">
        <is>
          <t>BẢO TRÂM</t>
        </is>
      </c>
      <c r="F594" s="2" t="inlineStr">
        <is>
          <t>Shopee</t>
        </is>
      </c>
      <c r="G594" s="2" t="inlineStr">
        <is>
          <t>F1</t>
        </is>
      </c>
      <c r="H594" s="3" t="inlineStr">
        <is>
          <t>Lưỡi cắt Kingblue F1 110DN (vàng)</t>
        </is>
      </c>
      <c r="I594" s="4" t="n">
        <v>123000</v>
      </c>
      <c r="J594" s="4" t="n"/>
      <c r="K594" s="4">
        <f>IF(AND(ISNUMBER(J594),ISNUMBER(I594)),J594-I594,"")</f>
        <v/>
      </c>
      <c r="L594" s="5">
        <f>IF(AND(ISNUMBER(J594),ISNUMBER(I594),I594&gt;0),(J594-I594)/I594,"")</f>
        <v/>
      </c>
      <c r="M594" s="2">
        <f>IF(L594="","",IF(L594&lt;-0.05,"Bán phá giá",IF(L594&gt;0.05,"Bán cao hơn","Đúng giá niêm yết")))</f>
        <v/>
      </c>
      <c r="N594" s="2" t="n"/>
      <c r="O594" s="3" t="n"/>
      <c r="P594" s="3" t="n"/>
    </row>
    <row r="595">
      <c r="A595" s="2" t="n">
        <v>594</v>
      </c>
      <c r="B595" s="2" t="inlineStr">
        <is>
          <t>KH003</t>
        </is>
      </c>
      <c r="C595" s="3" t="inlineStr">
        <is>
          <t>CÔNG TY TNHH ĐỒ NGHỀ CẦM TAY PHƯƠNG MY</t>
        </is>
      </c>
      <c r="D595" s="2" t="inlineStr">
        <is>
          <t>HCM</t>
        </is>
      </c>
      <c r="E595" s="2" t="inlineStr">
        <is>
          <t>BẢO TRÂM</t>
        </is>
      </c>
      <c r="F595" s="2" t="inlineStr">
        <is>
          <t>Shopee</t>
        </is>
      </c>
      <c r="G595" s="2" t="inlineStr">
        <is>
          <t>S2</t>
        </is>
      </c>
      <c r="H595" s="3" t="inlineStr">
        <is>
          <t>Lưỡi cắt KingBlue S2 105DN</t>
        </is>
      </c>
      <c r="I595" s="4" t="n">
        <v>73000</v>
      </c>
      <c r="J595" s="4" t="n"/>
      <c r="K595" s="4">
        <f>IF(AND(ISNUMBER(J595),ISNUMBER(I595)),J595-I595,"")</f>
        <v/>
      </c>
      <c r="L595" s="5">
        <f>IF(AND(ISNUMBER(J595),ISNUMBER(I595),I595&gt;0),(J595-I595)/I595,"")</f>
        <v/>
      </c>
      <c r="M595" s="2">
        <f>IF(L595="","",IF(L595&lt;-0.05,"Bán phá giá",IF(L595&gt;0.05,"Bán cao hơn","Đúng giá niêm yết")))</f>
        <v/>
      </c>
      <c r="N595" s="2" t="n"/>
      <c r="O595" s="3" t="n"/>
      <c r="P595" s="3" t="n"/>
    </row>
    <row r="596">
      <c r="A596" s="2" t="n">
        <v>595</v>
      </c>
      <c r="B596" s="2" t="inlineStr">
        <is>
          <t>KH003</t>
        </is>
      </c>
      <c r="C596" s="3" t="inlineStr">
        <is>
          <t>CÔNG TY TNHH ĐỒ NGHỀ CẦM TAY PHƯƠNG MY</t>
        </is>
      </c>
      <c r="D596" s="2" t="inlineStr">
        <is>
          <t>HCM</t>
        </is>
      </c>
      <c r="E596" s="2" t="inlineStr">
        <is>
          <t>BẢO TRÂM</t>
        </is>
      </c>
      <c r="F596" s="2" t="inlineStr">
        <is>
          <t>Shopee</t>
        </is>
      </c>
      <c r="G596" s="2" t="inlineStr">
        <is>
          <t>S4-105DN</t>
        </is>
      </c>
      <c r="H596" s="3" t="inlineStr">
        <is>
          <t>Lưỡi cắt KingBlue S4-105DN</t>
        </is>
      </c>
      <c r="I596" s="4" t="n">
        <v>119000</v>
      </c>
      <c r="J596" s="4" t="n"/>
      <c r="K596" s="4">
        <f>IF(AND(ISNUMBER(J596),ISNUMBER(I596)),J596-I596,"")</f>
        <v/>
      </c>
      <c r="L596" s="5">
        <f>IF(AND(ISNUMBER(J596),ISNUMBER(I596),I596&gt;0),(J596-I596)/I596,"")</f>
        <v/>
      </c>
      <c r="M596" s="2">
        <f>IF(L596="","",IF(L596&lt;-0.05,"Bán phá giá",IF(L596&gt;0.05,"Bán cao hơn","Đúng giá niêm yết")))</f>
        <v/>
      </c>
      <c r="N596" s="2" t="n"/>
      <c r="O596" s="3" t="n"/>
      <c r="P596" s="3" t="n"/>
    </row>
    <row r="597">
      <c r="A597" s="2" t="n">
        <v>596</v>
      </c>
      <c r="B597" s="2" t="inlineStr">
        <is>
          <t>KH003</t>
        </is>
      </c>
      <c r="C597" s="3" t="inlineStr">
        <is>
          <t>CÔNG TY TNHH ĐỒ NGHỀ CẦM TAY PHƯƠNG MY</t>
        </is>
      </c>
      <c r="D597" s="2" t="inlineStr">
        <is>
          <t>HCM</t>
        </is>
      </c>
      <c r="E597" s="2" t="inlineStr">
        <is>
          <t>BẢO TRÂM</t>
        </is>
      </c>
      <c r="F597" s="2" t="inlineStr">
        <is>
          <t>Shopee</t>
        </is>
      </c>
      <c r="G597" s="2" t="inlineStr">
        <is>
          <t>K1-185x32T</t>
        </is>
      </c>
      <c r="H597" s="3" t="inlineStr">
        <is>
          <t>Lưỡi cưa kim loại KingBlue K1-185x32T (Cưa sắt)</t>
        </is>
      </c>
      <c r="I597" s="4" t="n">
        <v>328000</v>
      </c>
      <c r="J597" s="4" t="n"/>
      <c r="K597" s="4">
        <f>IF(AND(ISNUMBER(J597),ISNUMBER(I597)),J597-I597,"")</f>
        <v/>
      </c>
      <c r="L597" s="5">
        <f>IF(AND(ISNUMBER(J597),ISNUMBER(I597),I597&gt;0),(J597-I597)/I597,"")</f>
        <v/>
      </c>
      <c r="M597" s="2">
        <f>IF(L597="","",IF(L597&lt;-0.05,"Bán phá giá",IF(L597&gt;0.05,"Bán cao hơn","Đúng giá niêm yết")))</f>
        <v/>
      </c>
      <c r="N597" s="2" t="n"/>
      <c r="O597" s="3" t="n"/>
      <c r="P597" s="3" t="n"/>
    </row>
    <row r="598">
      <c r="A598" s="2" t="n">
        <v>597</v>
      </c>
      <c r="B598" s="2" t="inlineStr">
        <is>
          <t>KH003</t>
        </is>
      </c>
      <c r="C598" s="3" t="inlineStr">
        <is>
          <t>CÔNG TY TNHH ĐỒ NGHỀ CẦM TAY PHƯƠNG MY</t>
        </is>
      </c>
      <c r="D598" s="2" t="inlineStr">
        <is>
          <t>HCM</t>
        </is>
      </c>
      <c r="E598" s="2" t="inlineStr">
        <is>
          <t>BẢO TRÂM</t>
        </is>
      </c>
      <c r="F598" s="2" t="inlineStr">
        <is>
          <t>Shopee</t>
        </is>
      </c>
      <c r="G598" s="2" t="inlineStr">
        <is>
          <t>KB-LE350</t>
        </is>
      </c>
      <c r="H598" s="3" t="inlineStr">
        <is>
          <t>Lưỡi Cưa KingBlue KB-LE350</t>
        </is>
      </c>
      <c r="I598" s="4" t="n">
        <v>179000</v>
      </c>
      <c r="J598" s="4" t="n"/>
      <c r="K598" s="4">
        <f>IF(AND(ISNUMBER(J598),ISNUMBER(I598)),J598-I598,"")</f>
        <v/>
      </c>
      <c r="L598" s="5">
        <f>IF(AND(ISNUMBER(J598),ISNUMBER(I598),I598&gt;0),(J598-I598)/I598,"")</f>
        <v/>
      </c>
      <c r="M598" s="2">
        <f>IF(L598="","",IF(L598&lt;-0.05,"Bán phá giá",IF(L598&gt;0.05,"Bán cao hơn","Đúng giá niêm yết")))</f>
        <v/>
      </c>
      <c r="N598" s="2" t="n"/>
      <c r="O598" s="3" t="n"/>
      <c r="P598" s="3" t="n"/>
    </row>
    <row r="599">
      <c r="A599" s="2" t="n">
        <v>598</v>
      </c>
      <c r="B599" s="2" t="inlineStr">
        <is>
          <t>KH003</t>
        </is>
      </c>
      <c r="C599" s="3" t="inlineStr">
        <is>
          <t>CÔNG TY TNHH ĐỒ NGHỀ CẦM TAY PHƯƠNG MY</t>
        </is>
      </c>
      <c r="D599" s="2" t="inlineStr">
        <is>
          <t>HCM</t>
        </is>
      </c>
      <c r="E599" s="2" t="inlineStr">
        <is>
          <t>BẢO TRÂM</t>
        </is>
      </c>
      <c r="F599" s="2" t="inlineStr">
        <is>
          <t>Shopee</t>
        </is>
      </c>
      <c r="G599" s="2" t="inlineStr">
        <is>
          <t>QLE300</t>
        </is>
      </c>
      <c r="H599" s="3" t="inlineStr">
        <is>
          <t>Lưỡi cưa Kingblue QLE300</t>
        </is>
      </c>
      <c r="I599" s="4" t="n">
        <v>105000</v>
      </c>
      <c r="J599" s="4" t="n"/>
      <c r="K599" s="4">
        <f>IF(AND(ISNUMBER(J599),ISNUMBER(I599)),J599-I599,"")</f>
        <v/>
      </c>
      <c r="L599" s="5">
        <f>IF(AND(ISNUMBER(J599),ISNUMBER(I599),I599&gt;0),(J599-I599)/I599,"")</f>
        <v/>
      </c>
      <c r="M599" s="2">
        <f>IF(L599="","",IF(L599&lt;-0.05,"Bán phá giá",IF(L599&gt;0.05,"Bán cao hơn","Đúng giá niêm yết")))</f>
        <v/>
      </c>
      <c r="N599" s="2" t="n"/>
      <c r="O599" s="3" t="n"/>
      <c r="P599" s="3" t="n"/>
    </row>
    <row r="600">
      <c r="A600" s="2" t="n">
        <v>599</v>
      </c>
      <c r="B600" s="2" t="inlineStr">
        <is>
          <t>KH003</t>
        </is>
      </c>
      <c r="C600" s="3" t="inlineStr">
        <is>
          <t>CÔNG TY TNHH ĐỒ NGHỀ CẦM TAY PHƯƠNG MY</t>
        </is>
      </c>
      <c r="D600" s="2" t="inlineStr">
        <is>
          <t>HCM</t>
        </is>
      </c>
      <c r="E600" s="2" t="inlineStr">
        <is>
          <t>BẢO TRÂM</t>
        </is>
      </c>
      <c r="F600" s="2" t="inlineStr">
        <is>
          <t>Shopee</t>
        </is>
      </c>
      <c r="G600" s="2" t="inlineStr">
        <is>
          <t>X1-180x40T</t>
        </is>
      </c>
      <c r="H600" s="3" t="inlineStr">
        <is>
          <t>Lưỡi cưa Kingblue X1-180x40T (Cưa gỗ)-NEW</t>
        </is>
      </c>
      <c r="I600" s="4" t="n">
        <v>152000</v>
      </c>
      <c r="J600" s="4" t="n"/>
      <c r="K600" s="4">
        <f>IF(AND(ISNUMBER(J600),ISNUMBER(I600)),J600-I600,"")</f>
        <v/>
      </c>
      <c r="L600" s="5">
        <f>IF(AND(ISNUMBER(J600),ISNUMBER(I600),I600&gt;0),(J600-I600)/I600,"")</f>
        <v/>
      </c>
      <c r="M600" s="2">
        <f>IF(L600="","",IF(L600&lt;-0.05,"Bán phá giá",IF(L600&gt;0.05,"Bán cao hơn","Đúng giá niêm yết")))</f>
        <v/>
      </c>
      <c r="N600" s="2" t="n"/>
      <c r="O600" s="3" t="n"/>
      <c r="P600" s="3" t="n"/>
    </row>
    <row r="601">
      <c r="A601" s="2" t="n">
        <v>600</v>
      </c>
      <c r="B601" s="2" t="inlineStr">
        <is>
          <t>KH003</t>
        </is>
      </c>
      <c r="C601" s="3" t="inlineStr">
        <is>
          <t>CÔNG TY TNHH ĐỒ NGHỀ CẦM TAY PHƯƠNG MY</t>
        </is>
      </c>
      <c r="D601" s="2" t="inlineStr">
        <is>
          <t>HCM</t>
        </is>
      </c>
      <c r="E601" s="2" t="inlineStr">
        <is>
          <t>BẢO TRÂM</t>
        </is>
      </c>
      <c r="F601" s="2" t="inlineStr">
        <is>
          <t>Shopee</t>
        </is>
      </c>
      <c r="G601" s="2" t="inlineStr">
        <is>
          <t>XS-110x30T</t>
        </is>
      </c>
      <c r="H601" s="3" t="inlineStr">
        <is>
          <t>Lưỡi cưa Kingblue XS-110x30T (Cưa gỗ)-NEW</t>
        </is>
      </c>
      <c r="I601" s="4" t="n">
        <v>60000</v>
      </c>
      <c r="J601" s="4" t="n"/>
      <c r="K601" s="4">
        <f>IF(AND(ISNUMBER(J601),ISNUMBER(I601)),J601-I601,"")</f>
        <v/>
      </c>
      <c r="L601" s="5">
        <f>IF(AND(ISNUMBER(J601),ISNUMBER(I601),I601&gt;0),(J601-I601)/I601,"")</f>
        <v/>
      </c>
      <c r="M601" s="2">
        <f>IF(L601="","",IF(L601&lt;-0.05,"Bán phá giá",IF(L601&gt;0.05,"Bán cao hơn","Đúng giá niêm yết")))</f>
        <v/>
      </c>
      <c r="N601" s="2" t="n"/>
      <c r="O601" s="3" t="n"/>
      <c r="P601" s="3" t="n"/>
    </row>
    <row r="602">
      <c r="A602" s="2" t="n">
        <v>601</v>
      </c>
      <c r="B602" s="2" t="inlineStr">
        <is>
          <t>KH003</t>
        </is>
      </c>
      <c r="C602" s="3" t="inlineStr">
        <is>
          <t>CÔNG TY TNHH ĐỒ NGHỀ CẦM TAY PHƯƠNG MY</t>
        </is>
      </c>
      <c r="D602" s="2" t="inlineStr">
        <is>
          <t>HCM</t>
        </is>
      </c>
      <c r="E602" s="2" t="inlineStr">
        <is>
          <t>BẢO TRÂM</t>
        </is>
      </c>
      <c r="F602" s="2" t="inlineStr">
        <is>
          <t>Shopee</t>
        </is>
      </c>
      <c r="G602" s="2" t="inlineStr">
        <is>
          <t>K18VFS</t>
        </is>
      </c>
      <c r="H602" s="3" t="inlineStr">
        <is>
          <t>Máy Bắn Vít 18V K18VFS</t>
        </is>
      </c>
      <c r="I602" s="4" t="n">
        <v>1450000</v>
      </c>
      <c r="J602" s="4" t="n"/>
      <c r="K602" s="4">
        <f>IF(AND(ISNUMBER(J602),ISNUMBER(I602)),J602-I602,"")</f>
        <v/>
      </c>
      <c r="L602" s="5">
        <f>IF(AND(ISNUMBER(J602),ISNUMBER(I602),I602&gt;0),(J602-I602)/I602,"")</f>
        <v/>
      </c>
      <c r="M602" s="2">
        <f>IF(L602="","",IF(L602&lt;-0.05,"Bán phá giá",IF(L602&gt;0.05,"Bán cao hơn","Đúng giá niêm yết")))</f>
        <v/>
      </c>
      <c r="N602" s="2" t="n"/>
      <c r="O602" s="3" t="n"/>
      <c r="P602" s="3" t="n"/>
    </row>
    <row r="603">
      <c r="A603" s="2" t="n">
        <v>602</v>
      </c>
      <c r="B603" s="2" t="inlineStr">
        <is>
          <t>KH003</t>
        </is>
      </c>
      <c r="C603" s="3" t="inlineStr">
        <is>
          <t>CÔNG TY TNHH ĐỒ NGHỀ CẦM TAY PHƯƠNG MY</t>
        </is>
      </c>
      <c r="D603" s="2" t="inlineStr">
        <is>
          <t>HCM</t>
        </is>
      </c>
      <c r="E603" s="2" t="inlineStr">
        <is>
          <t>BẢO TRÂM</t>
        </is>
      </c>
      <c r="F603" s="2" t="inlineStr">
        <is>
          <t>Shopee</t>
        </is>
      </c>
      <c r="G603" s="2" t="inlineStr">
        <is>
          <t>KB-02XS</t>
        </is>
      </c>
      <c r="H603" s="3" t="inlineStr">
        <is>
          <t>Máy cân bằng KB-02XS</t>
        </is>
      </c>
      <c r="I603" s="4" t="n">
        <v>950000</v>
      </c>
      <c r="J603" s="4" t="n"/>
      <c r="K603" s="4">
        <f>IF(AND(ISNUMBER(J603),ISNUMBER(I603)),J603-I603,"")</f>
        <v/>
      </c>
      <c r="L603" s="5">
        <f>IF(AND(ISNUMBER(J603),ISNUMBER(I603),I603&gt;0),(J603-I603)/I603,"")</f>
        <v/>
      </c>
      <c r="M603" s="2">
        <f>IF(L603="","",IF(L603&lt;-0.05,"Bán phá giá",IF(L603&gt;0.05,"Bán cao hơn","Đúng giá niêm yết")))</f>
        <v/>
      </c>
      <c r="N603" s="2" t="n"/>
      <c r="O603" s="3" t="n"/>
      <c r="P603" s="3" t="n"/>
    </row>
    <row r="604">
      <c r="A604" s="2" t="n">
        <v>603</v>
      </c>
      <c r="B604" s="2" t="inlineStr">
        <is>
          <t>KH003</t>
        </is>
      </c>
      <c r="C604" s="3" t="inlineStr">
        <is>
          <t>CÔNG TY TNHH ĐỒ NGHỀ CẦM TAY PHƯƠNG MY</t>
        </is>
      </c>
      <c r="D604" s="2" t="inlineStr">
        <is>
          <t>HCM</t>
        </is>
      </c>
      <c r="E604" s="2" t="inlineStr">
        <is>
          <t>BẢO TRÂM</t>
        </is>
      </c>
      <c r="F604" s="2" t="inlineStr">
        <is>
          <t>Shopee</t>
        </is>
      </c>
      <c r="G604" s="2" t="inlineStr">
        <is>
          <t>K18QES</t>
        </is>
      </c>
      <c r="H604" s="3" t="inlineStr">
        <is>
          <t>Máy Khoan 3 Chức Năng 18V K18QES</t>
        </is>
      </c>
      <c r="I604" s="4" t="n">
        <v>2200000</v>
      </c>
      <c r="J604" s="4" t="n"/>
      <c r="K604" s="4">
        <f>IF(AND(ISNUMBER(J604),ISNUMBER(I604)),J604-I604,"")</f>
        <v/>
      </c>
      <c r="L604" s="5">
        <f>IF(AND(ISNUMBER(J604),ISNUMBER(I604),I604&gt;0),(J604-I604)/I604,"")</f>
        <v/>
      </c>
      <c r="M604" s="2">
        <f>IF(L604="","",IF(L604&lt;-0.05,"Bán phá giá",IF(L604&gt;0.05,"Bán cao hơn","Đúng giá niêm yết")))</f>
        <v/>
      </c>
      <c r="N604" s="2" t="n"/>
      <c r="O604" s="3" t="n"/>
      <c r="P604" s="3" t="n"/>
    </row>
    <row r="605">
      <c r="A605" s="2" t="n">
        <v>604</v>
      </c>
      <c r="B605" s="2" t="inlineStr">
        <is>
          <t>KH003</t>
        </is>
      </c>
      <c r="C605" s="3" t="inlineStr">
        <is>
          <t>CÔNG TY TNHH ĐỒ NGHỀ CẦM TAY PHƯƠNG MY</t>
        </is>
      </c>
      <c r="D605" s="2" t="inlineStr">
        <is>
          <t>HCM</t>
        </is>
      </c>
      <c r="E605" s="2" t="inlineStr">
        <is>
          <t>BẢO TRÂM</t>
        </is>
      </c>
      <c r="F605" s="2" t="inlineStr">
        <is>
          <t>Shopee</t>
        </is>
      </c>
      <c r="G605" s="2" t="inlineStr">
        <is>
          <t>K18QFS</t>
        </is>
      </c>
      <c r="H605" s="3" t="inlineStr">
        <is>
          <t>Máy khoan bê tông 18V K18QFS</t>
        </is>
      </c>
      <c r="I605" s="4" t="n"/>
      <c r="J605" s="4" t="n"/>
      <c r="K605" s="4">
        <f>IF(AND(ISNUMBER(J605),ISNUMBER(I605)),J605-I605,"")</f>
        <v/>
      </c>
      <c r="L605" s="5">
        <f>IF(AND(ISNUMBER(J605),ISNUMBER(I605),I605&gt;0),(J605-I605)/I605,"")</f>
        <v/>
      </c>
      <c r="M605" s="2">
        <f>IF(L605="","",IF(L605&lt;-0.05,"Bán phá giá",IF(L605&gt;0.05,"Bán cao hơn","Đúng giá niêm yết")))</f>
        <v/>
      </c>
      <c r="N605" s="2" t="n"/>
      <c r="O605" s="3" t="n"/>
      <c r="P605" s="3" t="n"/>
    </row>
    <row r="606">
      <c r="A606" s="2" t="n">
        <v>605</v>
      </c>
      <c r="B606" s="2" t="inlineStr">
        <is>
          <t>KH003</t>
        </is>
      </c>
      <c r="C606" s="3" t="inlineStr">
        <is>
          <t>CÔNG TY TNHH ĐỒ NGHỀ CẦM TAY PHƯƠNG MY</t>
        </is>
      </c>
      <c r="D606" s="2" t="inlineStr">
        <is>
          <t>HCM</t>
        </is>
      </c>
      <c r="E606" s="2" t="inlineStr">
        <is>
          <t>BẢO TRÂM</t>
        </is>
      </c>
      <c r="F606" s="2" t="inlineStr">
        <is>
          <t>Shopee</t>
        </is>
      </c>
      <c r="G606" s="2" t="inlineStr">
        <is>
          <t>K18MGS</t>
        </is>
      </c>
      <c r="H606" s="3" t="inlineStr">
        <is>
          <t>Máy Mài Góc 18V K18MGS</t>
        </is>
      </c>
      <c r="I606" s="4" t="n">
        <v>1260000</v>
      </c>
      <c r="J606" s="4" t="n"/>
      <c r="K606" s="4">
        <f>IF(AND(ISNUMBER(J606),ISNUMBER(I606)),J606-I606,"")</f>
        <v/>
      </c>
      <c r="L606" s="5">
        <f>IF(AND(ISNUMBER(J606),ISNUMBER(I606),I606&gt;0),(J606-I606)/I606,"")</f>
        <v/>
      </c>
      <c r="M606" s="2">
        <f>IF(L606="","",IF(L606&lt;-0.05,"Bán phá giá",IF(L606&gt;0.05,"Bán cao hơn","Đúng giá niêm yết")))</f>
        <v/>
      </c>
      <c r="N606" s="2" t="n"/>
      <c r="O606" s="3" t="n"/>
      <c r="P606" s="3" t="n"/>
    </row>
    <row r="607">
      <c r="A607" s="2" t="n">
        <v>606</v>
      </c>
      <c r="B607" s="2" t="inlineStr">
        <is>
          <t>KH003</t>
        </is>
      </c>
      <c r="C607" s="3" t="inlineStr">
        <is>
          <t>CÔNG TY TNHH ĐỒ NGHỀ CẦM TAY PHƯƠNG MY</t>
        </is>
      </c>
      <c r="D607" s="2" t="inlineStr">
        <is>
          <t>HCM</t>
        </is>
      </c>
      <c r="E607" s="2" t="inlineStr">
        <is>
          <t>BẢO TRÂM</t>
        </is>
      </c>
      <c r="F607" s="2" t="inlineStr">
        <is>
          <t>Shopee</t>
        </is>
      </c>
      <c r="G607" s="2" t="inlineStr">
        <is>
          <t>KBA-UL1200</t>
        </is>
      </c>
      <c r="H607" s="3" t="inlineStr">
        <is>
          <t>Máy rửa xe áp lực cao KBA-UL1200</t>
        </is>
      </c>
      <c r="I607" s="4" t="n"/>
      <c r="J607" s="4" t="n"/>
      <c r="K607" s="4">
        <f>IF(AND(ISNUMBER(J607),ISNUMBER(I607)),J607-I607,"")</f>
        <v/>
      </c>
      <c r="L607" s="5">
        <f>IF(AND(ISNUMBER(J607),ISNUMBER(I607),I607&gt;0),(J607-I607)/I607,"")</f>
        <v/>
      </c>
      <c r="M607" s="2">
        <f>IF(L607="","",IF(L607&lt;-0.05,"Bán phá giá",IF(L607&gt;0.05,"Bán cao hơn","Đúng giá niêm yết")))</f>
        <v/>
      </c>
      <c r="N607" s="2" t="n"/>
      <c r="O607" s="3" t="n"/>
      <c r="P607" s="3" t="n"/>
    </row>
    <row r="608">
      <c r="A608" s="2" t="n">
        <v>607</v>
      </c>
      <c r="B608" s="2" t="inlineStr">
        <is>
          <t>KH003</t>
        </is>
      </c>
      <c r="C608" s="3" t="inlineStr">
        <is>
          <t>CÔNG TY TNHH ĐỒ NGHỀ CẦM TAY PHƯƠNG MY</t>
        </is>
      </c>
      <c r="D608" s="2" t="inlineStr">
        <is>
          <t>HCM</t>
        </is>
      </c>
      <c r="E608" s="2" t="inlineStr">
        <is>
          <t>BẢO TRÂM</t>
        </is>
      </c>
      <c r="F608" s="2" t="inlineStr">
        <is>
          <t>Shopee</t>
        </is>
      </c>
      <c r="G608" s="2" t="inlineStr">
        <is>
          <t>KBA-I1500</t>
        </is>
      </c>
      <c r="H608" s="3" t="inlineStr">
        <is>
          <t>Máy rửa xe KBA-I1500</t>
        </is>
      </c>
      <c r="I608" s="4" t="n">
        <v>1980000</v>
      </c>
      <c r="J608" s="4" t="n"/>
      <c r="K608" s="4">
        <f>IF(AND(ISNUMBER(J608),ISNUMBER(I608)),J608-I608,"")</f>
        <v/>
      </c>
      <c r="L608" s="5">
        <f>IF(AND(ISNUMBER(J608),ISNUMBER(I608),I608&gt;0),(J608-I608)/I608,"")</f>
        <v/>
      </c>
      <c r="M608" s="2">
        <f>IF(L608="","",IF(L608&lt;-0.05,"Bán phá giá",IF(L608&gt;0.05,"Bán cao hơn","Đúng giá niêm yết")))</f>
        <v/>
      </c>
      <c r="N608" s="2" t="n"/>
      <c r="O608" s="3" t="n"/>
      <c r="P608" s="3" t="n"/>
    </row>
    <row r="609">
      <c r="A609" s="2" t="n">
        <v>608</v>
      </c>
      <c r="B609" s="2" t="inlineStr">
        <is>
          <t>KH003</t>
        </is>
      </c>
      <c r="C609" s="3" t="inlineStr">
        <is>
          <t>CÔNG TY TNHH ĐỒ NGHỀ CẦM TAY PHƯƠNG MY</t>
        </is>
      </c>
      <c r="D609" s="2" t="inlineStr">
        <is>
          <t>HCM</t>
        </is>
      </c>
      <c r="E609" s="2" t="inlineStr">
        <is>
          <t>BẢO TRÂM</t>
        </is>
      </c>
      <c r="F609" s="2" t="inlineStr">
        <is>
          <t>Shopee</t>
        </is>
      </c>
      <c r="G609" s="2" t="inlineStr">
        <is>
          <t>KBA-US1500</t>
        </is>
      </c>
      <c r="H609" s="3" t="inlineStr">
        <is>
          <t>Máy rửa xe tiêu âm KBA-US1500</t>
        </is>
      </c>
      <c r="I609" s="4" t="n"/>
      <c r="J609" s="4" t="n"/>
      <c r="K609" s="4">
        <f>IF(AND(ISNUMBER(J609),ISNUMBER(I609)),J609-I609,"")</f>
        <v/>
      </c>
      <c r="L609" s="5">
        <f>IF(AND(ISNUMBER(J609),ISNUMBER(I609),I609&gt;0),(J609-I609)/I609,"")</f>
        <v/>
      </c>
      <c r="M609" s="2">
        <f>IF(L609="","",IF(L609&lt;-0.05,"Bán phá giá",IF(L609&gt;0.05,"Bán cao hơn","Đúng giá niêm yết")))</f>
        <v/>
      </c>
      <c r="N609" s="2" t="n"/>
      <c r="O609" s="3" t="n"/>
      <c r="P609" s="3" t="n"/>
    </row>
    <row r="610">
      <c r="A610" s="2" t="n">
        <v>609</v>
      </c>
      <c r="B610" s="2" t="inlineStr">
        <is>
          <t>KH003</t>
        </is>
      </c>
      <c r="C610" s="3" t="inlineStr">
        <is>
          <t>CÔNG TY TNHH ĐỒ NGHỀ CẦM TAY PHƯƠNG MY</t>
        </is>
      </c>
      <c r="D610" s="2" t="inlineStr">
        <is>
          <t>HCM</t>
        </is>
      </c>
      <c r="E610" s="2" t="inlineStr">
        <is>
          <t>BẢO TRÂM</t>
        </is>
      </c>
      <c r="F610" s="2" t="inlineStr">
        <is>
          <t>Shopee</t>
        </is>
      </c>
      <c r="G610" s="2" t="inlineStr">
        <is>
          <t>K18SVS</t>
        </is>
      </c>
      <c r="H610" s="3" t="inlineStr">
        <is>
          <t>Máy siết Bulon 18V 2in1 K18SVS</t>
        </is>
      </c>
      <c r="I610" s="4" t="n">
        <v>1530000</v>
      </c>
      <c r="J610" s="4" t="n"/>
      <c r="K610" s="4">
        <f>IF(AND(ISNUMBER(J610),ISNUMBER(I610)),J610-I610,"")</f>
        <v/>
      </c>
      <c r="L610" s="5">
        <f>IF(AND(ISNUMBER(J610),ISNUMBER(I610),I610&gt;0),(J610-I610)/I610,"")</f>
        <v/>
      </c>
      <c r="M610" s="2">
        <f>IF(L610="","",IF(L610&lt;-0.05,"Bán phá giá",IF(L610&gt;0.05,"Bán cao hơn","Đúng giá niêm yết")))</f>
        <v/>
      </c>
      <c r="N610" s="2" t="n"/>
      <c r="O610" s="3" t="n"/>
      <c r="P610" s="3" t="n"/>
    </row>
    <row r="611">
      <c r="A611" s="2" t="n">
        <v>610</v>
      </c>
      <c r="B611" s="2" t="inlineStr">
        <is>
          <t>KH003</t>
        </is>
      </c>
      <c r="C611" s="3" t="inlineStr">
        <is>
          <t>CÔNG TY TNHH ĐỒ NGHỀ CẦM TAY PHƯƠNG MY</t>
        </is>
      </c>
      <c r="D611" s="2" t="inlineStr">
        <is>
          <t>HCM</t>
        </is>
      </c>
      <c r="E611" s="2" t="inlineStr">
        <is>
          <t>BẢO TRÂM</t>
        </is>
      </c>
      <c r="F611" s="2" t="inlineStr">
        <is>
          <t>Shopee</t>
        </is>
      </c>
      <c r="G611" s="2" t="inlineStr">
        <is>
          <t>K18SFS</t>
        </is>
      </c>
      <c r="H611" s="3" t="inlineStr">
        <is>
          <t>Máy siết bulong 18V K18SFS</t>
        </is>
      </c>
      <c r="I611" s="4" t="n"/>
      <c r="J611" s="4" t="n"/>
      <c r="K611" s="4">
        <f>IF(AND(ISNUMBER(J611),ISNUMBER(I611)),J611-I611,"")</f>
        <v/>
      </c>
      <c r="L611" s="5">
        <f>IF(AND(ISNUMBER(J611),ISNUMBER(I611),I611&gt;0),(J611-I611)/I611,"")</f>
        <v/>
      </c>
      <c r="M611" s="2">
        <f>IF(L611="","",IF(L611&lt;-0.05,"Bán phá giá",IF(L611&gt;0.05,"Bán cao hơn","Đúng giá niêm yết")))</f>
        <v/>
      </c>
      <c r="N611" s="2" t="n"/>
      <c r="O611" s="3" t="n"/>
      <c r="P611" s="3" t="n"/>
    </row>
    <row r="612">
      <c r="A612" s="2" t="n">
        <v>611</v>
      </c>
      <c r="B612" s="2" t="inlineStr">
        <is>
          <t>KH003</t>
        </is>
      </c>
      <c r="C612" s="3" t="inlineStr">
        <is>
          <t>CÔNG TY TNHH ĐỒ NGHỀ CẦM TAY PHƯƠNG MY</t>
        </is>
      </c>
      <c r="D612" s="2" t="inlineStr">
        <is>
          <t>HCM</t>
        </is>
      </c>
      <c r="E612" s="2" t="inlineStr">
        <is>
          <t>BẢO TRÂM</t>
        </is>
      </c>
      <c r="F612" s="2" t="inlineStr">
        <is>
          <t>Shopee</t>
        </is>
      </c>
      <c r="G612" s="2" t="inlineStr">
        <is>
          <t>K18PLS</t>
        </is>
      </c>
      <c r="H612" s="3" t="inlineStr">
        <is>
          <t>Máy thổi phản lực 18V K18PLS</t>
        </is>
      </c>
      <c r="I612" s="4" t="n"/>
      <c r="J612" s="4" t="n"/>
      <c r="K612" s="4">
        <f>IF(AND(ISNUMBER(J612),ISNUMBER(I612)),J612-I612,"")</f>
        <v/>
      </c>
      <c r="L612" s="5">
        <f>IF(AND(ISNUMBER(J612),ISNUMBER(I612),I612&gt;0),(J612-I612)/I612,"")</f>
        <v/>
      </c>
      <c r="M612" s="2">
        <f>IF(L612="","",IF(L612&lt;-0.05,"Bán phá giá",IF(L612&gt;0.05,"Bán cao hơn","Đúng giá niêm yết")))</f>
        <v/>
      </c>
      <c r="N612" s="2" t="n"/>
      <c r="O612" s="3" t="n"/>
      <c r="P612" s="3" t="n"/>
    </row>
    <row r="613">
      <c r="A613" s="2" t="n">
        <v>612</v>
      </c>
      <c r="B613" s="2" t="inlineStr">
        <is>
          <t>KH003</t>
        </is>
      </c>
      <c r="C613" s="3" t="inlineStr">
        <is>
          <t>CÔNG TY TNHH ĐỒ NGHỀ CẦM TAY PHƯƠNG MY</t>
        </is>
      </c>
      <c r="D613" s="2" t="inlineStr">
        <is>
          <t>HCM</t>
        </is>
      </c>
      <c r="E613" s="2" t="inlineStr">
        <is>
          <t>BẢO TRÂM</t>
        </is>
      </c>
      <c r="F613" s="2" t="inlineStr">
        <is>
          <t>Shopee</t>
        </is>
      </c>
      <c r="G613" s="2" t="inlineStr">
        <is>
          <t>V100R</t>
        </is>
      </c>
      <c r="H613" s="3" t="inlineStr">
        <is>
          <t>Mũi bắn vít chống trượt KingBlue V100R</t>
        </is>
      </c>
      <c r="I613" s="4" t="n">
        <v>42000</v>
      </c>
      <c r="J613" s="4" t="n"/>
      <c r="K613" s="4">
        <f>IF(AND(ISNUMBER(J613),ISNUMBER(I613)),J613-I613,"")</f>
        <v/>
      </c>
      <c r="L613" s="5">
        <f>IF(AND(ISNUMBER(J613),ISNUMBER(I613),I613&gt;0),(J613-I613)/I613,"")</f>
        <v/>
      </c>
      <c r="M613" s="2">
        <f>IF(L613="","",IF(L613&lt;-0.05,"Bán phá giá",IF(L613&gt;0.05,"Bán cao hơn","Đúng giá niêm yết")))</f>
        <v/>
      </c>
      <c r="N613" s="2" t="n"/>
      <c r="O613" s="3" t="n"/>
      <c r="P613" s="3" t="n"/>
    </row>
    <row r="614">
      <c r="A614" s="2" t="n">
        <v>613</v>
      </c>
      <c r="B614" s="2" t="inlineStr">
        <is>
          <t>KH003</t>
        </is>
      </c>
      <c r="C614" s="3" t="inlineStr">
        <is>
          <t>CÔNG TY TNHH ĐỒ NGHỀ CẦM TAY PHƯƠNG MY</t>
        </is>
      </c>
      <c r="D614" s="2" t="inlineStr">
        <is>
          <t>HCM</t>
        </is>
      </c>
      <c r="E614" s="2" t="inlineStr">
        <is>
          <t>BẢO TRÂM</t>
        </is>
      </c>
      <c r="F614" s="2" t="inlineStr">
        <is>
          <t>Shopee</t>
        </is>
      </c>
      <c r="G614" s="2" t="inlineStr">
        <is>
          <t>V150R</t>
        </is>
      </c>
      <c r="H614" s="3" t="inlineStr">
        <is>
          <t>Mũi bắn vít chống trượt KingBlue V150R</t>
        </is>
      </c>
      <c r="I614" s="4" t="n">
        <v>40000</v>
      </c>
      <c r="J614" s="4" t="n"/>
      <c r="K614" s="4">
        <f>IF(AND(ISNUMBER(J614),ISNUMBER(I614)),J614-I614,"")</f>
        <v/>
      </c>
      <c r="L614" s="5">
        <f>IF(AND(ISNUMBER(J614),ISNUMBER(I614),I614&gt;0),(J614-I614)/I614,"")</f>
        <v/>
      </c>
      <c r="M614" s="2">
        <f>IF(L614="","",IF(L614&lt;-0.05,"Bán phá giá",IF(L614&gt;0.05,"Bán cao hơn","Đúng giá niêm yết")))</f>
        <v/>
      </c>
      <c r="N614" s="2" t="n"/>
      <c r="O614" s="3" t="n"/>
      <c r="P614" s="3" t="n"/>
    </row>
    <row r="615">
      <c r="A615" s="2" t="n">
        <v>614</v>
      </c>
      <c r="B615" s="2" t="inlineStr">
        <is>
          <t>KH003</t>
        </is>
      </c>
      <c r="C615" s="3" t="inlineStr">
        <is>
          <t>CÔNG TY TNHH ĐỒ NGHỀ CẦM TAY PHƯƠNG MY</t>
        </is>
      </c>
      <c r="D615" s="2" t="inlineStr">
        <is>
          <t>HCM</t>
        </is>
      </c>
      <c r="E615" s="2" t="inlineStr">
        <is>
          <t>BẢO TRÂM</t>
        </is>
      </c>
      <c r="F615" s="2" t="inlineStr">
        <is>
          <t>Shopee</t>
        </is>
      </c>
      <c r="G615" s="2" t="inlineStr">
        <is>
          <t>V65R</t>
        </is>
      </c>
      <c r="H615" s="3" t="inlineStr">
        <is>
          <t>Mũi bắn vít chống trượt KingBlue V65R</t>
        </is>
      </c>
      <c r="I615" s="4" t="n">
        <v>31000</v>
      </c>
      <c r="J615" s="4" t="n"/>
      <c r="K615" s="4">
        <f>IF(AND(ISNUMBER(J615),ISNUMBER(I615)),J615-I615,"")</f>
        <v/>
      </c>
      <c r="L615" s="5">
        <f>IF(AND(ISNUMBER(J615),ISNUMBER(I615),I615&gt;0),(J615-I615)/I615,"")</f>
        <v/>
      </c>
      <c r="M615" s="2">
        <f>IF(L615="","",IF(L615&lt;-0.05,"Bán phá giá",IF(L615&gt;0.05,"Bán cao hơn","Đúng giá niêm yết")))</f>
        <v/>
      </c>
      <c r="N615" s="2" t="n"/>
      <c r="O615" s="3" t="n"/>
      <c r="P615" s="3" t="n"/>
    </row>
    <row r="616">
      <c r="A616" s="2" t="n">
        <v>615</v>
      </c>
      <c r="B616" s="2" t="inlineStr">
        <is>
          <t>KH003</t>
        </is>
      </c>
      <c r="C616" s="3" t="inlineStr">
        <is>
          <t>CÔNG TY TNHH ĐỒ NGHỀ CẦM TAY PHƯƠNG MY</t>
        </is>
      </c>
      <c r="D616" s="2" t="inlineStr">
        <is>
          <t>HCM</t>
        </is>
      </c>
      <c r="E616" s="2" t="inlineStr">
        <is>
          <t>BẢO TRÂM</t>
        </is>
      </c>
      <c r="F616" s="2" t="inlineStr">
        <is>
          <t>Shopee</t>
        </is>
      </c>
      <c r="G616" s="2" t="inlineStr">
        <is>
          <t>V100S</t>
        </is>
      </c>
      <c r="H616" s="3" t="inlineStr">
        <is>
          <t>Mũi bắn vít PH2 V100S</t>
        </is>
      </c>
      <c r="I616" s="4" t="n">
        <v>69000</v>
      </c>
      <c r="J616" s="4" t="n"/>
      <c r="K616" s="4">
        <f>IF(AND(ISNUMBER(J616),ISNUMBER(I616)),J616-I616,"")</f>
        <v/>
      </c>
      <c r="L616" s="5">
        <f>IF(AND(ISNUMBER(J616),ISNUMBER(I616),I616&gt;0),(J616-I616)/I616,"")</f>
        <v/>
      </c>
      <c r="M616" s="2">
        <f>IF(L616="","",IF(L616&lt;-0.05,"Bán phá giá",IF(L616&gt;0.05,"Bán cao hơn","Đúng giá niêm yết")))</f>
        <v/>
      </c>
      <c r="N616" s="2" t="n"/>
      <c r="O616" s="3" t="n"/>
      <c r="P616" s="3" t="n"/>
    </row>
    <row r="617">
      <c r="A617" s="2" t="n">
        <v>616</v>
      </c>
      <c r="B617" s="2" t="inlineStr">
        <is>
          <t>KH003</t>
        </is>
      </c>
      <c r="C617" s="3" t="inlineStr">
        <is>
          <t>CÔNG TY TNHH ĐỒ NGHỀ CẦM TAY PHƯƠNG MY</t>
        </is>
      </c>
      <c r="D617" s="2" t="inlineStr">
        <is>
          <t>HCM</t>
        </is>
      </c>
      <c r="E617" s="2" t="inlineStr">
        <is>
          <t>BẢO TRÂM</t>
        </is>
      </c>
      <c r="F617" s="2" t="inlineStr">
        <is>
          <t>Shopee</t>
        </is>
      </c>
      <c r="G617" s="2" t="inlineStr">
        <is>
          <t>V65S</t>
        </is>
      </c>
      <c r="H617" s="3" t="inlineStr">
        <is>
          <t>Mũi bắn vít PH2 V65S</t>
        </is>
      </c>
      <c r="I617" s="4" t="n">
        <v>24000</v>
      </c>
      <c r="J617" s="4" t="n"/>
      <c r="K617" s="4">
        <f>IF(AND(ISNUMBER(J617),ISNUMBER(I617)),J617-I617,"")</f>
        <v/>
      </c>
      <c r="L617" s="5">
        <f>IF(AND(ISNUMBER(J617),ISNUMBER(I617),I617&gt;0),(J617-I617)/I617,"")</f>
        <v/>
      </c>
      <c r="M617" s="2">
        <f>IF(L617="","",IF(L617&lt;-0.05,"Bán phá giá",IF(L617&gt;0.05,"Bán cao hơn","Đúng giá niêm yết")))</f>
        <v/>
      </c>
      <c r="N617" s="2" t="n"/>
      <c r="O617" s="3" t="n"/>
      <c r="P617" s="3" t="n"/>
    </row>
    <row r="618">
      <c r="A618" s="2" t="n">
        <v>617</v>
      </c>
      <c r="B618" s="2" t="inlineStr">
        <is>
          <t>KH003</t>
        </is>
      </c>
      <c r="C618" s="3" t="inlineStr">
        <is>
          <t>CÔNG TY TNHH ĐỒ NGHỀ CẦM TAY PHƯƠNG MY</t>
        </is>
      </c>
      <c r="D618" s="2" t="inlineStr">
        <is>
          <t>HCM</t>
        </is>
      </c>
      <c r="E618" s="2" t="inlineStr">
        <is>
          <t>BẢO TRÂM</t>
        </is>
      </c>
      <c r="F618" s="2" t="inlineStr">
        <is>
          <t>Shopee</t>
        </is>
      </c>
      <c r="G618" s="2" t="inlineStr"/>
      <c r="H618" s="3" t="inlineStr">
        <is>
          <t>Mũi đục bê tông KBVd-14*250*22</t>
        </is>
      </c>
      <c r="I618" s="4" t="n">
        <v>63000</v>
      </c>
      <c r="J618" s="4" t="n"/>
      <c r="K618" s="4">
        <f>IF(AND(ISNUMBER(J618),ISNUMBER(I618)),J618-I618,"")</f>
        <v/>
      </c>
      <c r="L618" s="5">
        <f>IF(AND(ISNUMBER(J618),ISNUMBER(I618),I618&gt;0),(J618-I618)/I618,"")</f>
        <v/>
      </c>
      <c r="M618" s="2">
        <f>IF(L618="","",IF(L618&lt;-0.05,"Bán phá giá",IF(L618&gt;0.05,"Bán cao hơn","Đúng giá niêm yết")))</f>
        <v/>
      </c>
      <c r="N618" s="2" t="n"/>
      <c r="O618" s="3" t="n"/>
      <c r="P618" s="3" t="n"/>
    </row>
    <row r="619">
      <c r="A619" s="2" t="n">
        <v>618</v>
      </c>
      <c r="B619" s="2" t="inlineStr">
        <is>
          <t>KH003</t>
        </is>
      </c>
      <c r="C619" s="3" t="inlineStr">
        <is>
          <t>CÔNG TY TNHH ĐỒ NGHỀ CẦM TAY PHƯƠNG MY</t>
        </is>
      </c>
      <c r="D619" s="2" t="inlineStr">
        <is>
          <t>HCM</t>
        </is>
      </c>
      <c r="E619" s="2" t="inlineStr">
        <is>
          <t>BẢO TRÂM</t>
        </is>
      </c>
      <c r="F619" s="2" t="inlineStr">
        <is>
          <t>Shopee</t>
        </is>
      </c>
      <c r="G619" s="2" t="inlineStr"/>
      <c r="H619" s="3" t="inlineStr">
        <is>
          <t>Mũi đục bê tông KBVn-14*250</t>
        </is>
      </c>
      <c r="I619" s="4" t="n">
        <v>63000</v>
      </c>
      <c r="J619" s="4" t="n"/>
      <c r="K619" s="4">
        <f>IF(AND(ISNUMBER(J619),ISNUMBER(I619)),J619-I619,"")</f>
        <v/>
      </c>
      <c r="L619" s="5">
        <f>IF(AND(ISNUMBER(J619),ISNUMBER(I619),I619&gt;0),(J619-I619)/I619,"")</f>
        <v/>
      </c>
      <c r="M619" s="2">
        <f>IF(L619="","",IF(L619&lt;-0.05,"Bán phá giá",IF(L619&gt;0.05,"Bán cao hơn","Đúng giá niêm yết")))</f>
        <v/>
      </c>
      <c r="N619" s="2" t="n"/>
      <c r="O619" s="3" t="n"/>
      <c r="P619" s="3" t="n"/>
    </row>
    <row r="620">
      <c r="A620" s="2" t="n">
        <v>619</v>
      </c>
      <c r="B620" s="2" t="inlineStr">
        <is>
          <t>KH003</t>
        </is>
      </c>
      <c r="C620" s="3" t="inlineStr">
        <is>
          <t>CÔNG TY TNHH ĐỒ NGHỀ CẦM TAY PHƯƠNG MY</t>
        </is>
      </c>
      <c r="D620" s="2" t="inlineStr">
        <is>
          <t>HCM</t>
        </is>
      </c>
      <c r="E620" s="2" t="inlineStr">
        <is>
          <t>BẢO TRÂM</t>
        </is>
      </c>
      <c r="F620" s="2" t="inlineStr">
        <is>
          <t>Shopee</t>
        </is>
      </c>
      <c r="G620" s="2" t="inlineStr">
        <is>
          <t>KBL4-06*160</t>
        </is>
      </c>
      <c r="H620" s="3" t="inlineStr">
        <is>
          <t>Mũi khoan bê tông 4 cạnh KBL4-06*160</t>
        </is>
      </c>
      <c r="I620" s="4" t="n">
        <v>31000</v>
      </c>
      <c r="J620" s="4" t="n"/>
      <c r="K620" s="4">
        <f>IF(AND(ISNUMBER(J620),ISNUMBER(I620)),J620-I620,"")</f>
        <v/>
      </c>
      <c r="L620" s="5">
        <f>IF(AND(ISNUMBER(J620),ISNUMBER(I620),I620&gt;0),(J620-I620)/I620,"")</f>
        <v/>
      </c>
      <c r="M620" s="2">
        <f>IF(L620="","",IF(L620&lt;-0.05,"Bán phá giá",IF(L620&gt;0.05,"Bán cao hơn","Đúng giá niêm yết")))</f>
        <v/>
      </c>
      <c r="N620" s="2" t="n"/>
      <c r="O620" s="3" t="n"/>
      <c r="P620" s="3" t="n"/>
    </row>
    <row r="621">
      <c r="A621" s="2" t="n">
        <v>620</v>
      </c>
      <c r="B621" s="2" t="inlineStr">
        <is>
          <t>KH003</t>
        </is>
      </c>
      <c r="C621" s="3" t="inlineStr">
        <is>
          <t>CÔNG TY TNHH ĐỒ NGHỀ CẦM TAY PHƯƠNG MY</t>
        </is>
      </c>
      <c r="D621" s="2" t="inlineStr">
        <is>
          <t>HCM</t>
        </is>
      </c>
      <c r="E621" s="2" t="inlineStr">
        <is>
          <t>BẢO TRÂM</t>
        </is>
      </c>
      <c r="F621" s="2" t="inlineStr">
        <is>
          <t>Shopee</t>
        </is>
      </c>
      <c r="G621" s="2" t="inlineStr">
        <is>
          <t>KBL4-08*160</t>
        </is>
      </c>
      <c r="H621" s="3" t="inlineStr">
        <is>
          <t>Mũi khoan bê tông 4 cạnh KBL4-08*160</t>
        </is>
      </c>
      <c r="I621" s="4" t="n">
        <v>35000</v>
      </c>
      <c r="J621" s="4" t="n"/>
      <c r="K621" s="4">
        <f>IF(AND(ISNUMBER(J621),ISNUMBER(I621)),J621-I621,"")</f>
        <v/>
      </c>
      <c r="L621" s="5">
        <f>IF(AND(ISNUMBER(J621),ISNUMBER(I621),I621&gt;0),(J621-I621)/I621,"")</f>
        <v/>
      </c>
      <c r="M621" s="2">
        <f>IF(L621="","",IF(L621&lt;-0.05,"Bán phá giá",IF(L621&gt;0.05,"Bán cao hơn","Đúng giá niêm yết")))</f>
        <v/>
      </c>
      <c r="N621" s="2" t="n"/>
      <c r="O621" s="3" t="n"/>
      <c r="P621" s="3" t="n"/>
    </row>
    <row r="622">
      <c r="A622" s="2" t="n">
        <v>621</v>
      </c>
      <c r="B622" s="2" t="inlineStr">
        <is>
          <t>KH003</t>
        </is>
      </c>
      <c r="C622" s="3" t="inlineStr">
        <is>
          <t>CÔNG TY TNHH ĐỒ NGHỀ CẦM TAY PHƯƠNG MY</t>
        </is>
      </c>
      <c r="D622" s="2" t="inlineStr">
        <is>
          <t>HCM</t>
        </is>
      </c>
      <c r="E622" s="2" t="inlineStr">
        <is>
          <t>BẢO TRÂM</t>
        </is>
      </c>
      <c r="F622" s="2" t="inlineStr">
        <is>
          <t>Shopee</t>
        </is>
      </c>
      <c r="G622" s="2" t="inlineStr">
        <is>
          <t>KBL4-10*160</t>
        </is>
      </c>
      <c r="H622" s="3" t="inlineStr">
        <is>
          <t>Mũi khoan bê tông 4 cạnh KBL4-10*160</t>
        </is>
      </c>
      <c r="I622" s="4" t="n">
        <v>39000</v>
      </c>
      <c r="J622" s="4" t="n"/>
      <c r="K622" s="4">
        <f>IF(AND(ISNUMBER(J622),ISNUMBER(I622)),J622-I622,"")</f>
        <v/>
      </c>
      <c r="L622" s="5">
        <f>IF(AND(ISNUMBER(J622),ISNUMBER(I622),I622&gt;0),(J622-I622)/I622,"")</f>
        <v/>
      </c>
      <c r="M622" s="2">
        <f>IF(L622="","",IF(L622&lt;-0.05,"Bán phá giá",IF(L622&gt;0.05,"Bán cao hơn","Đúng giá niêm yết")))</f>
        <v/>
      </c>
      <c r="N622" s="2" t="n"/>
      <c r="O622" s="3" t="n"/>
      <c r="P622" s="3" t="n"/>
    </row>
    <row r="623">
      <c r="A623" s="2" t="n">
        <v>622</v>
      </c>
      <c r="B623" s="2" t="inlineStr">
        <is>
          <t>KH003</t>
        </is>
      </c>
      <c r="C623" s="3" t="inlineStr">
        <is>
          <t>CÔNG TY TNHH ĐỒ NGHỀ CẦM TAY PHƯƠNG MY</t>
        </is>
      </c>
      <c r="D623" s="2" t="inlineStr">
        <is>
          <t>HCM</t>
        </is>
      </c>
      <c r="E623" s="2" t="inlineStr">
        <is>
          <t>BẢO TRÂM</t>
        </is>
      </c>
      <c r="F623" s="2" t="inlineStr">
        <is>
          <t>Shopee</t>
        </is>
      </c>
      <c r="G623" s="2" t="inlineStr">
        <is>
          <t>KBL2-3.2*90</t>
        </is>
      </c>
      <c r="H623" s="3" t="inlineStr">
        <is>
          <t>Mũi khoan bê tông không tắc kê KBL2-3.2*90</t>
        </is>
      </c>
      <c r="I623" s="4" t="n">
        <v>66000</v>
      </c>
      <c r="J623" s="4" t="n"/>
      <c r="K623" s="4">
        <f>IF(AND(ISNUMBER(J623),ISNUMBER(I623)),J623-I623,"")</f>
        <v/>
      </c>
      <c r="L623" s="5">
        <f>IF(AND(ISNUMBER(J623),ISNUMBER(I623),I623&gt;0),(J623-I623)/I623,"")</f>
        <v/>
      </c>
      <c r="M623" s="2">
        <f>IF(L623="","",IF(L623&lt;-0.05,"Bán phá giá",IF(L623&gt;0.05,"Bán cao hơn","Đúng giá niêm yết")))</f>
        <v/>
      </c>
      <c r="N623" s="2" t="n"/>
      <c r="O623" s="3" t="n"/>
      <c r="P623" s="3" t="n"/>
    </row>
    <row r="624">
      <c r="A624" s="2" t="n">
        <v>623</v>
      </c>
      <c r="B624" s="2" t="inlineStr">
        <is>
          <t>KH003</t>
        </is>
      </c>
      <c r="C624" s="3" t="inlineStr">
        <is>
          <t>CÔNG TY TNHH ĐỒ NGHỀ CẦM TAY PHƯƠNG MY</t>
        </is>
      </c>
      <c r="D624" s="2" t="inlineStr">
        <is>
          <t>HCM</t>
        </is>
      </c>
      <c r="E624" s="2" t="inlineStr">
        <is>
          <t>BẢO TRÂM</t>
        </is>
      </c>
      <c r="F624" s="2" t="inlineStr">
        <is>
          <t>Shopee</t>
        </is>
      </c>
      <c r="G624" s="2" t="inlineStr">
        <is>
          <t>KBL2-4.2*110</t>
        </is>
      </c>
      <c r="H624" s="3" t="inlineStr">
        <is>
          <t>Mũi khoan bê tông không tắc kê KBL2-4.2*110</t>
        </is>
      </c>
      <c r="I624" s="4" t="n">
        <v>66000</v>
      </c>
      <c r="J624" s="4" t="n"/>
      <c r="K624" s="4">
        <f>IF(AND(ISNUMBER(J624),ISNUMBER(I624)),J624-I624,"")</f>
        <v/>
      </c>
      <c r="L624" s="5">
        <f>IF(AND(ISNUMBER(J624),ISNUMBER(I624),I624&gt;0),(J624-I624)/I624,"")</f>
        <v/>
      </c>
      <c r="M624" s="2">
        <f>IF(L624="","",IF(L624&lt;-0.05,"Bán phá giá",IF(L624&gt;0.05,"Bán cao hơn","Đúng giá niêm yết")))</f>
        <v/>
      </c>
      <c r="N624" s="2" t="n"/>
      <c r="O624" s="3" t="n"/>
      <c r="P624" s="3" t="n"/>
    </row>
    <row r="625">
      <c r="A625" s="2" t="n">
        <v>624</v>
      </c>
      <c r="B625" s="2" t="inlineStr">
        <is>
          <t>KH003</t>
        </is>
      </c>
      <c r="C625" s="3" t="inlineStr">
        <is>
          <t>CÔNG TY TNHH ĐỒ NGHỀ CẦM TAY PHƯƠNG MY</t>
        </is>
      </c>
      <c r="D625" s="2" t="inlineStr">
        <is>
          <t>HCM</t>
        </is>
      </c>
      <c r="E625" s="2" t="inlineStr">
        <is>
          <t>BẢO TRÂM</t>
        </is>
      </c>
      <c r="F625" s="2" t="inlineStr">
        <is>
          <t>Shopee</t>
        </is>
      </c>
      <c r="G625" s="2" t="inlineStr">
        <is>
          <t>KBK-08</t>
        </is>
      </c>
      <c r="H625" s="3" t="inlineStr">
        <is>
          <t>Mũi khoan đá KBK-08</t>
        </is>
      </c>
      <c r="I625" s="4" t="n">
        <v>31000</v>
      </c>
      <c r="J625" s="4" t="n"/>
      <c r="K625" s="4">
        <f>IF(AND(ISNUMBER(J625),ISNUMBER(I625)),J625-I625,"")</f>
        <v/>
      </c>
      <c r="L625" s="5">
        <f>IF(AND(ISNUMBER(J625),ISNUMBER(I625),I625&gt;0),(J625-I625)/I625,"")</f>
        <v/>
      </c>
      <c r="M625" s="2">
        <f>IF(L625="","",IF(L625&lt;-0.05,"Bán phá giá",IF(L625&gt;0.05,"Bán cao hơn","Đúng giá niêm yết")))</f>
        <v/>
      </c>
      <c r="N625" s="2" t="n"/>
      <c r="O625" s="3" t="n"/>
      <c r="P625" s="3" t="n"/>
    </row>
    <row r="626">
      <c r="A626" s="2" t="n">
        <v>625</v>
      </c>
      <c r="B626" s="2" t="inlineStr">
        <is>
          <t>KH003</t>
        </is>
      </c>
      <c r="C626" s="3" t="inlineStr">
        <is>
          <t>CÔNG TY TNHH ĐỒ NGHỀ CẦM TAY PHƯƠNG MY</t>
        </is>
      </c>
      <c r="D626" s="2" t="inlineStr">
        <is>
          <t>HCM</t>
        </is>
      </c>
      <c r="E626" s="2" t="inlineStr">
        <is>
          <t>BẢO TRÂM</t>
        </is>
      </c>
      <c r="F626" s="2" t="inlineStr">
        <is>
          <t>Shopee</t>
        </is>
      </c>
      <c r="G626" s="2" t="inlineStr">
        <is>
          <t>KBK-10</t>
        </is>
      </c>
      <c r="H626" s="3" t="inlineStr">
        <is>
          <t>Mũi khoan đá KBK-10</t>
        </is>
      </c>
      <c r="I626" s="4" t="n">
        <v>30000</v>
      </c>
      <c r="J626" s="4" t="n"/>
      <c r="K626" s="4">
        <f>IF(AND(ISNUMBER(J626),ISNUMBER(I626)),J626-I626,"")</f>
        <v/>
      </c>
      <c r="L626" s="5">
        <f>IF(AND(ISNUMBER(J626),ISNUMBER(I626),I626&gt;0),(J626-I626)/I626,"")</f>
        <v/>
      </c>
      <c r="M626" s="2">
        <f>IF(L626="","",IF(L626&lt;-0.05,"Bán phá giá",IF(L626&gt;0.05,"Bán cao hơn","Đúng giá niêm yết")))</f>
        <v/>
      </c>
      <c r="N626" s="2" t="n"/>
      <c r="O626" s="3" t="n"/>
      <c r="P626" s="3" t="n"/>
    </row>
    <row r="627">
      <c r="A627" s="2" t="n">
        <v>626</v>
      </c>
      <c r="B627" s="2" t="inlineStr">
        <is>
          <t>KH003</t>
        </is>
      </c>
      <c r="C627" s="3" t="inlineStr">
        <is>
          <t>CÔNG TY TNHH ĐỒ NGHỀ CẦM TAY PHƯƠNG MY</t>
        </is>
      </c>
      <c r="D627" s="2" t="inlineStr">
        <is>
          <t>HCM</t>
        </is>
      </c>
      <c r="E627" s="2" t="inlineStr">
        <is>
          <t>BẢO TRÂM</t>
        </is>
      </c>
      <c r="F627" s="2" t="inlineStr">
        <is>
          <t>Shopee</t>
        </is>
      </c>
      <c r="G627" s="2" t="inlineStr">
        <is>
          <t>KBK-12</t>
        </is>
      </c>
      <c r="H627" s="3" t="inlineStr">
        <is>
          <t>Mũi khoan đá KBK-12</t>
        </is>
      </c>
      <c r="I627" s="4" t="n">
        <v>46000</v>
      </c>
      <c r="J627" s="4" t="n"/>
      <c r="K627" s="4">
        <f>IF(AND(ISNUMBER(J627),ISNUMBER(I627)),J627-I627,"")</f>
        <v/>
      </c>
      <c r="L627" s="5">
        <f>IF(AND(ISNUMBER(J627),ISNUMBER(I627),I627&gt;0),(J627-I627)/I627,"")</f>
        <v/>
      </c>
      <c r="M627" s="2">
        <f>IF(L627="","",IF(L627&lt;-0.05,"Bán phá giá",IF(L627&gt;0.05,"Bán cao hơn","Đúng giá niêm yết")))</f>
        <v/>
      </c>
      <c r="N627" s="2" t="n"/>
      <c r="O627" s="3" t="n"/>
      <c r="P627" s="3" t="n"/>
    </row>
    <row r="628">
      <c r="A628" s="2" t="n">
        <v>627</v>
      </c>
      <c r="B628" s="2" t="inlineStr">
        <is>
          <t>KH003</t>
        </is>
      </c>
      <c r="C628" s="3" t="inlineStr">
        <is>
          <t>CÔNG TY TNHH ĐỒ NGHỀ CẦM TAY PHƯƠNG MY</t>
        </is>
      </c>
      <c r="D628" s="2" t="inlineStr">
        <is>
          <t>HCM</t>
        </is>
      </c>
      <c r="E628" s="2" t="inlineStr">
        <is>
          <t>BẢO TRÂM</t>
        </is>
      </c>
      <c r="F628" s="2" t="inlineStr">
        <is>
          <t>Shopee</t>
        </is>
      </c>
      <c r="G628" s="2" t="inlineStr">
        <is>
          <t>KBK-14</t>
        </is>
      </c>
      <c r="H628" s="3" t="inlineStr">
        <is>
          <t>Mũi khoan đá KBK-14</t>
        </is>
      </c>
      <c r="I628" s="4" t="n">
        <v>43000</v>
      </c>
      <c r="J628" s="4" t="n"/>
      <c r="K628" s="4">
        <f>IF(AND(ISNUMBER(J628),ISNUMBER(I628)),J628-I628,"")</f>
        <v/>
      </c>
      <c r="L628" s="5">
        <f>IF(AND(ISNUMBER(J628),ISNUMBER(I628),I628&gt;0),(J628-I628)/I628,"")</f>
        <v/>
      </c>
      <c r="M628" s="2">
        <f>IF(L628="","",IF(L628&lt;-0.05,"Bán phá giá",IF(L628&gt;0.05,"Bán cao hơn","Đúng giá niêm yết")))</f>
        <v/>
      </c>
      <c r="N628" s="2" t="n"/>
      <c r="O628" s="3" t="n"/>
      <c r="P628" s="3" t="n"/>
    </row>
    <row r="629">
      <c r="A629" s="2" t="n">
        <v>628</v>
      </c>
      <c r="B629" s="2" t="inlineStr">
        <is>
          <t>KH003</t>
        </is>
      </c>
      <c r="C629" s="3" t="inlineStr">
        <is>
          <t>CÔNG TY TNHH ĐỒ NGHỀ CẦM TAY PHƯƠNG MY</t>
        </is>
      </c>
      <c r="D629" s="2" t="inlineStr">
        <is>
          <t>HCM</t>
        </is>
      </c>
      <c r="E629" s="2" t="inlineStr">
        <is>
          <t>BẢO TRÂM</t>
        </is>
      </c>
      <c r="F629" s="2" t="inlineStr">
        <is>
          <t>Shopee</t>
        </is>
      </c>
      <c r="G629" s="2" t="inlineStr">
        <is>
          <t>KBK-22</t>
        </is>
      </c>
      <c r="H629" s="3" t="inlineStr">
        <is>
          <t>Mũi khoan đá KBK-22</t>
        </is>
      </c>
      <c r="I629" s="4" t="n">
        <v>64000</v>
      </c>
      <c r="J629" s="4" t="n"/>
      <c r="K629" s="4">
        <f>IF(AND(ISNUMBER(J629),ISNUMBER(I629)),J629-I629,"")</f>
        <v/>
      </c>
      <c r="L629" s="5">
        <f>IF(AND(ISNUMBER(J629),ISNUMBER(I629),I629&gt;0),(J629-I629)/I629,"")</f>
        <v/>
      </c>
      <c r="M629" s="2">
        <f>IF(L629="","",IF(L629&lt;-0.05,"Bán phá giá",IF(L629&gt;0.05,"Bán cao hơn","Đúng giá niêm yết")))</f>
        <v/>
      </c>
      <c r="N629" s="2" t="n"/>
      <c r="O629" s="3" t="n"/>
      <c r="P629" s="3" t="n"/>
    </row>
    <row r="630">
      <c r="A630" s="2" t="n">
        <v>629</v>
      </c>
      <c r="B630" s="2" t="inlineStr">
        <is>
          <t>KH003</t>
        </is>
      </c>
      <c r="C630" s="3" t="inlineStr">
        <is>
          <t>CÔNG TY TNHH ĐỒ NGHỀ CẦM TAY PHƯƠNG MY</t>
        </is>
      </c>
      <c r="D630" s="2" t="inlineStr">
        <is>
          <t>HCM</t>
        </is>
      </c>
      <c r="E630" s="2" t="inlineStr">
        <is>
          <t>BẢO TRÂM</t>
        </is>
      </c>
      <c r="F630" s="2" t="inlineStr">
        <is>
          <t>Shopee</t>
        </is>
      </c>
      <c r="G630" s="2" t="inlineStr">
        <is>
          <t>KBK-28</t>
        </is>
      </c>
      <c r="H630" s="3" t="inlineStr">
        <is>
          <t>Mũi khoan đá KBK-28</t>
        </is>
      </c>
      <c r="I630" s="4" t="n">
        <v>107000</v>
      </c>
      <c r="J630" s="4" t="n"/>
      <c r="K630" s="4">
        <f>IF(AND(ISNUMBER(J630),ISNUMBER(I630)),J630-I630,"")</f>
        <v/>
      </c>
      <c r="L630" s="5">
        <f>IF(AND(ISNUMBER(J630),ISNUMBER(I630),I630&gt;0),(J630-I630)/I630,"")</f>
        <v/>
      </c>
      <c r="M630" s="2">
        <f>IF(L630="","",IF(L630&lt;-0.05,"Bán phá giá",IF(L630&gt;0.05,"Bán cao hơn","Đúng giá niêm yết")))</f>
        <v/>
      </c>
      <c r="N630" s="2" t="n"/>
      <c r="O630" s="3" t="n"/>
      <c r="P630" s="3" t="n"/>
    </row>
    <row r="631">
      <c r="A631" s="2" t="n">
        <v>630</v>
      </c>
      <c r="B631" s="2" t="inlineStr">
        <is>
          <t>KH003</t>
        </is>
      </c>
      <c r="C631" s="3" t="inlineStr">
        <is>
          <t>CÔNG TY TNHH ĐỒ NGHỀ CẦM TAY PHƯƠNG MY</t>
        </is>
      </c>
      <c r="D631" s="2" t="inlineStr">
        <is>
          <t>HCM</t>
        </is>
      </c>
      <c r="E631" s="2" t="inlineStr">
        <is>
          <t>BẢO TRÂM</t>
        </is>
      </c>
      <c r="F631" s="2" t="inlineStr">
        <is>
          <t>Shopee</t>
        </is>
      </c>
      <c r="G631" s="2" t="inlineStr">
        <is>
          <t>KBK-45</t>
        </is>
      </c>
      <c r="H631" s="3" t="inlineStr">
        <is>
          <t>Mũi khoan đá KBK-45</t>
        </is>
      </c>
      <c r="I631" s="4" t="n">
        <v>121000</v>
      </c>
      <c r="J631" s="4" t="n"/>
      <c r="K631" s="4">
        <f>IF(AND(ISNUMBER(J631),ISNUMBER(I631)),J631-I631,"")</f>
        <v/>
      </c>
      <c r="L631" s="5">
        <f>IF(AND(ISNUMBER(J631),ISNUMBER(I631),I631&gt;0),(J631-I631)/I631,"")</f>
        <v/>
      </c>
      <c r="M631" s="2">
        <f>IF(L631="","",IF(L631&lt;-0.05,"Bán phá giá",IF(L631&gt;0.05,"Bán cao hơn","Đúng giá niêm yết")))</f>
        <v/>
      </c>
      <c r="N631" s="2" t="n"/>
      <c r="O631" s="3" t="n"/>
      <c r="P631" s="3" t="n"/>
    </row>
    <row r="632">
      <c r="A632" s="2" t="n">
        <v>631</v>
      </c>
      <c r="B632" s="2" t="inlineStr">
        <is>
          <t>KH003</t>
        </is>
      </c>
      <c r="C632" s="3" t="inlineStr">
        <is>
          <t>CÔNG TY TNHH ĐỒ NGHỀ CẦM TAY PHƯƠNG MY</t>
        </is>
      </c>
      <c r="D632" s="2" t="inlineStr">
        <is>
          <t>HCM</t>
        </is>
      </c>
      <c r="E632" s="2" t="inlineStr">
        <is>
          <t>BẢO TRÂM</t>
        </is>
      </c>
      <c r="F632" s="2" t="inlineStr">
        <is>
          <t>Shopee</t>
        </is>
      </c>
      <c r="G632" s="2" t="inlineStr">
        <is>
          <t>KBH2F-04*95</t>
        </is>
      </c>
      <c r="H632" s="3" t="inlineStr">
        <is>
          <t>Mũi khoan ĐN lục giác 2 cạnh KBH2F-04*95</t>
        </is>
      </c>
      <c r="I632" s="4" t="n">
        <v>35000</v>
      </c>
      <c r="J632" s="4" t="n"/>
      <c r="K632" s="4">
        <f>IF(AND(ISNUMBER(J632),ISNUMBER(I632)),J632-I632,"")</f>
        <v/>
      </c>
      <c r="L632" s="5">
        <f>IF(AND(ISNUMBER(J632),ISNUMBER(I632),I632&gt;0),(J632-I632)/I632,"")</f>
        <v/>
      </c>
      <c r="M632" s="2">
        <f>IF(L632="","",IF(L632&lt;-0.05,"Bán phá giá",IF(L632&gt;0.05,"Bán cao hơn","Đúng giá niêm yết")))</f>
        <v/>
      </c>
      <c r="N632" s="2" t="n"/>
      <c r="O632" s="3" t="n"/>
      <c r="P632" s="3" t="n"/>
    </row>
    <row r="633">
      <c r="A633" s="2" t="n">
        <v>632</v>
      </c>
      <c r="B633" s="2" t="inlineStr">
        <is>
          <t>KH003</t>
        </is>
      </c>
      <c r="C633" s="3" t="inlineStr">
        <is>
          <t>CÔNG TY TNHH ĐỒ NGHỀ CẦM TAY PHƯƠNG MY</t>
        </is>
      </c>
      <c r="D633" s="2" t="inlineStr">
        <is>
          <t>HCM</t>
        </is>
      </c>
      <c r="E633" s="2" t="inlineStr">
        <is>
          <t>BẢO TRÂM</t>
        </is>
      </c>
      <c r="F633" s="2" t="inlineStr">
        <is>
          <t>Shopee</t>
        </is>
      </c>
      <c r="G633" s="2" t="inlineStr">
        <is>
          <t>KBH2F-06*95</t>
        </is>
      </c>
      <c r="H633" s="3" t="inlineStr">
        <is>
          <t>Mũi khoan ĐN lục giác 2 cạnh KBH2F-06*95</t>
        </is>
      </c>
      <c r="I633" s="4" t="n">
        <v>35000</v>
      </c>
      <c r="J633" s="4" t="n"/>
      <c r="K633" s="4">
        <f>IF(AND(ISNUMBER(J633),ISNUMBER(I633)),J633-I633,"")</f>
        <v/>
      </c>
      <c r="L633" s="5">
        <f>IF(AND(ISNUMBER(J633),ISNUMBER(I633),I633&gt;0),(J633-I633)/I633,"")</f>
        <v/>
      </c>
      <c r="M633" s="2">
        <f>IF(L633="","",IF(L633&lt;-0.05,"Bán phá giá",IF(L633&gt;0.05,"Bán cao hơn","Đúng giá niêm yết")))</f>
        <v/>
      </c>
      <c r="N633" s="2" t="n"/>
      <c r="O633" s="3" t="n"/>
      <c r="P633" s="3" t="n"/>
    </row>
    <row r="634">
      <c r="A634" s="2" t="n">
        <v>633</v>
      </c>
      <c r="B634" s="2" t="inlineStr">
        <is>
          <t>KH003</t>
        </is>
      </c>
      <c r="C634" s="3" t="inlineStr">
        <is>
          <t>CÔNG TY TNHH ĐỒ NGHỀ CẦM TAY PHƯƠNG MY</t>
        </is>
      </c>
      <c r="D634" s="2" t="inlineStr">
        <is>
          <t>HCM</t>
        </is>
      </c>
      <c r="E634" s="2" t="inlineStr">
        <is>
          <t>BẢO TRÂM</t>
        </is>
      </c>
      <c r="F634" s="2" t="inlineStr">
        <is>
          <t>Shopee</t>
        </is>
      </c>
      <c r="G634" s="2" t="inlineStr">
        <is>
          <t>KBH2F-08*95</t>
        </is>
      </c>
      <c r="H634" s="3" t="inlineStr">
        <is>
          <t>Mũi khoan ĐN lục giác 2 cạnh KBH2F-08*95</t>
        </is>
      </c>
      <c r="I634" s="4" t="n">
        <v>43000</v>
      </c>
      <c r="J634" s="4" t="n"/>
      <c r="K634" s="4">
        <f>IF(AND(ISNUMBER(J634),ISNUMBER(I634)),J634-I634,"")</f>
        <v/>
      </c>
      <c r="L634" s="5">
        <f>IF(AND(ISNUMBER(J634),ISNUMBER(I634),I634&gt;0),(J634-I634)/I634,"")</f>
        <v/>
      </c>
      <c r="M634" s="2">
        <f>IF(L634="","",IF(L634&lt;-0.05,"Bán phá giá",IF(L634&gt;0.05,"Bán cao hơn","Đúng giá niêm yết")))</f>
        <v/>
      </c>
      <c r="N634" s="2" t="n"/>
      <c r="O634" s="3" t="n"/>
      <c r="P634" s="3" t="n"/>
    </row>
    <row r="635">
      <c r="A635" s="2" t="n">
        <v>634</v>
      </c>
      <c r="B635" s="2" t="inlineStr">
        <is>
          <t>KH003</t>
        </is>
      </c>
      <c r="C635" s="3" t="inlineStr">
        <is>
          <t>CÔNG TY TNHH ĐỒ NGHỀ CẦM TAY PHƯƠNG MY</t>
        </is>
      </c>
      <c r="D635" s="2" t="inlineStr">
        <is>
          <t>HCM</t>
        </is>
      </c>
      <c r="E635" s="2" t="inlineStr">
        <is>
          <t>BẢO TRÂM</t>
        </is>
      </c>
      <c r="F635" s="2" t="inlineStr">
        <is>
          <t>Shopee</t>
        </is>
      </c>
      <c r="G635" s="2" t="inlineStr">
        <is>
          <t>KBH2F-10*95</t>
        </is>
      </c>
      <c r="H635" s="3" t="inlineStr">
        <is>
          <t>Mũi khoan ĐN lục giác 2 cạnh KBH2F-10*95</t>
        </is>
      </c>
      <c r="I635" s="4" t="n">
        <v>53000</v>
      </c>
      <c r="J635" s="4" t="n"/>
      <c r="K635" s="4">
        <f>IF(AND(ISNUMBER(J635),ISNUMBER(I635)),J635-I635,"")</f>
        <v/>
      </c>
      <c r="L635" s="5">
        <f>IF(AND(ISNUMBER(J635),ISNUMBER(I635),I635&gt;0),(J635-I635)/I635,"")</f>
        <v/>
      </c>
      <c r="M635" s="2">
        <f>IF(L635="","",IF(L635&lt;-0.05,"Bán phá giá",IF(L635&gt;0.05,"Bán cao hơn","Đúng giá niêm yết")))</f>
        <v/>
      </c>
      <c r="N635" s="2" t="n"/>
      <c r="O635" s="3" t="n"/>
      <c r="P635" s="3" t="n"/>
    </row>
    <row r="636">
      <c r="A636" s="2" t="n">
        <v>635</v>
      </c>
      <c r="B636" s="2" t="inlineStr">
        <is>
          <t>KH003</t>
        </is>
      </c>
      <c r="C636" s="3" t="inlineStr">
        <is>
          <t>CÔNG TY TNHH ĐỒ NGHỀ CẦM TAY PHƯƠNG MY</t>
        </is>
      </c>
      <c r="D636" s="2" t="inlineStr">
        <is>
          <t>HCM</t>
        </is>
      </c>
      <c r="E636" s="2" t="inlineStr">
        <is>
          <t>BẢO TRÂM</t>
        </is>
      </c>
      <c r="F636" s="2" t="inlineStr">
        <is>
          <t>Shopee</t>
        </is>
      </c>
      <c r="G636" s="2" t="inlineStr">
        <is>
          <t>KBH4S-06*100</t>
        </is>
      </c>
      <c r="H636" s="3" t="inlineStr">
        <is>
          <t>Mũi khoan ĐN lục giác 4 cạnh KBH4S-06*100</t>
        </is>
      </c>
      <c r="I636" s="4" t="n">
        <v>32000</v>
      </c>
      <c r="J636" s="4" t="n"/>
      <c r="K636" s="4">
        <f>IF(AND(ISNUMBER(J636),ISNUMBER(I636)),J636-I636,"")</f>
        <v/>
      </c>
      <c r="L636" s="5">
        <f>IF(AND(ISNUMBER(J636),ISNUMBER(I636),I636&gt;0),(J636-I636)/I636,"")</f>
        <v/>
      </c>
      <c r="M636" s="2">
        <f>IF(L636="","",IF(L636&lt;-0.05,"Bán phá giá",IF(L636&gt;0.05,"Bán cao hơn","Đúng giá niêm yết")))</f>
        <v/>
      </c>
      <c r="N636" s="2" t="n"/>
      <c r="O636" s="3" t="n"/>
      <c r="P636" s="3" t="n"/>
    </row>
    <row r="637">
      <c r="A637" s="2" t="n">
        <v>636</v>
      </c>
      <c r="B637" s="2" t="inlineStr">
        <is>
          <t>KH003</t>
        </is>
      </c>
      <c r="C637" s="3" t="inlineStr">
        <is>
          <t>CÔNG TY TNHH ĐỒ NGHỀ CẦM TAY PHƯƠNG MY</t>
        </is>
      </c>
      <c r="D637" s="2" t="inlineStr">
        <is>
          <t>HCM</t>
        </is>
      </c>
      <c r="E637" s="2" t="inlineStr">
        <is>
          <t>BẢO TRÂM</t>
        </is>
      </c>
      <c r="F637" s="2" t="inlineStr">
        <is>
          <t>Shopee</t>
        </is>
      </c>
      <c r="G637" s="2" t="inlineStr">
        <is>
          <t>KBH4S-08*117</t>
        </is>
      </c>
      <c r="H637" s="3" t="inlineStr">
        <is>
          <t>Mũi khoan ĐN lục giác 4 cạnh KBH4S-08*117</t>
        </is>
      </c>
      <c r="I637" s="4" t="n">
        <v>41000</v>
      </c>
      <c r="J637" s="4" t="n"/>
      <c r="K637" s="4">
        <f>IF(AND(ISNUMBER(J637),ISNUMBER(I637)),J637-I637,"")</f>
        <v/>
      </c>
      <c r="L637" s="5">
        <f>IF(AND(ISNUMBER(J637),ISNUMBER(I637),I637&gt;0),(J637-I637)/I637,"")</f>
        <v/>
      </c>
      <c r="M637" s="2">
        <f>IF(L637="","",IF(L637&lt;-0.05,"Bán phá giá",IF(L637&gt;0.05,"Bán cao hơn","Đúng giá niêm yết")))</f>
        <v/>
      </c>
      <c r="N637" s="2" t="n"/>
      <c r="O637" s="3" t="n"/>
      <c r="P637" s="3" t="n"/>
    </row>
    <row r="638">
      <c r="A638" s="2" t="n">
        <v>637</v>
      </c>
      <c r="B638" s="2" t="inlineStr">
        <is>
          <t>KH003</t>
        </is>
      </c>
      <c r="C638" s="3" t="inlineStr">
        <is>
          <t>CÔNG TY TNHH ĐỒ NGHỀ CẦM TAY PHƯƠNG MY</t>
        </is>
      </c>
      <c r="D638" s="2" t="inlineStr">
        <is>
          <t>HCM</t>
        </is>
      </c>
      <c r="E638" s="2" t="inlineStr">
        <is>
          <t>BẢO TRÂM</t>
        </is>
      </c>
      <c r="F638" s="2" t="inlineStr">
        <is>
          <t>Shopee</t>
        </is>
      </c>
      <c r="G638" s="2" t="inlineStr"/>
      <c r="H638" s="3" t="inlineStr">
        <is>
          <t>Mũi khoan tường không tắc kê KBLJ - 03.2*100</t>
        </is>
      </c>
      <c r="I638" s="4" t="n">
        <v>70000</v>
      </c>
      <c r="J638" s="4" t="n"/>
      <c r="K638" s="4">
        <f>IF(AND(ISNUMBER(J638),ISNUMBER(I638)),J638-I638,"")</f>
        <v/>
      </c>
      <c r="L638" s="5">
        <f>IF(AND(ISNUMBER(J638),ISNUMBER(I638),I638&gt;0),(J638-I638)/I638,"")</f>
        <v/>
      </c>
      <c r="M638" s="2">
        <f>IF(L638="","",IF(L638&lt;-0.05,"Bán phá giá",IF(L638&gt;0.05,"Bán cao hơn","Đúng giá niêm yết")))</f>
        <v/>
      </c>
      <c r="N638" s="2" t="n"/>
      <c r="O638" s="3" t="n"/>
      <c r="P638" s="3" t="n"/>
    </row>
    <row r="639">
      <c r="A639" s="2" t="n">
        <v>638</v>
      </c>
      <c r="B639" s="2" t="inlineStr">
        <is>
          <t>KH003</t>
        </is>
      </c>
      <c r="C639" s="3" t="inlineStr">
        <is>
          <t>CÔNG TY TNHH ĐỒ NGHỀ CẦM TAY PHƯƠNG MY</t>
        </is>
      </c>
      <c r="D639" s="2" t="inlineStr">
        <is>
          <t>HCM</t>
        </is>
      </c>
      <c r="E639" s="2" t="inlineStr">
        <is>
          <t>BẢO TRÂM</t>
        </is>
      </c>
      <c r="F639" s="2" t="inlineStr">
        <is>
          <t>Shopee</t>
        </is>
      </c>
      <c r="G639" s="2" t="inlineStr"/>
      <c r="H639" s="3" t="inlineStr">
        <is>
          <t>Mũi khoan tường không tắc kê KBLJ - 03.5*100</t>
        </is>
      </c>
      <c r="I639" s="4" t="n">
        <v>35000</v>
      </c>
      <c r="J639" s="4" t="n"/>
      <c r="K639" s="4">
        <f>IF(AND(ISNUMBER(J639),ISNUMBER(I639)),J639-I639,"")</f>
        <v/>
      </c>
      <c r="L639" s="5">
        <f>IF(AND(ISNUMBER(J639),ISNUMBER(I639),I639&gt;0),(J639-I639)/I639,"")</f>
        <v/>
      </c>
      <c r="M639" s="2">
        <f>IF(L639="","",IF(L639&lt;-0.05,"Bán phá giá",IF(L639&gt;0.05,"Bán cao hơn","Đúng giá niêm yết")))</f>
        <v/>
      </c>
      <c r="N639" s="2" t="n"/>
      <c r="O639" s="3" t="n"/>
      <c r="P639" s="3" t="n"/>
    </row>
    <row r="640">
      <c r="A640" s="2" t="n">
        <v>639</v>
      </c>
      <c r="B640" s="2" t="inlineStr">
        <is>
          <t>KH003</t>
        </is>
      </c>
      <c r="C640" s="3" t="inlineStr">
        <is>
          <t>CÔNG TY TNHH ĐỒ NGHỀ CẦM TAY PHƯƠNG MY</t>
        </is>
      </c>
      <c r="D640" s="2" t="inlineStr">
        <is>
          <t>HCM</t>
        </is>
      </c>
      <c r="E640" s="2" t="inlineStr">
        <is>
          <t>BẢO TRÂM</t>
        </is>
      </c>
      <c r="F640" s="2" t="inlineStr">
        <is>
          <t>Shopee</t>
        </is>
      </c>
      <c r="G640" s="2" t="inlineStr"/>
      <c r="H640" s="3" t="inlineStr">
        <is>
          <t>Mũi khoan tường không tắc kê KBLJ - 04*100</t>
        </is>
      </c>
      <c r="I640" s="4" t="n">
        <v>35000</v>
      </c>
      <c r="J640" s="4" t="n"/>
      <c r="K640" s="4">
        <f>IF(AND(ISNUMBER(J640),ISNUMBER(I640)),J640-I640,"")</f>
        <v/>
      </c>
      <c r="L640" s="5">
        <f>IF(AND(ISNUMBER(J640),ISNUMBER(I640),I640&gt;0),(J640-I640)/I640,"")</f>
        <v/>
      </c>
      <c r="M640" s="2">
        <f>IF(L640="","",IF(L640&lt;-0.05,"Bán phá giá",IF(L640&gt;0.05,"Bán cao hơn","Đúng giá niêm yết")))</f>
        <v/>
      </c>
      <c r="N640" s="2" t="n"/>
      <c r="O640" s="3" t="n"/>
      <c r="P640" s="3" t="n"/>
    </row>
    <row r="641">
      <c r="A641" s="2" t="n">
        <v>640</v>
      </c>
      <c r="B641" s="2" t="inlineStr">
        <is>
          <t>KH003</t>
        </is>
      </c>
      <c r="C641" s="3" t="inlineStr">
        <is>
          <t>CÔNG TY TNHH ĐỒ NGHỀ CẦM TAY PHƯƠNG MY</t>
        </is>
      </c>
      <c r="D641" s="2" t="inlineStr">
        <is>
          <t>HCM</t>
        </is>
      </c>
      <c r="E641" s="2" t="inlineStr">
        <is>
          <t>BẢO TRÂM</t>
        </is>
      </c>
      <c r="F641" s="2" t="inlineStr">
        <is>
          <t>Shopee</t>
        </is>
      </c>
      <c r="G641" s="2" t="inlineStr"/>
      <c r="H641" s="3" t="inlineStr">
        <is>
          <t>Mũi khoan tường không tắc kê KBLJ - 04.2*100</t>
        </is>
      </c>
      <c r="I641" s="4" t="n">
        <v>35000</v>
      </c>
      <c r="J641" s="4" t="n"/>
      <c r="K641" s="4">
        <f>IF(AND(ISNUMBER(J641),ISNUMBER(I641)),J641-I641,"")</f>
        <v/>
      </c>
      <c r="L641" s="5">
        <f>IF(AND(ISNUMBER(J641),ISNUMBER(I641),I641&gt;0),(J641-I641)/I641,"")</f>
        <v/>
      </c>
      <c r="M641" s="2">
        <f>IF(L641="","",IF(L641&lt;-0.05,"Bán phá giá",IF(L641&gt;0.05,"Bán cao hơn","Đúng giá niêm yết")))</f>
        <v/>
      </c>
      <c r="N641" s="2" t="n"/>
      <c r="O641" s="3" t="n"/>
      <c r="P641" s="3" t="n"/>
    </row>
    <row r="642">
      <c r="A642" s="2" t="n">
        <v>641</v>
      </c>
      <c r="B642" s="2" t="inlineStr">
        <is>
          <t>KH003</t>
        </is>
      </c>
      <c r="C642" s="3" t="inlineStr">
        <is>
          <t>CÔNG TY TNHH ĐỒ NGHỀ CẦM TAY PHƯƠNG MY</t>
        </is>
      </c>
      <c r="D642" s="2" t="inlineStr">
        <is>
          <t>HCM</t>
        </is>
      </c>
      <c r="E642" s="2" t="inlineStr">
        <is>
          <t>BẢO TRÂM</t>
        </is>
      </c>
      <c r="F642" s="2" t="inlineStr">
        <is>
          <t>Shopee</t>
        </is>
      </c>
      <c r="G642" s="2" t="inlineStr"/>
      <c r="H642" s="3" t="inlineStr">
        <is>
          <t>Mũi khoan tường không tắc kê KBLJ - 04.5*100</t>
        </is>
      </c>
      <c r="I642" s="4" t="n">
        <v>35000</v>
      </c>
      <c r="J642" s="4" t="n"/>
      <c r="K642" s="4">
        <f>IF(AND(ISNUMBER(J642),ISNUMBER(I642)),J642-I642,"")</f>
        <v/>
      </c>
      <c r="L642" s="5">
        <f>IF(AND(ISNUMBER(J642),ISNUMBER(I642),I642&gt;0),(J642-I642)/I642,"")</f>
        <v/>
      </c>
      <c r="M642" s="2">
        <f>IF(L642="","",IF(L642&lt;-0.05,"Bán phá giá",IF(L642&gt;0.05,"Bán cao hơn","Đúng giá niêm yết")))</f>
        <v/>
      </c>
      <c r="N642" s="2" t="n"/>
      <c r="O642" s="3" t="n"/>
      <c r="P642" s="3" t="n"/>
    </row>
    <row r="643">
      <c r="A643" s="2" t="n">
        <v>642</v>
      </c>
      <c r="B643" s="2" t="inlineStr">
        <is>
          <t>KH003</t>
        </is>
      </c>
      <c r="C643" s="3" t="inlineStr">
        <is>
          <t>CÔNG TY TNHH ĐỒ NGHỀ CẦM TAY PHƯƠNG MY</t>
        </is>
      </c>
      <c r="D643" s="2" t="inlineStr">
        <is>
          <t>HCM</t>
        </is>
      </c>
      <c r="E643" s="2" t="inlineStr">
        <is>
          <t>BẢO TRÂM</t>
        </is>
      </c>
      <c r="F643" s="2" t="inlineStr">
        <is>
          <t>Shopee</t>
        </is>
      </c>
      <c r="G643" s="2" t="inlineStr"/>
      <c r="H643" s="3" t="inlineStr">
        <is>
          <t>Mũi khoan tường không tắc kê KBLJ - 05*100</t>
        </is>
      </c>
      <c r="I643" s="4" t="n">
        <v>35000</v>
      </c>
      <c r="J643" s="4" t="n"/>
      <c r="K643" s="4">
        <f>IF(AND(ISNUMBER(J643),ISNUMBER(I643)),J643-I643,"")</f>
        <v/>
      </c>
      <c r="L643" s="5">
        <f>IF(AND(ISNUMBER(J643),ISNUMBER(I643),I643&gt;0),(J643-I643)/I643,"")</f>
        <v/>
      </c>
      <c r="M643" s="2">
        <f>IF(L643="","",IF(L643&lt;-0.05,"Bán phá giá",IF(L643&gt;0.05,"Bán cao hơn","Đúng giá niêm yết")))</f>
        <v/>
      </c>
      <c r="N643" s="2" t="n"/>
      <c r="O643" s="3" t="n"/>
      <c r="P643" s="3" t="n"/>
    </row>
    <row r="644">
      <c r="A644" s="2" t="n">
        <v>643</v>
      </c>
      <c r="B644" s="2" t="inlineStr">
        <is>
          <t>KH003</t>
        </is>
      </c>
      <c r="C644" s="3" t="inlineStr">
        <is>
          <t>CÔNG TY TNHH ĐỒ NGHỀ CẦM TAY PHƯƠNG MY</t>
        </is>
      </c>
      <c r="D644" s="2" t="inlineStr">
        <is>
          <t>HCM</t>
        </is>
      </c>
      <c r="E644" s="2" t="inlineStr">
        <is>
          <t>BẢO TRÂM</t>
        </is>
      </c>
      <c r="F644" s="2" t="inlineStr">
        <is>
          <t>Shopee</t>
        </is>
      </c>
      <c r="G644" s="2" t="inlineStr"/>
      <c r="H644" s="3" t="inlineStr">
        <is>
          <t>Mũi khoan tường không tắc kê KBLJ - 06*125</t>
        </is>
      </c>
      <c r="I644" s="4" t="n">
        <v>43000</v>
      </c>
      <c r="J644" s="4" t="n"/>
      <c r="K644" s="4">
        <f>IF(AND(ISNUMBER(J644),ISNUMBER(I644)),J644-I644,"")</f>
        <v/>
      </c>
      <c r="L644" s="5">
        <f>IF(AND(ISNUMBER(J644),ISNUMBER(I644),I644&gt;0),(J644-I644)/I644,"")</f>
        <v/>
      </c>
      <c r="M644" s="2">
        <f>IF(L644="","",IF(L644&lt;-0.05,"Bán phá giá",IF(L644&gt;0.05,"Bán cao hơn","Đúng giá niêm yết")))</f>
        <v/>
      </c>
      <c r="N644" s="2" t="n"/>
      <c r="O644" s="3" t="n"/>
      <c r="P644" s="3" t="n"/>
    </row>
    <row r="645">
      <c r="A645" s="2" t="n">
        <v>644</v>
      </c>
      <c r="B645" s="2" t="inlineStr">
        <is>
          <t>KH003</t>
        </is>
      </c>
      <c r="C645" s="3" t="inlineStr">
        <is>
          <t>CÔNG TY TNHH ĐỒ NGHỀ CẦM TAY PHƯƠNG MY</t>
        </is>
      </c>
      <c r="D645" s="2" t="inlineStr">
        <is>
          <t>HCM</t>
        </is>
      </c>
      <c r="E645" s="2" t="inlineStr">
        <is>
          <t>BẢO TRÂM</t>
        </is>
      </c>
      <c r="F645" s="2" t="inlineStr">
        <is>
          <t>Shopee</t>
        </is>
      </c>
      <c r="G645" s="2" t="inlineStr"/>
      <c r="H645" s="3" t="inlineStr">
        <is>
          <t>Mũi khoan tường không tắc kê KBLJ - 08*125</t>
        </is>
      </c>
      <c r="I645" s="4" t="n">
        <v>53000</v>
      </c>
      <c r="J645" s="4" t="n"/>
      <c r="K645" s="4">
        <f>IF(AND(ISNUMBER(J645),ISNUMBER(I645)),J645-I645,"")</f>
        <v/>
      </c>
      <c r="L645" s="5">
        <f>IF(AND(ISNUMBER(J645),ISNUMBER(I645),I645&gt;0),(J645-I645)/I645,"")</f>
        <v/>
      </c>
      <c r="M645" s="2">
        <f>IF(L645="","",IF(L645&lt;-0.05,"Bán phá giá",IF(L645&gt;0.05,"Bán cao hơn","Đúng giá niêm yết")))</f>
        <v/>
      </c>
      <c r="N645" s="2" t="n"/>
      <c r="O645" s="3" t="n"/>
      <c r="P645" s="3" t="n"/>
    </row>
    <row r="646">
      <c r="A646" s="2" t="n">
        <v>645</v>
      </c>
      <c r="B646" s="2" t="inlineStr">
        <is>
          <t>KH003</t>
        </is>
      </c>
      <c r="C646" s="3" t="inlineStr">
        <is>
          <t>CÔNG TY TNHH ĐỒ NGHỀ CẦM TAY PHƯƠNG MY</t>
        </is>
      </c>
      <c r="D646" s="2" t="inlineStr">
        <is>
          <t>HCM</t>
        </is>
      </c>
      <c r="E646" s="2" t="inlineStr">
        <is>
          <t>BẢO TRÂM</t>
        </is>
      </c>
      <c r="F646" s="2" t="inlineStr">
        <is>
          <t>Shopee</t>
        </is>
      </c>
      <c r="G646" s="2" t="inlineStr"/>
      <c r="H646" s="3" t="inlineStr">
        <is>
          <t>Mũi khoan tường không tắc kê KBLJ - 10*148</t>
        </is>
      </c>
      <c r="I646" s="4" t="n">
        <v>63000</v>
      </c>
      <c r="J646" s="4" t="n"/>
      <c r="K646" s="4">
        <f>IF(AND(ISNUMBER(J646),ISNUMBER(I646)),J646-I646,"")</f>
        <v/>
      </c>
      <c r="L646" s="5">
        <f>IF(AND(ISNUMBER(J646),ISNUMBER(I646),I646&gt;0),(J646-I646)/I646,"")</f>
        <v/>
      </c>
      <c r="M646" s="2">
        <f>IF(L646="","",IF(L646&lt;-0.05,"Bán phá giá",IF(L646&gt;0.05,"Bán cao hơn","Đúng giá niêm yết")))</f>
        <v/>
      </c>
      <c r="N646" s="2" t="n"/>
      <c r="O646" s="3" t="n"/>
      <c r="P646" s="3" t="n"/>
    </row>
    <row r="647">
      <c r="A647" s="2" t="n">
        <v>646</v>
      </c>
      <c r="B647" s="2" t="inlineStr">
        <is>
          <t>KH003</t>
        </is>
      </c>
      <c r="C647" s="3" t="inlineStr">
        <is>
          <t>CÔNG TY TNHH ĐỒ NGHỀ CẦM TAY PHƯƠNG MY</t>
        </is>
      </c>
      <c r="D647" s="2" t="inlineStr">
        <is>
          <t>HCM</t>
        </is>
      </c>
      <c r="E647" s="2" t="inlineStr">
        <is>
          <t>BẢO TRÂM</t>
        </is>
      </c>
      <c r="F647" s="2" t="inlineStr">
        <is>
          <t>Shopee</t>
        </is>
      </c>
      <c r="G647" s="2" t="inlineStr">
        <is>
          <t>KBL4-10*350</t>
        </is>
      </c>
      <c r="H647" s="3" t="inlineStr">
        <is>
          <t>Mũi khoan xuyên tường 4 cạnh KBL4-10*350</t>
        </is>
      </c>
      <c r="I647" s="4" t="n">
        <v>54000</v>
      </c>
      <c r="J647" s="4" t="n"/>
      <c r="K647" s="4">
        <f>IF(AND(ISNUMBER(J647),ISNUMBER(I647)),J647-I647,"")</f>
        <v/>
      </c>
      <c r="L647" s="5">
        <f>IF(AND(ISNUMBER(J647),ISNUMBER(I647),I647&gt;0),(J647-I647)/I647,"")</f>
        <v/>
      </c>
      <c r="M647" s="2">
        <f>IF(L647="","",IF(L647&lt;-0.05,"Bán phá giá",IF(L647&gt;0.05,"Bán cao hơn","Đúng giá niêm yết")))</f>
        <v/>
      </c>
      <c r="N647" s="2" t="n"/>
      <c r="O647" s="3" t="n"/>
      <c r="P647" s="3" t="n"/>
    </row>
    <row r="648">
      <c r="A648" s="2" t="n">
        <v>647</v>
      </c>
      <c r="B648" s="2" t="inlineStr">
        <is>
          <t>KH003</t>
        </is>
      </c>
      <c r="C648" s="3" t="inlineStr">
        <is>
          <t>CÔNG TY TNHH ĐỒ NGHỀ CẦM TAY PHƯƠNG MY</t>
        </is>
      </c>
      <c r="D648" s="2" t="inlineStr">
        <is>
          <t>HCM</t>
        </is>
      </c>
      <c r="E648" s="2" t="inlineStr">
        <is>
          <t>BẢO TRÂM</t>
        </is>
      </c>
      <c r="F648" s="2" t="inlineStr">
        <is>
          <t>Shopee</t>
        </is>
      </c>
      <c r="G648" s="2" t="inlineStr">
        <is>
          <t>KBX2-15</t>
        </is>
      </c>
      <c r="H648" s="3" t="inlineStr">
        <is>
          <t>Mũi khoét gỗ KBX2-15</t>
        </is>
      </c>
      <c r="I648" s="4" t="n">
        <v>33000</v>
      </c>
      <c r="J648" s="4" t="n"/>
      <c r="K648" s="4">
        <f>IF(AND(ISNUMBER(J648),ISNUMBER(I648)),J648-I648,"")</f>
        <v/>
      </c>
      <c r="L648" s="5">
        <f>IF(AND(ISNUMBER(J648),ISNUMBER(I648),I648&gt;0),(J648-I648)/I648,"")</f>
        <v/>
      </c>
      <c r="M648" s="2">
        <f>IF(L648="","",IF(L648&lt;-0.05,"Bán phá giá",IF(L648&gt;0.05,"Bán cao hơn","Đúng giá niêm yết")))</f>
        <v/>
      </c>
      <c r="N648" s="2" t="n"/>
      <c r="O648" s="3" t="n"/>
      <c r="P648" s="3" t="n"/>
    </row>
    <row r="649">
      <c r="A649" s="2" t="n">
        <v>648</v>
      </c>
      <c r="B649" s="2" t="inlineStr">
        <is>
          <t>KH003</t>
        </is>
      </c>
      <c r="C649" s="3" t="inlineStr">
        <is>
          <t>CÔNG TY TNHH ĐỒ NGHỀ CẦM TAY PHƯƠNG MY</t>
        </is>
      </c>
      <c r="D649" s="2" t="inlineStr">
        <is>
          <t>HCM</t>
        </is>
      </c>
      <c r="E649" s="2" t="inlineStr">
        <is>
          <t>BẢO TRÂM</t>
        </is>
      </c>
      <c r="F649" s="2" t="inlineStr">
        <is>
          <t>Shopee</t>
        </is>
      </c>
      <c r="G649" s="2" t="inlineStr">
        <is>
          <t>KBX2-16</t>
        </is>
      </c>
      <c r="H649" s="3" t="inlineStr">
        <is>
          <t>Mũi khoét gỗ KBX2-16</t>
        </is>
      </c>
      <c r="I649" s="4" t="n">
        <v>33000</v>
      </c>
      <c r="J649" s="4" t="n"/>
      <c r="K649" s="4">
        <f>IF(AND(ISNUMBER(J649),ISNUMBER(I649)),J649-I649,"")</f>
        <v/>
      </c>
      <c r="L649" s="5">
        <f>IF(AND(ISNUMBER(J649),ISNUMBER(I649),I649&gt;0),(J649-I649)/I649,"")</f>
        <v/>
      </c>
      <c r="M649" s="2">
        <f>IF(L649="","",IF(L649&lt;-0.05,"Bán phá giá",IF(L649&gt;0.05,"Bán cao hơn","Đúng giá niêm yết")))</f>
        <v/>
      </c>
      <c r="N649" s="2" t="n"/>
      <c r="O649" s="3" t="n"/>
      <c r="P649" s="3" t="n"/>
    </row>
    <row r="650">
      <c r="A650" s="2" t="n">
        <v>649</v>
      </c>
      <c r="B650" s="2" t="inlineStr">
        <is>
          <t>KH003</t>
        </is>
      </c>
      <c r="C650" s="3" t="inlineStr">
        <is>
          <t>CÔNG TY TNHH ĐỒ NGHỀ CẦM TAY PHƯƠNG MY</t>
        </is>
      </c>
      <c r="D650" s="2" t="inlineStr">
        <is>
          <t>HCM</t>
        </is>
      </c>
      <c r="E650" s="2" t="inlineStr">
        <is>
          <t>BẢO TRÂM</t>
        </is>
      </c>
      <c r="F650" s="2" t="inlineStr">
        <is>
          <t>Shopee</t>
        </is>
      </c>
      <c r="G650" s="2" t="inlineStr">
        <is>
          <t>KBX2-20</t>
        </is>
      </c>
      <c r="H650" s="3" t="inlineStr">
        <is>
          <t>Mũi khoét gỗ KBX2-20</t>
        </is>
      </c>
      <c r="I650" s="4" t="n">
        <v>37000</v>
      </c>
      <c r="J650" s="4" t="n"/>
      <c r="K650" s="4">
        <f>IF(AND(ISNUMBER(J650),ISNUMBER(I650)),J650-I650,"")</f>
        <v/>
      </c>
      <c r="L650" s="5">
        <f>IF(AND(ISNUMBER(J650),ISNUMBER(I650),I650&gt;0),(J650-I650)/I650,"")</f>
        <v/>
      </c>
      <c r="M650" s="2">
        <f>IF(L650="","",IF(L650&lt;-0.05,"Bán phá giá",IF(L650&gt;0.05,"Bán cao hơn","Đúng giá niêm yết")))</f>
        <v/>
      </c>
      <c r="N650" s="2" t="n"/>
      <c r="O650" s="3" t="n"/>
      <c r="P650" s="3" t="n"/>
    </row>
    <row r="651">
      <c r="A651" s="2" t="n">
        <v>650</v>
      </c>
      <c r="B651" s="2" t="inlineStr">
        <is>
          <t>KH003</t>
        </is>
      </c>
      <c r="C651" s="3" t="inlineStr">
        <is>
          <t>CÔNG TY TNHH ĐỒ NGHỀ CẦM TAY PHƯƠNG MY</t>
        </is>
      </c>
      <c r="D651" s="2" t="inlineStr">
        <is>
          <t>HCM</t>
        </is>
      </c>
      <c r="E651" s="2" t="inlineStr">
        <is>
          <t>BẢO TRÂM</t>
        </is>
      </c>
      <c r="F651" s="2" t="inlineStr">
        <is>
          <t>Shopee</t>
        </is>
      </c>
      <c r="G651" s="2" t="inlineStr">
        <is>
          <t>KBX2-24</t>
        </is>
      </c>
      <c r="H651" s="3" t="inlineStr">
        <is>
          <t>Mũi khoét gỗ KBX2-24</t>
        </is>
      </c>
      <c r="I651" s="4" t="n">
        <v>45000</v>
      </c>
      <c r="J651" s="4" t="n"/>
      <c r="K651" s="4">
        <f>IF(AND(ISNUMBER(J651),ISNUMBER(I651)),J651-I651,"")</f>
        <v/>
      </c>
      <c r="L651" s="5">
        <f>IF(AND(ISNUMBER(J651),ISNUMBER(I651),I651&gt;0),(J651-I651)/I651,"")</f>
        <v/>
      </c>
      <c r="M651" s="2">
        <f>IF(L651="","",IF(L651&lt;-0.05,"Bán phá giá",IF(L651&gt;0.05,"Bán cao hơn","Đúng giá niêm yết")))</f>
        <v/>
      </c>
      <c r="N651" s="2" t="n"/>
      <c r="O651" s="3" t="n"/>
      <c r="P651" s="3" t="n"/>
    </row>
    <row r="652">
      <c r="A652" s="2" t="n">
        <v>651</v>
      </c>
      <c r="B652" s="2" t="inlineStr">
        <is>
          <t>KH003</t>
        </is>
      </c>
      <c r="C652" s="3" t="inlineStr">
        <is>
          <t>CÔNG TY TNHH ĐỒ NGHỀ CẦM TAY PHƯƠNG MY</t>
        </is>
      </c>
      <c r="D652" s="2" t="inlineStr">
        <is>
          <t>HCM</t>
        </is>
      </c>
      <c r="E652" s="2" t="inlineStr">
        <is>
          <t>BẢO TRÂM</t>
        </is>
      </c>
      <c r="F652" s="2" t="inlineStr">
        <is>
          <t>Shopee</t>
        </is>
      </c>
      <c r="G652" s="2" t="inlineStr">
        <is>
          <t>KBX2-27</t>
        </is>
      </c>
      <c r="H652" s="3" t="inlineStr">
        <is>
          <t>Mũi khoét gỗ KBX2-27</t>
        </is>
      </c>
      <c r="I652" s="4" t="n">
        <v>51000</v>
      </c>
      <c r="J652" s="4" t="n"/>
      <c r="K652" s="4">
        <f>IF(AND(ISNUMBER(J652),ISNUMBER(I652)),J652-I652,"")</f>
        <v/>
      </c>
      <c r="L652" s="5">
        <f>IF(AND(ISNUMBER(J652),ISNUMBER(I652),I652&gt;0),(J652-I652)/I652,"")</f>
        <v/>
      </c>
      <c r="M652" s="2">
        <f>IF(L652="","",IF(L652&lt;-0.05,"Bán phá giá",IF(L652&gt;0.05,"Bán cao hơn","Đúng giá niêm yết")))</f>
        <v/>
      </c>
      <c r="N652" s="2" t="n"/>
      <c r="O652" s="3" t="n"/>
      <c r="P652" s="3" t="n"/>
    </row>
    <row r="653">
      <c r="A653" s="2" t="n">
        <v>652</v>
      </c>
      <c r="B653" s="2" t="inlineStr">
        <is>
          <t>KH003</t>
        </is>
      </c>
      <c r="C653" s="3" t="inlineStr">
        <is>
          <t>CÔNG TY TNHH ĐỒ NGHỀ CẦM TAY PHƯƠNG MY</t>
        </is>
      </c>
      <c r="D653" s="2" t="inlineStr">
        <is>
          <t>HCM</t>
        </is>
      </c>
      <c r="E653" s="2" t="inlineStr">
        <is>
          <t>BẢO TRÂM</t>
        </is>
      </c>
      <c r="F653" s="2" t="inlineStr">
        <is>
          <t>Shopee</t>
        </is>
      </c>
      <c r="G653" s="2" t="inlineStr">
        <is>
          <t>KBX2-42</t>
        </is>
      </c>
      <c r="H653" s="3" t="inlineStr">
        <is>
          <t>Mũi khoét gỗ KBX2-42</t>
        </is>
      </c>
      <c r="I653" s="4" t="n">
        <v>78000</v>
      </c>
      <c r="J653" s="4" t="n"/>
      <c r="K653" s="4">
        <f>IF(AND(ISNUMBER(J653),ISNUMBER(I653)),J653-I653,"")</f>
        <v/>
      </c>
      <c r="L653" s="5">
        <f>IF(AND(ISNUMBER(J653),ISNUMBER(I653),I653&gt;0),(J653-I653)/I653,"")</f>
        <v/>
      </c>
      <c r="M653" s="2">
        <f>IF(L653="","",IF(L653&lt;-0.05,"Bán phá giá",IF(L653&gt;0.05,"Bán cao hơn","Đúng giá niêm yết")))</f>
        <v/>
      </c>
      <c r="N653" s="2" t="n"/>
      <c r="O653" s="3" t="n"/>
      <c r="P653" s="3" t="n"/>
    </row>
    <row r="654">
      <c r="A654" s="2" t="n">
        <v>653</v>
      </c>
      <c r="B654" s="2" t="inlineStr">
        <is>
          <t>KH003</t>
        </is>
      </c>
      <c r="C654" s="3" t="inlineStr">
        <is>
          <t>CÔNG TY TNHH ĐỒ NGHỀ CẦM TAY PHƯƠNG MY</t>
        </is>
      </c>
      <c r="D654" s="2" t="inlineStr">
        <is>
          <t>HCM</t>
        </is>
      </c>
      <c r="E654" s="2" t="inlineStr">
        <is>
          <t>BẢO TRÂM</t>
        </is>
      </c>
      <c r="F654" s="2" t="inlineStr">
        <is>
          <t>Shopee</t>
        </is>
      </c>
      <c r="G654" s="2" t="inlineStr">
        <is>
          <t>KYG80</t>
        </is>
      </c>
      <c r="H654" s="3" t="inlineStr">
        <is>
          <t>Ổ khóa KYG80</t>
        </is>
      </c>
      <c r="I654" s="4" t="n">
        <v>248000</v>
      </c>
      <c r="J654" s="4" t="n"/>
      <c r="K654" s="4">
        <f>IF(AND(ISNUMBER(J654),ISNUMBER(I654)),J654-I654,"")</f>
        <v/>
      </c>
      <c r="L654" s="5">
        <f>IF(AND(ISNUMBER(J654),ISNUMBER(I654),I654&gt;0),(J654-I654)/I654,"")</f>
        <v/>
      </c>
      <c r="M654" s="2">
        <f>IF(L654="","",IF(L654&lt;-0.05,"Bán phá giá",IF(L654&gt;0.05,"Bán cao hơn","Đúng giá niêm yết")))</f>
        <v/>
      </c>
      <c r="N654" s="2" t="n"/>
      <c r="O654" s="3" t="n"/>
      <c r="P654" s="3" t="n"/>
    </row>
    <row r="655">
      <c r="A655" s="2" t="n">
        <v>654</v>
      </c>
      <c r="B655" s="2" t="inlineStr">
        <is>
          <t>KH003</t>
        </is>
      </c>
      <c r="C655" s="3" t="inlineStr">
        <is>
          <t>CÔNG TY TNHH ĐỒ NGHỀ CẦM TAY PHƯƠNG MY</t>
        </is>
      </c>
      <c r="D655" s="2" t="inlineStr">
        <is>
          <t>HCM</t>
        </is>
      </c>
      <c r="E655" s="2" t="inlineStr">
        <is>
          <t>BẢO TRÂM</t>
        </is>
      </c>
      <c r="F655" s="2" t="inlineStr">
        <is>
          <t>Shopee</t>
        </is>
      </c>
      <c r="G655" s="2" t="inlineStr">
        <is>
          <t>KYV40</t>
        </is>
      </c>
      <c r="H655" s="3" t="inlineStr">
        <is>
          <t>Ổ khóa KYV40</t>
        </is>
      </c>
      <c r="I655" s="4" t="n">
        <v>77000</v>
      </c>
      <c r="J655" s="4" t="n"/>
      <c r="K655" s="4">
        <f>IF(AND(ISNUMBER(J655),ISNUMBER(I655)),J655-I655,"")</f>
        <v/>
      </c>
      <c r="L655" s="5">
        <f>IF(AND(ISNUMBER(J655),ISNUMBER(I655),I655&gt;0),(J655-I655)/I655,"")</f>
        <v/>
      </c>
      <c r="M655" s="2">
        <f>IF(L655="","",IF(L655&lt;-0.05,"Bán phá giá",IF(L655&gt;0.05,"Bán cao hơn","Đúng giá niêm yết")))</f>
        <v/>
      </c>
      <c r="N655" s="2" t="n"/>
      <c r="O655" s="3" t="n"/>
      <c r="P655" s="3" t="n"/>
    </row>
    <row r="656">
      <c r="A656" s="2" t="n">
        <v>655</v>
      </c>
      <c r="B656" s="2" t="inlineStr">
        <is>
          <t>KH003</t>
        </is>
      </c>
      <c r="C656" s="3" t="inlineStr">
        <is>
          <t>CÔNG TY TNHH ĐỒ NGHỀ CẦM TAY PHƯƠNG MY</t>
        </is>
      </c>
      <c r="D656" s="2" t="inlineStr">
        <is>
          <t>HCM</t>
        </is>
      </c>
      <c r="E656" s="2" t="inlineStr">
        <is>
          <t>BẢO TRÂM</t>
        </is>
      </c>
      <c r="F656" s="2" t="inlineStr">
        <is>
          <t>Shopee</t>
        </is>
      </c>
      <c r="G656" s="2" t="inlineStr">
        <is>
          <t>KYX40</t>
        </is>
      </c>
      <c r="H656" s="3" t="inlineStr">
        <is>
          <t>Ổ khóa KYX40</t>
        </is>
      </c>
      <c r="I656" s="4" t="n">
        <v>113000</v>
      </c>
      <c r="J656" s="4" t="n"/>
      <c r="K656" s="4">
        <f>IF(AND(ISNUMBER(J656),ISNUMBER(I656)),J656-I656,"")</f>
        <v/>
      </c>
      <c r="L656" s="5">
        <f>IF(AND(ISNUMBER(J656),ISNUMBER(I656),I656&gt;0),(J656-I656)/I656,"")</f>
        <v/>
      </c>
      <c r="M656" s="2">
        <f>IF(L656="","",IF(L656&lt;-0.05,"Bán phá giá",IF(L656&gt;0.05,"Bán cao hơn","Đúng giá niêm yết")))</f>
        <v/>
      </c>
      <c r="N656" s="2" t="n"/>
      <c r="O656" s="3" t="n"/>
      <c r="P656" s="3" t="n"/>
    </row>
    <row r="657">
      <c r="A657" s="2" t="n">
        <v>656</v>
      </c>
      <c r="B657" s="2" t="inlineStr">
        <is>
          <t>KH003</t>
        </is>
      </c>
      <c r="C657" s="3" t="inlineStr">
        <is>
          <t>CÔNG TY TNHH ĐỒ NGHỀ CẦM TAY PHƯƠNG MY</t>
        </is>
      </c>
      <c r="D657" s="2" t="inlineStr">
        <is>
          <t>HCM</t>
        </is>
      </c>
      <c r="E657" s="2" t="inlineStr">
        <is>
          <t>BẢO TRÂM</t>
        </is>
      </c>
      <c r="F657" s="2" t="inlineStr">
        <is>
          <t>Shopee</t>
        </is>
      </c>
      <c r="G657" s="2" t="inlineStr">
        <is>
          <t>KYZ50</t>
        </is>
      </c>
      <c r="H657" s="3" t="inlineStr">
        <is>
          <t>Ổ khóa KYZ50</t>
        </is>
      </c>
      <c r="I657" s="4" t="n">
        <v>173000</v>
      </c>
      <c r="J657" s="4" t="n"/>
      <c r="K657" s="4">
        <f>IF(AND(ISNUMBER(J657),ISNUMBER(I657)),J657-I657,"")</f>
        <v/>
      </c>
      <c r="L657" s="5">
        <f>IF(AND(ISNUMBER(J657),ISNUMBER(I657),I657&gt;0),(J657-I657)/I657,"")</f>
        <v/>
      </c>
      <c r="M657" s="2">
        <f>IF(L657="","",IF(L657&lt;-0.05,"Bán phá giá",IF(L657&gt;0.05,"Bán cao hơn","Đúng giá niêm yết")))</f>
        <v/>
      </c>
      <c r="N657" s="2" t="n"/>
      <c r="O657" s="3" t="n"/>
      <c r="P657" s="3" t="n"/>
    </row>
    <row r="658">
      <c r="A658" s="2" t="n">
        <v>657</v>
      </c>
      <c r="B658" s="2" t="inlineStr">
        <is>
          <t>KH003</t>
        </is>
      </c>
      <c r="C658" s="3" t="inlineStr">
        <is>
          <t>CÔNG TY TNHH ĐỒ NGHỀ CẦM TAY PHƯƠNG MY</t>
        </is>
      </c>
      <c r="D658" s="2" t="inlineStr">
        <is>
          <t>HCM</t>
        </is>
      </c>
      <c r="E658" s="2" t="inlineStr">
        <is>
          <t>BẢO TRÂM</t>
        </is>
      </c>
      <c r="F658" s="2" t="inlineStr">
        <is>
          <t>Shopee</t>
        </is>
      </c>
      <c r="G658" s="2" t="inlineStr">
        <is>
          <t>KYZ60</t>
        </is>
      </c>
      <c r="H658" s="3" t="inlineStr">
        <is>
          <t>Ổ khóa KYZ60</t>
        </is>
      </c>
      <c r="I658" s="4" t="n">
        <v>209000</v>
      </c>
      <c r="J658" s="4" t="n"/>
      <c r="K658" s="4">
        <f>IF(AND(ISNUMBER(J658),ISNUMBER(I658)),J658-I658,"")</f>
        <v/>
      </c>
      <c r="L658" s="5">
        <f>IF(AND(ISNUMBER(J658),ISNUMBER(I658),I658&gt;0),(J658-I658)/I658,"")</f>
        <v/>
      </c>
      <c r="M658" s="2">
        <f>IF(L658="","",IF(L658&lt;-0.05,"Bán phá giá",IF(L658&gt;0.05,"Bán cao hơn","Đúng giá niêm yết")))</f>
        <v/>
      </c>
      <c r="N658" s="2" t="n"/>
      <c r="O658" s="3" t="n"/>
      <c r="P658" s="3" t="n"/>
    </row>
    <row r="659">
      <c r="A659" s="2" t="n">
        <v>658</v>
      </c>
      <c r="B659" s="2" t="inlineStr">
        <is>
          <t>KH003</t>
        </is>
      </c>
      <c r="C659" s="3" t="inlineStr">
        <is>
          <t>CÔNG TY TNHH ĐỒ NGHỀ CẦM TAY PHƯƠNG MY</t>
        </is>
      </c>
      <c r="D659" s="2" t="inlineStr">
        <is>
          <t>HCM</t>
        </is>
      </c>
      <c r="E659" s="2" t="inlineStr">
        <is>
          <t>BẢO TRÂM</t>
        </is>
      </c>
      <c r="F659" s="2" t="inlineStr">
        <is>
          <t>Shopee</t>
        </is>
      </c>
      <c r="G659" s="2" t="inlineStr">
        <is>
          <t>MP6018</t>
        </is>
      </c>
      <c r="H659" s="3" t="inlineStr">
        <is>
          <t>Pin MP6018</t>
        </is>
      </c>
      <c r="I659" s="4" t="n">
        <v>990000</v>
      </c>
      <c r="J659" s="4" t="n"/>
      <c r="K659" s="4">
        <f>IF(AND(ISNUMBER(J659),ISNUMBER(I659)),J659-I659,"")</f>
        <v/>
      </c>
      <c r="L659" s="5">
        <f>IF(AND(ISNUMBER(J659),ISNUMBER(I659),I659&gt;0),(J659-I659)/I659,"")</f>
        <v/>
      </c>
      <c r="M659" s="2">
        <f>IF(L659="","",IF(L659&lt;-0.05,"Bán phá giá",IF(L659&gt;0.05,"Bán cao hơn","Đúng giá niêm yết")))</f>
        <v/>
      </c>
      <c r="N659" s="2" t="n"/>
      <c r="O659" s="3" t="n"/>
      <c r="P659" s="3" t="n"/>
    </row>
    <row r="660">
      <c r="A660" s="2" t="n">
        <v>659</v>
      </c>
      <c r="B660" s="2" t="inlineStr">
        <is>
          <t>KH003</t>
        </is>
      </c>
      <c r="C660" s="3" t="inlineStr">
        <is>
          <t>CÔNG TY TNHH ĐỒ NGHỀ CẦM TAY PHƯƠNG MY</t>
        </is>
      </c>
      <c r="D660" s="2" t="inlineStr">
        <is>
          <t>HCM</t>
        </is>
      </c>
      <c r="E660" s="2" t="inlineStr">
        <is>
          <t>BẢO TRÂM</t>
        </is>
      </c>
      <c r="F660" s="2" t="inlineStr">
        <is>
          <t>Shopee</t>
        </is>
      </c>
      <c r="G660" s="2" t="inlineStr">
        <is>
          <t>KM08AI</t>
        </is>
      </c>
      <c r="H660" s="3" t="inlineStr">
        <is>
          <t>Sạc nhanh KM08AI (18V - 21V)</t>
        </is>
      </c>
      <c r="I660" s="4" t="n">
        <v>720000</v>
      </c>
      <c r="J660" s="4" t="n"/>
      <c r="K660" s="4">
        <f>IF(AND(ISNUMBER(J660),ISNUMBER(I660)),J660-I660,"")</f>
        <v/>
      </c>
      <c r="L660" s="5">
        <f>IF(AND(ISNUMBER(J660),ISNUMBER(I660),I660&gt;0),(J660-I660)/I660,"")</f>
        <v/>
      </c>
      <c r="M660" s="2">
        <f>IF(L660="","",IF(L660&lt;-0.05,"Bán phá giá",IF(L660&gt;0.05,"Bán cao hơn","Đúng giá niêm yết")))</f>
        <v/>
      </c>
      <c r="N660" s="2" t="n"/>
      <c r="O660" s="3" t="n"/>
      <c r="P660" s="3" t="n"/>
    </row>
    <row r="661">
      <c r="A661" s="2" t="n">
        <v>660</v>
      </c>
      <c r="B661" s="2" t="inlineStr">
        <is>
          <t>KH003</t>
        </is>
      </c>
      <c r="C661" s="3" t="inlineStr">
        <is>
          <t>CÔNG TY TNHH ĐỒ NGHỀ CẦM TAY PHƯƠNG MY</t>
        </is>
      </c>
      <c r="D661" s="2" t="inlineStr">
        <is>
          <t>HCM</t>
        </is>
      </c>
      <c r="E661" s="2" t="inlineStr">
        <is>
          <t>BẢO TRÂM</t>
        </is>
      </c>
      <c r="F661" s="2" t="inlineStr">
        <is>
          <t>Shopee</t>
        </is>
      </c>
      <c r="G661" s="2" t="inlineStr">
        <is>
          <t>KB8*48G</t>
        </is>
      </c>
      <c r="H661" s="3" t="inlineStr">
        <is>
          <t>Siết tôn King Blue KB8*48G</t>
        </is>
      </c>
      <c r="I661" s="4" t="n">
        <v>75000</v>
      </c>
      <c r="J661" s="4" t="n"/>
      <c r="K661" s="4">
        <f>IF(AND(ISNUMBER(J661),ISNUMBER(I661)),J661-I661,"")</f>
        <v/>
      </c>
      <c r="L661" s="5">
        <f>IF(AND(ISNUMBER(J661),ISNUMBER(I661),I661&gt;0),(J661-I661)/I661,"")</f>
        <v/>
      </c>
      <c r="M661" s="2">
        <f>IF(L661="","",IF(L661&lt;-0.05,"Bán phá giá",IF(L661&gt;0.05,"Bán cao hơn","Đúng giá niêm yết")))</f>
        <v/>
      </c>
      <c r="N661" s="2" t="n"/>
      <c r="O661" s="3" t="n"/>
      <c r="P661" s="3" t="n"/>
    </row>
    <row r="662">
      <c r="A662" s="2" t="n">
        <v>661</v>
      </c>
      <c r="B662" s="2" t="inlineStr">
        <is>
          <t>KH003</t>
        </is>
      </c>
      <c r="C662" s="3" t="inlineStr">
        <is>
          <t>CÔNG TY TNHH ĐỒ NGHỀ CẦM TAY PHƯƠNG MY</t>
        </is>
      </c>
      <c r="D662" s="2" t="inlineStr">
        <is>
          <t>HCM</t>
        </is>
      </c>
      <c r="E662" s="2" t="inlineStr">
        <is>
          <t>BẢO TRÂM</t>
        </is>
      </c>
      <c r="F662" s="2" t="inlineStr">
        <is>
          <t>Shopee</t>
        </is>
      </c>
      <c r="G662" s="2" t="inlineStr">
        <is>
          <t>ST08x42V</t>
        </is>
      </c>
      <c r="H662" s="3" t="inlineStr">
        <is>
          <t>Siết tôn King Blue ST08x42V</t>
        </is>
      </c>
      <c r="I662" s="4" t="n">
        <v>22000</v>
      </c>
      <c r="J662" s="4" t="n"/>
      <c r="K662" s="4">
        <f>IF(AND(ISNUMBER(J662),ISNUMBER(I662)),J662-I662,"")</f>
        <v/>
      </c>
      <c r="L662" s="5">
        <f>IF(AND(ISNUMBER(J662),ISNUMBER(I662),I662&gt;0),(J662-I662)/I662,"")</f>
        <v/>
      </c>
      <c r="M662" s="2">
        <f>IF(L662="","",IF(L662&lt;-0.05,"Bán phá giá",IF(L662&gt;0.05,"Bán cao hơn","Đúng giá niêm yết")))</f>
        <v/>
      </c>
      <c r="N662" s="2" t="n"/>
      <c r="O662" s="3" t="n"/>
      <c r="P662" s="3" t="n"/>
    </row>
    <row r="663">
      <c r="A663" s="2" t="n">
        <v>662</v>
      </c>
      <c r="B663" s="2" t="inlineStr">
        <is>
          <t>KH003</t>
        </is>
      </c>
      <c r="C663" s="3" t="inlineStr">
        <is>
          <t>CÔNG TY TNHH ĐỒ NGHỀ CẦM TAY PHƯƠNG MY</t>
        </is>
      </c>
      <c r="D663" s="2" t="inlineStr">
        <is>
          <t>HCM</t>
        </is>
      </c>
      <c r="E663" s="2" t="inlineStr">
        <is>
          <t>BẢO TRÂM</t>
        </is>
      </c>
      <c r="F663" s="2" t="inlineStr">
        <is>
          <t>Shopee</t>
        </is>
      </c>
      <c r="G663" s="2" t="inlineStr">
        <is>
          <t>KFF-73</t>
        </is>
      </c>
      <c r="H663" s="3" t="inlineStr">
        <is>
          <t>Súng bắn đinh bê tông KFF-73</t>
        </is>
      </c>
      <c r="I663" s="4" t="n">
        <v>690000</v>
      </c>
      <c r="J663" s="4" t="n"/>
      <c r="K663" s="4">
        <f>IF(AND(ISNUMBER(J663),ISNUMBER(I663)),J663-I663,"")</f>
        <v/>
      </c>
      <c r="L663" s="5">
        <f>IF(AND(ISNUMBER(J663),ISNUMBER(I663),I663&gt;0),(J663-I663)/I663,"")</f>
        <v/>
      </c>
      <c r="M663" s="2">
        <f>IF(L663="","",IF(L663&lt;-0.05,"Bán phá giá",IF(L663&gt;0.05,"Bán cao hơn","Đúng giá niêm yết")))</f>
        <v/>
      </c>
      <c r="N663" s="2" t="n"/>
      <c r="O663" s="3" t="n"/>
      <c r="P663" s="3" t="n"/>
    </row>
    <row r="664">
      <c r="A664" s="2" t="n">
        <v>663</v>
      </c>
      <c r="B664" s="2" t="inlineStr">
        <is>
          <t>KH003</t>
        </is>
      </c>
      <c r="C664" s="3" t="inlineStr">
        <is>
          <t>CÔNG TY TNHH ĐỒ NGHỀ CẦM TAY PHƯƠNG MY</t>
        </is>
      </c>
      <c r="D664" s="2" t="inlineStr">
        <is>
          <t>HCM</t>
        </is>
      </c>
      <c r="E664" s="2" t="inlineStr">
        <is>
          <t>BẢO TRÂM</t>
        </is>
      </c>
      <c r="F664" s="2" t="inlineStr">
        <is>
          <t>Shopee</t>
        </is>
      </c>
      <c r="G664" s="2" t="inlineStr">
        <is>
          <t>KF-101</t>
        </is>
      </c>
      <c r="H664" s="3" t="inlineStr">
        <is>
          <t>Súng bắn ghim KF-101</t>
        </is>
      </c>
      <c r="I664" s="4" t="n">
        <v>144000</v>
      </c>
      <c r="J664" s="4" t="n"/>
      <c r="K664" s="4">
        <f>IF(AND(ISNUMBER(J664),ISNUMBER(I664)),J664-I664,"")</f>
        <v/>
      </c>
      <c r="L664" s="5">
        <f>IF(AND(ISNUMBER(J664),ISNUMBER(I664),I664&gt;0),(J664-I664)/I664,"")</f>
        <v/>
      </c>
      <c r="M664" s="2">
        <f>IF(L664="","",IF(L664&lt;-0.05,"Bán phá giá",IF(L664&gt;0.05,"Bán cao hơn","Đúng giá niêm yết")))</f>
        <v/>
      </c>
      <c r="N664" s="2" t="n"/>
      <c r="O664" s="3" t="n"/>
      <c r="P664" s="3" t="n"/>
    </row>
    <row r="665">
      <c r="A665" s="2" t="n">
        <v>664</v>
      </c>
      <c r="B665" s="2" t="inlineStr">
        <is>
          <t>KH003</t>
        </is>
      </c>
      <c r="C665" s="3" t="inlineStr">
        <is>
          <t>CÔNG TY TNHH ĐỒ NGHỀ CẦM TAY PHƯƠNG MY</t>
        </is>
      </c>
      <c r="D665" s="2" t="inlineStr">
        <is>
          <t>HCM</t>
        </is>
      </c>
      <c r="E665" s="2" t="inlineStr">
        <is>
          <t>BẢO TRÂM</t>
        </is>
      </c>
      <c r="F665" s="2" t="inlineStr">
        <is>
          <t>Shopee</t>
        </is>
      </c>
      <c r="G665" s="2" t="inlineStr">
        <is>
          <t>KF-103</t>
        </is>
      </c>
      <c r="H665" s="3" t="inlineStr">
        <is>
          <t>Súng bắn ghim KF-103</t>
        </is>
      </c>
      <c r="I665" s="4" t="n">
        <v>179000</v>
      </c>
      <c r="J665" s="4" t="n"/>
      <c r="K665" s="4">
        <f>IF(AND(ISNUMBER(J665),ISNUMBER(I665)),J665-I665,"")</f>
        <v/>
      </c>
      <c r="L665" s="5">
        <f>IF(AND(ISNUMBER(J665),ISNUMBER(I665),I665&gt;0),(J665-I665)/I665,"")</f>
        <v/>
      </c>
      <c r="M665" s="2">
        <f>IF(L665="","",IF(L665&lt;-0.05,"Bán phá giá",IF(L665&gt;0.05,"Bán cao hơn","Đúng giá niêm yết")))</f>
        <v/>
      </c>
      <c r="N665" s="2" t="n"/>
      <c r="O665" s="3" t="n"/>
      <c r="P665" s="3" t="n"/>
    </row>
    <row r="666">
      <c r="A666" s="2" t="n">
        <v>665</v>
      </c>
      <c r="B666" s="2" t="inlineStr">
        <is>
          <t>KH003</t>
        </is>
      </c>
      <c r="C666" s="3" t="inlineStr">
        <is>
          <t>CÔNG TY TNHH ĐỒ NGHỀ CẦM TAY PHƯƠNG MY</t>
        </is>
      </c>
      <c r="D666" s="2" t="inlineStr">
        <is>
          <t>HCM</t>
        </is>
      </c>
      <c r="E666" s="2" t="inlineStr">
        <is>
          <t>BẢO TRÂM</t>
        </is>
      </c>
      <c r="F666" s="2" t="inlineStr">
        <is>
          <t>Shopee</t>
        </is>
      </c>
      <c r="G666" s="2" t="inlineStr">
        <is>
          <t>KBO-X0215</t>
        </is>
      </c>
      <c r="H666" s="3" t="inlineStr">
        <is>
          <t>Súng Xịt Hơi KBO-X0215</t>
        </is>
      </c>
      <c r="I666" s="4" t="n">
        <v>121000</v>
      </c>
      <c r="J666" s="4" t="n"/>
      <c r="K666" s="4">
        <f>IF(AND(ISNUMBER(J666),ISNUMBER(I666)),J666-I666,"")</f>
        <v/>
      </c>
      <c r="L666" s="5">
        <f>IF(AND(ISNUMBER(J666),ISNUMBER(I666),I666&gt;0),(J666-I666)/I666,"")</f>
        <v/>
      </c>
      <c r="M666" s="2">
        <f>IF(L666="","",IF(L666&lt;-0.05,"Bán phá giá",IF(L666&gt;0.05,"Bán cao hơn","Đúng giá niêm yết")))</f>
        <v/>
      </c>
      <c r="N666" s="2" t="n"/>
      <c r="O666" s="3" t="n"/>
      <c r="P666" s="3" t="n"/>
    </row>
    <row r="667">
      <c r="A667" s="2" t="n">
        <v>666</v>
      </c>
      <c r="B667" s="2" t="inlineStr">
        <is>
          <t>KH003</t>
        </is>
      </c>
      <c r="C667" s="3" t="inlineStr">
        <is>
          <t>CÔNG TY TNHH ĐỒ NGHỀ CẦM TAY PHƯƠNG MY</t>
        </is>
      </c>
      <c r="D667" s="2" t="inlineStr">
        <is>
          <t>HCM</t>
        </is>
      </c>
      <c r="E667" s="2" t="inlineStr">
        <is>
          <t>BẢO TRÂM</t>
        </is>
      </c>
      <c r="F667" s="2" t="inlineStr">
        <is>
          <t>Shopee</t>
        </is>
      </c>
      <c r="G667" s="2" t="inlineStr">
        <is>
          <t>KV1-6*150</t>
        </is>
      </c>
      <c r="H667" s="3" t="inlineStr">
        <is>
          <t>Tuốc nơ vít 2 đầu KV1-6*150</t>
        </is>
      </c>
      <c r="I667" s="4" t="n">
        <v>33000</v>
      </c>
      <c r="J667" s="4" t="n"/>
      <c r="K667" s="4">
        <f>IF(AND(ISNUMBER(J667),ISNUMBER(I667)),J667-I667,"")</f>
        <v/>
      </c>
      <c r="L667" s="5">
        <f>IF(AND(ISNUMBER(J667),ISNUMBER(I667),I667&gt;0),(J667-I667)/I667,"")</f>
        <v/>
      </c>
      <c r="M667" s="2">
        <f>IF(L667="","",IF(L667&lt;-0.05,"Bán phá giá",IF(L667&gt;0.05,"Bán cao hơn","Đúng giá niêm yết")))</f>
        <v/>
      </c>
      <c r="N667" s="2" t="n"/>
      <c r="O667" s="3" t="n"/>
      <c r="P667" s="3" t="n"/>
    </row>
    <row r="668">
      <c r="A668" s="2" t="n">
        <v>667</v>
      </c>
      <c r="B668" s="2" t="inlineStr">
        <is>
          <t>KH003</t>
        </is>
      </c>
      <c r="C668" s="3" t="inlineStr">
        <is>
          <t>CÔNG TY TNHH ĐỒ NGHỀ CẦM TAY PHƯƠNG MY</t>
        </is>
      </c>
      <c r="D668" s="2" t="inlineStr">
        <is>
          <t>HCM</t>
        </is>
      </c>
      <c r="E668" s="2" t="inlineStr">
        <is>
          <t>BẢO TRÂM</t>
        </is>
      </c>
      <c r="F668" s="2" t="inlineStr">
        <is>
          <t>Shopee</t>
        </is>
      </c>
      <c r="G668" s="2" t="inlineStr">
        <is>
          <t>KV6+6*150</t>
        </is>
      </c>
      <c r="H668" s="3" t="inlineStr">
        <is>
          <t>Tuốc nơ vít KV6+6*150</t>
        </is>
      </c>
      <c r="I668" s="4" t="n">
        <v>37000</v>
      </c>
      <c r="J668" s="4" t="n"/>
      <c r="K668" s="4">
        <f>IF(AND(ISNUMBER(J668),ISNUMBER(I668)),J668-I668,"")</f>
        <v/>
      </c>
      <c r="L668" s="5">
        <f>IF(AND(ISNUMBER(J668),ISNUMBER(I668),I668&gt;0),(J668-I668)/I668,"")</f>
        <v/>
      </c>
      <c r="M668" s="2">
        <f>IF(L668="","",IF(L668&lt;-0.05,"Bán phá giá",IF(L668&gt;0.05,"Bán cao hơn","Đúng giá niêm yết")))</f>
        <v/>
      </c>
      <c r="N668" s="2" t="n"/>
      <c r="O668" s="3" t="n"/>
      <c r="P668" s="3" t="n"/>
    </row>
    <row r="669">
      <c r="A669" s="2" t="n">
        <v>668</v>
      </c>
      <c r="B669" s="2" t="inlineStr">
        <is>
          <t>KH003</t>
        </is>
      </c>
      <c r="C669" s="3" t="inlineStr">
        <is>
          <t>CÔNG TY TNHH ĐỒ NGHỀ CẦM TAY PHƯƠNG MY</t>
        </is>
      </c>
      <c r="D669" s="2" t="inlineStr">
        <is>
          <t>HCM</t>
        </is>
      </c>
      <c r="E669" s="2" t="inlineStr">
        <is>
          <t>BẢO TRÂM</t>
        </is>
      </c>
      <c r="F669" s="2" t="inlineStr">
        <is>
          <t>Shopee</t>
        </is>
      </c>
      <c r="G669" s="2" t="inlineStr">
        <is>
          <t>KV6-6*150</t>
        </is>
      </c>
      <c r="H669" s="3" t="inlineStr">
        <is>
          <t>Tuốc nơ vít KV6-6*150</t>
        </is>
      </c>
      <c r="I669" s="4" t="n">
        <v>37000</v>
      </c>
      <c r="J669" s="4" t="n"/>
      <c r="K669" s="4">
        <f>IF(AND(ISNUMBER(J669),ISNUMBER(I669)),J669-I669,"")</f>
        <v/>
      </c>
      <c r="L669" s="5">
        <f>IF(AND(ISNUMBER(J669),ISNUMBER(I669),I669&gt;0),(J669-I669)/I669,"")</f>
        <v/>
      </c>
      <c r="M669" s="2">
        <f>IF(L669="","",IF(L669&lt;-0.05,"Bán phá giá",IF(L669&gt;0.05,"Bán cao hơn","Đúng giá niêm yết")))</f>
        <v/>
      </c>
      <c r="N669" s="2" t="n"/>
      <c r="O669" s="3" t="n"/>
      <c r="P669" s="3" t="n"/>
    </row>
    <row r="670">
      <c r="A670" s="2" t="n">
        <v>669</v>
      </c>
      <c r="B670" s="2" t="inlineStr">
        <is>
          <t>KH003</t>
        </is>
      </c>
      <c r="C670" s="3" t="inlineStr">
        <is>
          <t>CÔNG TY TNHH ĐỒ NGHỀ CẦM TAY PHƯƠNG MY</t>
        </is>
      </c>
      <c r="D670" s="2" t="inlineStr">
        <is>
          <t>HCM</t>
        </is>
      </c>
      <c r="E670" s="2" t="inlineStr">
        <is>
          <t>BẢO TRÂM</t>
        </is>
      </c>
      <c r="F670" s="2" t="inlineStr">
        <is>
          <t>Shopee</t>
        </is>
      </c>
      <c r="G670" s="2" t="inlineStr">
        <is>
          <t>KV6-6*200</t>
        </is>
      </c>
      <c r="H670" s="3" t="inlineStr">
        <is>
          <t>Tuốc nơ vít KV6-6*200</t>
        </is>
      </c>
      <c r="I670" s="4" t="n">
        <v>52000</v>
      </c>
      <c r="J670" s="4" t="n"/>
      <c r="K670" s="4">
        <f>IF(AND(ISNUMBER(J670),ISNUMBER(I670)),J670-I670,"")</f>
        <v/>
      </c>
      <c r="L670" s="5">
        <f>IF(AND(ISNUMBER(J670),ISNUMBER(I670),I670&gt;0),(J670-I670)/I670,"")</f>
        <v/>
      </c>
      <c r="M670" s="2">
        <f>IF(L670="","",IF(L670&lt;-0.05,"Bán phá giá",IF(L670&gt;0.05,"Bán cao hơn","Đúng giá niêm yết")))</f>
        <v/>
      </c>
      <c r="N670" s="2" t="n"/>
      <c r="O670" s="3" t="n"/>
      <c r="P670" s="3" t="n"/>
    </row>
    <row r="671">
      <c r="A671" s="2" t="n">
        <v>670</v>
      </c>
      <c r="B671" s="2" t="inlineStr">
        <is>
          <t>KH003</t>
        </is>
      </c>
      <c r="C671" s="3" t="inlineStr">
        <is>
          <t>CÔNG TY TNHH ĐỒ NGHỀ CẦM TAY PHƯƠNG MY</t>
        </is>
      </c>
      <c r="D671" s="2" t="inlineStr">
        <is>
          <t>HCM</t>
        </is>
      </c>
      <c r="E671" s="2" t="inlineStr">
        <is>
          <t>BẢO TRÂM</t>
        </is>
      </c>
      <c r="F671" s="2" t="inlineStr">
        <is>
          <t>Shopee</t>
        </is>
      </c>
      <c r="G671" s="2" t="inlineStr">
        <is>
          <t>KV4-6*38</t>
        </is>
      </c>
      <c r="H671" s="3" t="inlineStr">
        <is>
          <t>Tuốc nơ vít tự động 3 chức năng S2 KV4-6*38</t>
        </is>
      </c>
      <c r="I671" s="4" t="n">
        <v>89000</v>
      </c>
      <c r="J671" s="4" t="n"/>
      <c r="K671" s="4">
        <f>IF(AND(ISNUMBER(J671),ISNUMBER(I671)),J671-I671,"")</f>
        <v/>
      </c>
      <c r="L671" s="5">
        <f>IF(AND(ISNUMBER(J671),ISNUMBER(I671),I671&gt;0),(J671-I671)/I671,"")</f>
        <v/>
      </c>
      <c r="M671" s="2">
        <f>IF(L671="","",IF(L671&lt;-0.05,"Bán phá giá",IF(L671&gt;0.05,"Bán cao hơn","Đúng giá niêm yết")))</f>
        <v/>
      </c>
      <c r="N671" s="2" t="n"/>
      <c r="O671" s="3" t="n"/>
      <c r="P671" s="3" t="n"/>
    </row>
    <row r="672">
      <c r="A672" s="2" t="n">
        <v>671</v>
      </c>
      <c r="B672" s="2" t="inlineStr">
        <is>
          <t>KH003</t>
        </is>
      </c>
      <c r="C672" s="3" t="inlineStr">
        <is>
          <t>CÔNG TY TNHH ĐỒ NGHỀ CẦM TAY PHƯƠNG MY</t>
        </is>
      </c>
      <c r="D672" s="2" t="inlineStr">
        <is>
          <t>HCM</t>
        </is>
      </c>
      <c r="E672" s="2" t="inlineStr">
        <is>
          <t>BẢO TRÂM</t>
        </is>
      </c>
      <c r="F672" s="2" t="inlineStr">
        <is>
          <t>Shopee</t>
        </is>
      </c>
      <c r="G672" s="2" t="inlineStr">
        <is>
          <t>KHD4212</t>
        </is>
      </c>
      <c r="H672" s="3" t="inlineStr">
        <is>
          <t>Thùng đựng đồ nghề kèm phụ kiện KHD4212 NEW</t>
        </is>
      </c>
      <c r="I672" s="4" t="n">
        <v>445000</v>
      </c>
      <c r="J672" s="4" t="n"/>
      <c r="K672" s="4">
        <f>IF(AND(ISNUMBER(J672),ISNUMBER(I672)),J672-I672,"")</f>
        <v/>
      </c>
      <c r="L672" s="5">
        <f>IF(AND(ISNUMBER(J672),ISNUMBER(I672),I672&gt;0),(J672-I672)/I672,"")</f>
        <v/>
      </c>
      <c r="M672" s="2">
        <f>IF(L672="","",IF(L672&lt;-0.05,"Bán phá giá",IF(L672&gt;0.05,"Bán cao hơn","Đúng giá niêm yết")))</f>
        <v/>
      </c>
      <c r="N672" s="2" t="n"/>
      <c r="O672" s="3" t="n"/>
      <c r="P672" s="3" t="n"/>
    </row>
    <row r="673">
      <c r="A673" s="2" t="n">
        <v>672</v>
      </c>
      <c r="B673" s="2" t="inlineStr">
        <is>
          <t>KH003</t>
        </is>
      </c>
      <c r="C673" s="3" t="inlineStr">
        <is>
          <t>CÔNG TY TNHH ĐỒ NGHỀ CẦM TAY PHƯƠNG MY</t>
        </is>
      </c>
      <c r="D673" s="2" t="inlineStr">
        <is>
          <t>HCM</t>
        </is>
      </c>
      <c r="E673" s="2" t="inlineStr">
        <is>
          <t>BẢO TRÂM</t>
        </is>
      </c>
      <c r="F673" s="2" t="inlineStr">
        <is>
          <t>Shopee</t>
        </is>
      </c>
      <c r="G673" s="2" t="inlineStr">
        <is>
          <t>KHD20</t>
        </is>
      </c>
      <c r="H673" s="3" t="inlineStr">
        <is>
          <t>Thùng đựng đồ nghề KHD20</t>
        </is>
      </c>
      <c r="I673" s="4" t="n">
        <v>440000</v>
      </c>
      <c r="J673" s="4" t="n"/>
      <c r="K673" s="4">
        <f>IF(AND(ISNUMBER(J673),ISNUMBER(I673)),J673-I673,"")</f>
        <v/>
      </c>
      <c r="L673" s="5">
        <f>IF(AND(ISNUMBER(J673),ISNUMBER(I673),I673&gt;0),(J673-I673)/I673,"")</f>
        <v/>
      </c>
      <c r="M673" s="2">
        <f>IF(L673="","",IF(L673&lt;-0.05,"Bán phá giá",IF(L673&gt;0.05,"Bán cao hơn","Đúng giá niêm yết")))</f>
        <v/>
      </c>
      <c r="N673" s="2" t="n"/>
      <c r="O673" s="3" t="n"/>
      <c r="P673" s="3" t="n"/>
    </row>
    <row r="674">
      <c r="A674" s="2" t="n">
        <v>673</v>
      </c>
      <c r="B674" s="2" t="inlineStr">
        <is>
          <t>KH003</t>
        </is>
      </c>
      <c r="C674" s="3" t="inlineStr">
        <is>
          <t>CÔNG TY TNHH ĐỒ NGHỀ CẦM TAY PHƯƠNG MY</t>
        </is>
      </c>
      <c r="D674" s="2" t="inlineStr">
        <is>
          <t>HCM</t>
        </is>
      </c>
      <c r="E674" s="2" t="inlineStr">
        <is>
          <t>BẢO TRÂM</t>
        </is>
      </c>
      <c r="F674" s="2" t="inlineStr">
        <is>
          <t>Shopee</t>
        </is>
      </c>
      <c r="G674" s="2" t="inlineStr">
        <is>
          <t>KHD4216</t>
        </is>
      </c>
      <c r="H674" s="3" t="inlineStr">
        <is>
          <t>Thùng đựng đồ nghề KHD4216</t>
        </is>
      </c>
      <c r="I674" s="4" t="n">
        <v>528000</v>
      </c>
      <c r="J674" s="4" t="n"/>
      <c r="K674" s="4">
        <f>IF(AND(ISNUMBER(J674),ISNUMBER(I674)),J674-I674,"")</f>
        <v/>
      </c>
      <c r="L674" s="5">
        <f>IF(AND(ISNUMBER(J674),ISNUMBER(I674),I674&gt;0),(J674-I674)/I674,"")</f>
        <v/>
      </c>
      <c r="M674" s="2">
        <f>IF(L674="","",IF(L674&lt;-0.05,"Bán phá giá",IF(L674&gt;0.05,"Bán cao hơn","Đúng giá niêm yết")))</f>
        <v/>
      </c>
      <c r="N674" s="2" t="n"/>
      <c r="O674" s="3" t="n"/>
      <c r="P674" s="3" t="n"/>
    </row>
    <row r="675">
      <c r="A675" s="2" t="n">
        <v>674</v>
      </c>
      <c r="B675" s="2" t="inlineStr">
        <is>
          <t>KH003</t>
        </is>
      </c>
      <c r="C675" s="3" t="inlineStr">
        <is>
          <t>CÔNG TY TNHH ĐỒ NGHỀ CẦM TAY PHƯƠNG MY</t>
        </is>
      </c>
      <c r="D675" s="2" t="inlineStr">
        <is>
          <t>HCM</t>
        </is>
      </c>
      <c r="E675" s="2" t="inlineStr">
        <is>
          <t>BẢO TRÂM</t>
        </is>
      </c>
      <c r="F675" s="2" t="inlineStr">
        <is>
          <t>Shopee</t>
        </is>
      </c>
      <c r="G675" s="2" t="inlineStr">
        <is>
          <t>MD-50.25</t>
        </is>
      </c>
      <c r="H675" s="3" t="inlineStr">
        <is>
          <t>Thước Cuộn tự hãm MD-50.25</t>
        </is>
      </c>
      <c r="I675" s="4" t="n">
        <v>89000</v>
      </c>
      <c r="J675" s="4" t="n"/>
      <c r="K675" s="4">
        <f>IF(AND(ISNUMBER(J675),ISNUMBER(I675)),J675-I675,"")</f>
        <v/>
      </c>
      <c r="L675" s="5">
        <f>IF(AND(ISNUMBER(J675),ISNUMBER(I675),I675&gt;0),(J675-I675)/I675,"")</f>
        <v/>
      </c>
      <c r="M675" s="2">
        <f>IF(L675="","",IF(L675&lt;-0.05,"Bán phá giá",IF(L675&gt;0.05,"Bán cao hơn","Đúng giá niêm yết")))</f>
        <v/>
      </c>
      <c r="N675" s="2" t="n"/>
      <c r="O675" s="3" t="n"/>
      <c r="P675" s="3" t="n"/>
    </row>
    <row r="676">
      <c r="A676" s="2" t="n">
        <v>675</v>
      </c>
      <c r="B676" s="2" t="inlineStr">
        <is>
          <t>KH003</t>
        </is>
      </c>
      <c r="C676" s="3" t="inlineStr">
        <is>
          <t>CÔNG TY TNHH ĐỒ NGHỀ CẦM TAY PHƯƠNG MY</t>
        </is>
      </c>
      <c r="D676" s="2" t="inlineStr">
        <is>
          <t>HCM</t>
        </is>
      </c>
      <c r="E676" s="2" t="inlineStr">
        <is>
          <t>BẢO TRÂM</t>
        </is>
      </c>
      <c r="F676" s="2" t="inlineStr">
        <is>
          <t>Shopee</t>
        </is>
      </c>
      <c r="G676" s="2" t="inlineStr">
        <is>
          <t>MD-80.25</t>
        </is>
      </c>
      <c r="H676" s="3" t="inlineStr">
        <is>
          <t>Thước Cuộn tự hãm MD-80.25</t>
        </is>
      </c>
      <c r="I676" s="4" t="n">
        <v>114000</v>
      </c>
      <c r="J676" s="4" t="n"/>
      <c r="K676" s="4">
        <f>IF(AND(ISNUMBER(J676),ISNUMBER(I676)),J676-I676,"")</f>
        <v/>
      </c>
      <c r="L676" s="5">
        <f>IF(AND(ISNUMBER(J676),ISNUMBER(I676),I676&gt;0),(J676-I676)/I676,"")</f>
        <v/>
      </c>
      <c r="M676" s="2">
        <f>IF(L676="","",IF(L676&lt;-0.05,"Bán phá giá",IF(L676&gt;0.05,"Bán cao hơn","Đúng giá niêm yết")))</f>
        <v/>
      </c>
      <c r="N676" s="2" t="n"/>
      <c r="O676" s="3" t="n"/>
      <c r="P676" s="3" t="n"/>
    </row>
    <row r="677">
      <c r="A677" s="2" t="n">
        <v>676</v>
      </c>
      <c r="B677" s="2" t="inlineStr">
        <is>
          <t>KH003</t>
        </is>
      </c>
      <c r="C677" s="3" t="inlineStr">
        <is>
          <t>CÔNG TY TNHH ĐỒ NGHỀ CẦM TAY PHƯƠNG MY</t>
        </is>
      </c>
      <c r="D677" s="2" t="inlineStr">
        <is>
          <t>HCM</t>
        </is>
      </c>
      <c r="E677" s="2" t="inlineStr">
        <is>
          <t>BẢO TRÂM</t>
        </is>
      </c>
      <c r="F677" s="2" t="inlineStr">
        <is>
          <t>Shopee</t>
        </is>
      </c>
      <c r="G677" s="2" t="inlineStr">
        <is>
          <t>KTT-25A</t>
        </is>
      </c>
      <c r="H677" s="3" t="inlineStr">
        <is>
          <t>Thước thủy KTT-25A</t>
        </is>
      </c>
      <c r="I677" s="4" t="n">
        <v>44000</v>
      </c>
      <c r="J677" s="4" t="n"/>
      <c r="K677" s="4">
        <f>IF(AND(ISNUMBER(J677),ISNUMBER(I677)),J677-I677,"")</f>
        <v/>
      </c>
      <c r="L677" s="5">
        <f>IF(AND(ISNUMBER(J677),ISNUMBER(I677),I677&gt;0),(J677-I677)/I677,"")</f>
        <v/>
      </c>
      <c r="M677" s="2">
        <f>IF(L677="","",IF(L677&lt;-0.05,"Bán phá giá",IF(L677&gt;0.05,"Bán cao hơn","Đúng giá niêm yết")))</f>
        <v/>
      </c>
      <c r="N677" s="2" t="n"/>
      <c r="O677" s="3" t="n"/>
      <c r="P677" s="3" t="n"/>
    </row>
    <row r="678">
      <c r="A678" s="2" t="n">
        <v>677</v>
      </c>
      <c r="B678" s="2" t="inlineStr">
        <is>
          <t>KH003</t>
        </is>
      </c>
      <c r="C678" s="3" t="inlineStr">
        <is>
          <t>CÔNG TY TNHH ĐỒ NGHỀ CẦM TAY PHƯƠNG MY</t>
        </is>
      </c>
      <c r="D678" s="2" t="inlineStr">
        <is>
          <t>HCM</t>
        </is>
      </c>
      <c r="E678" s="2" t="inlineStr">
        <is>
          <t>BẢO TRÂM</t>
        </is>
      </c>
      <c r="F678" s="2" t="inlineStr">
        <is>
          <t>Shopee</t>
        </is>
      </c>
      <c r="G678" s="2" t="inlineStr">
        <is>
          <t>KFJ-432</t>
        </is>
      </c>
      <c r="H678" s="3" t="inlineStr">
        <is>
          <t>Vít bê tông không dùng tắc kê KFJ-432</t>
        </is>
      </c>
      <c r="I678" s="4" t="n">
        <v>86000</v>
      </c>
      <c r="J678" s="4" t="n"/>
      <c r="K678" s="4">
        <f>IF(AND(ISNUMBER(J678),ISNUMBER(I678)),J678-I678,"")</f>
        <v/>
      </c>
      <c r="L678" s="5">
        <f>IF(AND(ISNUMBER(J678),ISNUMBER(I678),I678&gt;0),(J678-I678)/I678,"")</f>
        <v/>
      </c>
      <c r="M678" s="2">
        <f>IF(L678="","",IF(L678&lt;-0.05,"Bán phá giá",IF(L678&gt;0.05,"Bán cao hơn","Đúng giá niêm yết")))</f>
        <v/>
      </c>
      <c r="N678" s="2" t="n"/>
      <c r="O678" s="3" t="n"/>
      <c r="P678" s="3" t="n"/>
    </row>
    <row r="679">
      <c r="A679" s="2" t="n">
        <v>678</v>
      </c>
      <c r="B679" s="2" t="inlineStr">
        <is>
          <t>KH003</t>
        </is>
      </c>
      <c r="C679" s="3" t="inlineStr">
        <is>
          <t>CÔNG TY TNHH ĐỒ NGHỀ CẦM TAY PHƯƠNG MY</t>
        </is>
      </c>
      <c r="D679" s="2" t="inlineStr">
        <is>
          <t>HCM</t>
        </is>
      </c>
      <c r="E679" s="2" t="inlineStr">
        <is>
          <t>BẢO TRÂM</t>
        </is>
      </c>
      <c r="F679" s="2" t="inlineStr">
        <is>
          <t>Shopee</t>
        </is>
      </c>
      <c r="G679" s="2" t="inlineStr">
        <is>
          <t>KFJ-438</t>
        </is>
      </c>
      <c r="H679" s="3" t="inlineStr">
        <is>
          <t>Vít bê tông không dùng tắc kê KFJ-438</t>
        </is>
      </c>
      <c r="I679" s="4" t="n">
        <v>86000</v>
      </c>
      <c r="J679" s="4" t="n"/>
      <c r="K679" s="4">
        <f>IF(AND(ISNUMBER(J679),ISNUMBER(I679)),J679-I679,"")</f>
        <v/>
      </c>
      <c r="L679" s="5">
        <f>IF(AND(ISNUMBER(J679),ISNUMBER(I679),I679&gt;0),(J679-I679)/I679,"")</f>
        <v/>
      </c>
      <c r="M679" s="2">
        <f>IF(L679="","",IF(L679&lt;-0.05,"Bán phá giá",IF(L679&gt;0.05,"Bán cao hơn","Đúng giá niêm yết")))</f>
        <v/>
      </c>
      <c r="N679" s="2" t="n"/>
      <c r="O679" s="3" t="n"/>
      <c r="P679" s="3" t="n"/>
    </row>
    <row r="680">
      <c r="A680" s="2" t="n">
        <v>679</v>
      </c>
      <c r="B680" s="2" t="inlineStr">
        <is>
          <t>KH003</t>
        </is>
      </c>
      <c r="C680" s="3" t="inlineStr">
        <is>
          <t>CÔNG TY TNHH ĐỒ NGHỀ CẦM TAY PHƯƠNG MY</t>
        </is>
      </c>
      <c r="D680" s="2" t="inlineStr">
        <is>
          <t>HCM</t>
        </is>
      </c>
      <c r="E680" s="2" t="inlineStr">
        <is>
          <t>BẢO TRÂM</t>
        </is>
      </c>
      <c r="F680" s="2" t="inlineStr">
        <is>
          <t>Shopee</t>
        </is>
      </c>
      <c r="G680" s="2" t="inlineStr">
        <is>
          <t>KFJ-445</t>
        </is>
      </c>
      <c r="H680" s="3" t="inlineStr">
        <is>
          <t>Vít bê tông không dùng tắc kê KFJ-445</t>
        </is>
      </c>
      <c r="I680" s="4" t="n">
        <v>86000</v>
      </c>
      <c r="J680" s="4" t="n"/>
      <c r="K680" s="4">
        <f>IF(AND(ISNUMBER(J680),ISNUMBER(I680)),J680-I680,"")</f>
        <v/>
      </c>
      <c r="L680" s="5">
        <f>IF(AND(ISNUMBER(J680),ISNUMBER(I680),I680&gt;0),(J680-I680)/I680,"")</f>
        <v/>
      </c>
      <c r="M680" s="2">
        <f>IF(L680="","",IF(L680&lt;-0.05,"Bán phá giá",IF(L680&gt;0.05,"Bán cao hơn","Đúng giá niêm yết")))</f>
        <v/>
      </c>
      <c r="N680" s="2" t="n"/>
      <c r="O680" s="3" t="n"/>
      <c r="P680" s="3" t="n"/>
    </row>
    <row r="681">
      <c r="A681" s="2" t="n">
        <v>680</v>
      </c>
      <c r="B681" s="2" t="inlineStr">
        <is>
          <t>KH003</t>
        </is>
      </c>
      <c r="C681" s="3" t="inlineStr">
        <is>
          <t>CÔNG TY TNHH ĐỒ NGHỀ CẦM TAY PHƯƠNG MY</t>
        </is>
      </c>
      <c r="D681" s="2" t="inlineStr">
        <is>
          <t>HCM</t>
        </is>
      </c>
      <c r="E681" s="2" t="inlineStr">
        <is>
          <t>BẢO TRÂM</t>
        </is>
      </c>
      <c r="F681" s="2" t="inlineStr">
        <is>
          <t>Shopee</t>
        </is>
      </c>
      <c r="G681" s="2" t="inlineStr">
        <is>
          <t>KFJ-535</t>
        </is>
      </c>
      <c r="H681" s="3" t="inlineStr">
        <is>
          <t>Vít bê tông không dùng tắc kê KFJ-535</t>
        </is>
      </c>
      <c r="I681" s="4" t="n">
        <v>86000</v>
      </c>
      <c r="J681" s="4" t="n"/>
      <c r="K681" s="4">
        <f>IF(AND(ISNUMBER(J681),ISNUMBER(I681)),J681-I681,"")</f>
        <v/>
      </c>
      <c r="L681" s="5">
        <f>IF(AND(ISNUMBER(J681),ISNUMBER(I681),I681&gt;0),(J681-I681)/I681,"")</f>
        <v/>
      </c>
      <c r="M681" s="2">
        <f>IF(L681="","",IF(L681&lt;-0.05,"Bán phá giá",IF(L681&gt;0.05,"Bán cao hơn","Đúng giá niêm yết")))</f>
        <v/>
      </c>
      <c r="N681" s="2" t="n"/>
      <c r="O681" s="3" t="n"/>
      <c r="P681" s="3" t="n"/>
    </row>
    <row r="682">
      <c r="A682" s="2" t="n">
        <v>681</v>
      </c>
      <c r="B682" s="2" t="inlineStr">
        <is>
          <t>KH003</t>
        </is>
      </c>
      <c r="C682" s="3" t="inlineStr">
        <is>
          <t>CÔNG TY TNHH ĐỒ NGHỀ CẦM TAY PHƯƠNG MY</t>
        </is>
      </c>
      <c r="D682" s="2" t="inlineStr">
        <is>
          <t>HCM</t>
        </is>
      </c>
      <c r="E682" s="2" t="inlineStr">
        <is>
          <t>BẢO TRÂM</t>
        </is>
      </c>
      <c r="F682" s="2" t="inlineStr">
        <is>
          <t>Shopee</t>
        </is>
      </c>
      <c r="G682" s="2" t="inlineStr">
        <is>
          <t>KFJ-545</t>
        </is>
      </c>
      <c r="H682" s="3" t="inlineStr">
        <is>
          <t>Vít bê tông không dùng tắc kê KFJ-545</t>
        </is>
      </c>
      <c r="I682" s="4" t="n">
        <v>86000</v>
      </c>
      <c r="J682" s="4" t="n"/>
      <c r="K682" s="4">
        <f>IF(AND(ISNUMBER(J682),ISNUMBER(I682)),J682-I682,"")</f>
        <v/>
      </c>
      <c r="L682" s="5">
        <f>IF(AND(ISNUMBER(J682),ISNUMBER(I682),I682&gt;0),(J682-I682)/I682,"")</f>
        <v/>
      </c>
      <c r="M682" s="2">
        <f>IF(L682="","",IF(L682&lt;-0.05,"Bán phá giá",IF(L682&gt;0.05,"Bán cao hơn","Đúng giá niêm yết")))</f>
        <v/>
      </c>
      <c r="N682" s="2" t="n"/>
      <c r="O682" s="3" t="n"/>
      <c r="P682" s="3" t="n"/>
    </row>
    <row r="683">
      <c r="A683" s="2" t="n">
        <v>682</v>
      </c>
      <c r="B683" s="2" t="inlineStr">
        <is>
          <t>KH003</t>
        </is>
      </c>
      <c r="C683" s="3" t="inlineStr">
        <is>
          <t>CÔNG TY TNHH ĐỒ NGHỀ CẦM TAY PHƯƠNG MY</t>
        </is>
      </c>
      <c r="D683" s="2" t="inlineStr">
        <is>
          <t>HCM</t>
        </is>
      </c>
      <c r="E683" s="2" t="inlineStr">
        <is>
          <t>BẢO TRÂM</t>
        </is>
      </c>
      <c r="F683" s="2" t="inlineStr">
        <is>
          <t>Shopee</t>
        </is>
      </c>
      <c r="G683" s="2" t="inlineStr">
        <is>
          <t>KB4x100S</t>
        </is>
      </c>
      <c r="H683" s="3" t="inlineStr">
        <is>
          <t>Vít KingBlue KB4x100S</t>
        </is>
      </c>
      <c r="I683" s="4" t="n">
        <v>15000</v>
      </c>
      <c r="J683" s="4" t="n"/>
      <c r="K683" s="4">
        <f>IF(AND(ISNUMBER(J683),ISNUMBER(I683)),J683-I683,"")</f>
        <v/>
      </c>
      <c r="L683" s="5">
        <f>IF(AND(ISNUMBER(J683),ISNUMBER(I683),I683&gt;0),(J683-I683)/I683,"")</f>
        <v/>
      </c>
      <c r="M683" s="2">
        <f>IF(L683="","",IF(L683&lt;-0.05,"Bán phá giá",IF(L683&gt;0.05,"Bán cao hơn","Đúng giá niêm yết")))</f>
        <v/>
      </c>
      <c r="N683" s="2" t="n"/>
      <c r="O683" s="3" t="n"/>
      <c r="P683" s="3" t="n"/>
    </row>
    <row r="684">
      <c r="A684" s="2" t="n">
        <v>683</v>
      </c>
      <c r="B684" s="2" t="inlineStr">
        <is>
          <t>KH003</t>
        </is>
      </c>
      <c r="C684" s="3" t="inlineStr">
        <is>
          <t>CÔNG TY TNHH ĐỒ NGHỀ CẦM TAY PHƯƠNG MY</t>
        </is>
      </c>
      <c r="D684" s="2" t="inlineStr">
        <is>
          <t>HCM</t>
        </is>
      </c>
      <c r="E684" s="2" t="inlineStr">
        <is>
          <t>BẢO TRÂM</t>
        </is>
      </c>
      <c r="F684" s="2" t="inlineStr">
        <is>
          <t>Shopee</t>
        </is>
      </c>
      <c r="G684" s="2" t="inlineStr">
        <is>
          <t>KB4x65S</t>
        </is>
      </c>
      <c r="H684" s="3" t="inlineStr">
        <is>
          <t>Vít KingBlue KB4x65S</t>
        </is>
      </c>
      <c r="I684" s="4" t="n">
        <v>11000</v>
      </c>
      <c r="J684" s="4" t="n"/>
      <c r="K684" s="4">
        <f>IF(AND(ISNUMBER(J684),ISNUMBER(I684)),J684-I684,"")</f>
        <v/>
      </c>
      <c r="L684" s="5">
        <f>IF(AND(ISNUMBER(J684),ISNUMBER(I684),I684&gt;0),(J684-I684)/I684,"")</f>
        <v/>
      </c>
      <c r="M684" s="2">
        <f>IF(L684="","",IF(L684&lt;-0.05,"Bán phá giá",IF(L684&gt;0.05,"Bán cao hơn","Đúng giá niêm yết")))</f>
        <v/>
      </c>
      <c r="N684" s="2" t="n"/>
      <c r="O684" s="3" t="n"/>
      <c r="P684" s="3" t="n"/>
    </row>
    <row r="685">
      <c r="A685" s="2" t="n">
        <v>684</v>
      </c>
      <c r="B685" s="2" t="inlineStr">
        <is>
          <t>KH004</t>
        </is>
      </c>
      <c r="C685" s="3" t="inlineStr">
        <is>
          <t>HCM-BIGSHOP</t>
        </is>
      </c>
      <c r="D685" s="2" t="inlineStr">
        <is>
          <t>HCM</t>
        </is>
      </c>
      <c r="E685" s="2" t="inlineStr">
        <is>
          <t>XUÂN TRANG</t>
        </is>
      </c>
      <c r="F685" s="2" t="inlineStr">
        <is>
          <t>Website bán hàng</t>
        </is>
      </c>
      <c r="G685" s="2" t="inlineStr">
        <is>
          <t>CGS-2400</t>
        </is>
      </c>
      <c r="H685" s="3" t="inlineStr">
        <is>
          <t>Bàn cắt gạch cao cấp CGS-2400</t>
        </is>
      </c>
      <c r="I685" s="4" t="n">
        <v>3960000</v>
      </c>
      <c r="J685" s="4" t="n"/>
      <c r="K685" s="4">
        <f>IF(AND(ISNUMBER(J685),ISNUMBER(I685)),J685-I685,"")</f>
        <v/>
      </c>
      <c r="L685" s="5">
        <f>IF(AND(ISNUMBER(J685),ISNUMBER(I685),I685&gt;0),(J685-I685)/I685,"")</f>
        <v/>
      </c>
      <c r="M685" s="2">
        <f>IF(L685="","",IF(L685&lt;-0.05,"Bán phá giá",IF(L685&gt;0.05,"Bán cao hơn","Đúng giá niêm yết")))</f>
        <v/>
      </c>
      <c r="N685" s="2" t="n"/>
      <c r="O685" s="3" t="n"/>
      <c r="P685" s="3" t="n"/>
    </row>
    <row r="686">
      <c r="A686" s="2" t="n">
        <v>685</v>
      </c>
      <c r="B686" s="2" t="inlineStr">
        <is>
          <t>KH004</t>
        </is>
      </c>
      <c r="C686" s="3" t="inlineStr">
        <is>
          <t>HCM-BIGSHOP</t>
        </is>
      </c>
      <c r="D686" s="2" t="inlineStr">
        <is>
          <t>HCM</t>
        </is>
      </c>
      <c r="E686" s="2" t="inlineStr">
        <is>
          <t>XUÂN TRANG</t>
        </is>
      </c>
      <c r="F686" s="2" t="inlineStr">
        <is>
          <t>Website bán hàng</t>
        </is>
      </c>
      <c r="G686" s="2" t="inlineStr">
        <is>
          <t>KH1-B10</t>
        </is>
      </c>
      <c r="H686" s="3" t="inlineStr">
        <is>
          <t>Bộ cờ lê KH1-B10</t>
        </is>
      </c>
      <c r="I686" s="4" t="n">
        <v>435000</v>
      </c>
      <c r="J686" s="4" t="n"/>
      <c r="K686" s="4">
        <f>IF(AND(ISNUMBER(J686),ISNUMBER(I686)),J686-I686,"")</f>
        <v/>
      </c>
      <c r="L686" s="5">
        <f>IF(AND(ISNUMBER(J686),ISNUMBER(I686),I686&gt;0),(J686-I686)/I686,"")</f>
        <v/>
      </c>
      <c r="M686" s="2">
        <f>IF(L686="","",IF(L686&lt;-0.05,"Bán phá giá",IF(L686&gt;0.05,"Bán cao hơn","Đúng giá niêm yết")))</f>
        <v/>
      </c>
      <c r="N686" s="2" t="n"/>
      <c r="O686" s="3" t="n"/>
      <c r="P686" s="3" t="n"/>
    </row>
    <row r="687">
      <c r="A687" s="2" t="n">
        <v>686</v>
      </c>
      <c r="B687" s="2" t="inlineStr">
        <is>
          <t>KH004</t>
        </is>
      </c>
      <c r="C687" s="3" t="inlineStr">
        <is>
          <t>HCM-BIGSHOP</t>
        </is>
      </c>
      <c r="D687" s="2" t="inlineStr">
        <is>
          <t>HCM</t>
        </is>
      </c>
      <c r="E687" s="2" t="inlineStr">
        <is>
          <t>XUÂN TRANG</t>
        </is>
      </c>
      <c r="F687" s="2" t="inlineStr">
        <is>
          <t>Website bán hàng</t>
        </is>
      </c>
      <c r="G687" s="2" t="inlineStr">
        <is>
          <t>KB16VB2</t>
        </is>
      </c>
      <c r="H687" s="3" t="inlineStr">
        <is>
          <t>Bộ Máy Bắn Vít 16V KB16VB2</t>
        </is>
      </c>
      <c r="I687" s="4" t="n">
        <v>1790000</v>
      </c>
      <c r="J687" s="4" t="n"/>
      <c r="K687" s="4">
        <f>IF(AND(ISNUMBER(J687),ISNUMBER(I687)),J687-I687,"")</f>
        <v/>
      </c>
      <c r="L687" s="5">
        <f>IF(AND(ISNUMBER(J687),ISNUMBER(I687),I687&gt;0),(J687-I687)/I687,"")</f>
        <v/>
      </c>
      <c r="M687" s="2">
        <f>IF(L687="","",IF(L687&lt;-0.05,"Bán phá giá",IF(L687&gt;0.05,"Bán cao hơn","Đúng giá niêm yết")))</f>
        <v/>
      </c>
      <c r="N687" s="2" t="n"/>
      <c r="O687" s="3" t="n"/>
      <c r="P687" s="3" t="n"/>
    </row>
    <row r="688">
      <c r="A688" s="2" t="n">
        <v>687</v>
      </c>
      <c r="B688" s="2" t="inlineStr">
        <is>
          <t>KH004</t>
        </is>
      </c>
      <c r="C688" s="3" t="inlineStr">
        <is>
          <t>HCM-BIGSHOP</t>
        </is>
      </c>
      <c r="D688" s="2" t="inlineStr">
        <is>
          <t>HCM</t>
        </is>
      </c>
      <c r="E688" s="2" t="inlineStr">
        <is>
          <t>XUÂN TRANG</t>
        </is>
      </c>
      <c r="F688" s="2" t="inlineStr">
        <is>
          <t>Website bán hàng</t>
        </is>
      </c>
      <c r="G688" s="2" t="inlineStr">
        <is>
          <t>KLJ015</t>
        </is>
      </c>
      <c r="H688" s="3" t="inlineStr">
        <is>
          <t>Bộ mũi khoan King Blue KLJ015</t>
        </is>
      </c>
      <c r="I688" s="4" t="n">
        <v>350000</v>
      </c>
      <c r="J688" s="4" t="n"/>
      <c r="K688" s="4">
        <f>IF(AND(ISNUMBER(J688),ISNUMBER(I688)),J688-I688,"")</f>
        <v/>
      </c>
      <c r="L688" s="5">
        <f>IF(AND(ISNUMBER(J688),ISNUMBER(I688),I688&gt;0),(J688-I688)/I688,"")</f>
        <v/>
      </c>
      <c r="M688" s="2">
        <f>IF(L688="","",IF(L688&lt;-0.05,"Bán phá giá",IF(L688&gt;0.05,"Bán cao hơn","Đúng giá niêm yết")))</f>
        <v/>
      </c>
      <c r="N688" s="2" t="n"/>
      <c r="O688" s="3" t="n"/>
      <c r="P688" s="3" t="n"/>
    </row>
    <row r="689">
      <c r="A689" s="2" t="n">
        <v>688</v>
      </c>
      <c r="B689" s="2" t="inlineStr">
        <is>
          <t>KH004</t>
        </is>
      </c>
      <c r="C689" s="3" t="inlineStr">
        <is>
          <t>HCM-BIGSHOP</t>
        </is>
      </c>
      <c r="D689" s="2" t="inlineStr">
        <is>
          <t>HCM</t>
        </is>
      </c>
      <c r="E689" s="2" t="inlineStr">
        <is>
          <t>XUÂN TRANG</t>
        </is>
      </c>
      <c r="F689" s="2" t="inlineStr">
        <is>
          <t>Website bán hàng</t>
        </is>
      </c>
      <c r="G689" s="2" t="inlineStr">
        <is>
          <t>KHF015</t>
        </is>
      </c>
      <c r="H689" s="3" t="inlineStr">
        <is>
          <t>Bộ mũi khoan King Blue KHF015</t>
        </is>
      </c>
      <c r="I689" s="4" t="n">
        <v>320000</v>
      </c>
      <c r="J689" s="4" t="n"/>
      <c r="K689" s="4">
        <f>IF(AND(ISNUMBER(J689),ISNUMBER(I689)),J689-I689,"")</f>
        <v/>
      </c>
      <c r="L689" s="5">
        <f>IF(AND(ISNUMBER(J689),ISNUMBER(I689),I689&gt;0),(J689-I689)/I689,"")</f>
        <v/>
      </c>
      <c r="M689" s="2">
        <f>IF(L689="","",IF(L689&lt;-0.05,"Bán phá giá",IF(L689&gt;0.05,"Bán cao hơn","Đúng giá niêm yết")))</f>
        <v/>
      </c>
      <c r="N689" s="2" t="n"/>
      <c r="O689" s="3" t="n"/>
      <c r="P689" s="3" t="n"/>
    </row>
    <row r="690">
      <c r="A690" s="2" t="n">
        <v>689</v>
      </c>
      <c r="B690" s="2" t="inlineStr">
        <is>
          <t>KH004</t>
        </is>
      </c>
      <c r="C690" s="3" t="inlineStr">
        <is>
          <t>HCM-BIGSHOP</t>
        </is>
      </c>
      <c r="D690" s="2" t="inlineStr">
        <is>
          <t>HCM</t>
        </is>
      </c>
      <c r="E690" s="2" t="inlineStr">
        <is>
          <t>XUÂN TRANG</t>
        </is>
      </c>
      <c r="F690" s="2" t="inlineStr">
        <is>
          <t>Website bán hàng</t>
        </is>
      </c>
      <c r="G690" s="2" t="inlineStr">
        <is>
          <t>KB-E5701</t>
        </is>
      </c>
      <c r="H690" s="3" t="inlineStr">
        <is>
          <t>Bộ tua vít điện KingBlue KB-E5701</t>
        </is>
      </c>
      <c r="I690" s="4" t="n">
        <v>1056000</v>
      </c>
      <c r="J690" s="4" t="n"/>
      <c r="K690" s="4">
        <f>IF(AND(ISNUMBER(J690),ISNUMBER(I690)),J690-I690,"")</f>
        <v/>
      </c>
      <c r="L690" s="5">
        <f>IF(AND(ISNUMBER(J690),ISNUMBER(I690),I690&gt;0),(J690-I690)/I690,"")</f>
        <v/>
      </c>
      <c r="M690" s="2">
        <f>IF(L690="","",IF(L690&lt;-0.05,"Bán phá giá",IF(L690&gt;0.05,"Bán cao hơn","Đúng giá niêm yết")))</f>
        <v/>
      </c>
      <c r="N690" s="2" t="n"/>
      <c r="O690" s="3" t="n"/>
      <c r="P690" s="3" t="n"/>
    </row>
    <row r="691">
      <c r="A691" s="2" t="n">
        <v>690</v>
      </c>
      <c r="B691" s="2" t="inlineStr">
        <is>
          <t>KH004</t>
        </is>
      </c>
      <c r="C691" s="3" t="inlineStr">
        <is>
          <t>HCM-BIGSHOP</t>
        </is>
      </c>
      <c r="D691" s="2" t="inlineStr">
        <is>
          <t>HCM</t>
        </is>
      </c>
      <c r="E691" s="2" t="inlineStr">
        <is>
          <t>XUÂN TRANG</t>
        </is>
      </c>
      <c r="F691" s="2" t="inlineStr">
        <is>
          <t>Website bán hàng</t>
        </is>
      </c>
      <c r="G691" s="2" t="inlineStr">
        <is>
          <t>KV10-13</t>
        </is>
      </c>
      <c r="H691" s="3" t="inlineStr">
        <is>
          <t>Bộ tuvit đóng KV10-13</t>
        </is>
      </c>
      <c r="I691" s="4" t="n">
        <v>275000</v>
      </c>
      <c r="J691" s="4" t="n"/>
      <c r="K691" s="4">
        <f>IF(AND(ISNUMBER(J691),ISNUMBER(I691)),J691-I691,"")</f>
        <v/>
      </c>
      <c r="L691" s="5">
        <f>IF(AND(ISNUMBER(J691),ISNUMBER(I691),I691&gt;0),(J691-I691)/I691,"")</f>
        <v/>
      </c>
      <c r="M691" s="2">
        <f>IF(L691="","",IF(L691&lt;-0.05,"Bán phá giá",IF(L691&gt;0.05,"Bán cao hơn","Đúng giá niêm yết")))</f>
        <v/>
      </c>
      <c r="N691" s="2" t="n"/>
      <c r="O691" s="3" t="n"/>
      <c r="P691" s="3" t="n"/>
    </row>
    <row r="692">
      <c r="A692" s="2" t="n">
        <v>691</v>
      </c>
      <c r="B692" s="2" t="inlineStr">
        <is>
          <t>KH004</t>
        </is>
      </c>
      <c r="C692" s="3" t="inlineStr">
        <is>
          <t>HCM-BIGSHOP</t>
        </is>
      </c>
      <c r="D692" s="2" t="inlineStr">
        <is>
          <t>HCM</t>
        </is>
      </c>
      <c r="E692" s="2" t="inlineStr">
        <is>
          <t>XUÂN TRANG</t>
        </is>
      </c>
      <c r="F692" s="2" t="inlineStr">
        <is>
          <t>Website bán hàng</t>
        </is>
      </c>
      <c r="G692" s="2" t="inlineStr">
        <is>
          <t>KLG-12S</t>
        </is>
      </c>
      <c r="H692" s="3" t="inlineStr">
        <is>
          <t>Bộ tuýp cần tự động 12 chi tiết KLG-12S</t>
        </is>
      </c>
      <c r="I692" s="4" t="n">
        <v>304000</v>
      </c>
      <c r="J692" s="4" t="n"/>
      <c r="K692" s="4">
        <f>IF(AND(ISNUMBER(J692),ISNUMBER(I692)),J692-I692,"")</f>
        <v/>
      </c>
      <c r="L692" s="5">
        <f>IF(AND(ISNUMBER(J692),ISNUMBER(I692),I692&gt;0),(J692-I692)/I692,"")</f>
        <v/>
      </c>
      <c r="M692" s="2">
        <f>IF(L692="","",IF(L692&lt;-0.05,"Bán phá giá",IF(L692&gt;0.05,"Bán cao hơn","Đúng giá niêm yết")))</f>
        <v/>
      </c>
      <c r="N692" s="2" t="n"/>
      <c r="O692" s="3" t="n"/>
      <c r="P692" s="3" t="n"/>
    </row>
    <row r="693">
      <c r="A693" s="2" t="n">
        <v>692</v>
      </c>
      <c r="B693" s="2" t="inlineStr">
        <is>
          <t>KH004</t>
        </is>
      </c>
      <c r="C693" s="3" t="inlineStr">
        <is>
          <t>HCM-BIGSHOP</t>
        </is>
      </c>
      <c r="D693" s="2" t="inlineStr">
        <is>
          <t>HCM</t>
        </is>
      </c>
      <c r="E693" s="2" t="inlineStr">
        <is>
          <t>XUÂN TRANG</t>
        </is>
      </c>
      <c r="F693" s="2" t="inlineStr">
        <is>
          <t>Website bán hàng</t>
        </is>
      </c>
      <c r="G693" s="2" t="inlineStr">
        <is>
          <t>KLG-24</t>
        </is>
      </c>
      <c r="H693" s="3" t="inlineStr">
        <is>
          <t>Bộ tuýp cần tự động 24 chi tiết KLG-24</t>
        </is>
      </c>
      <c r="I693" s="4" t="n">
        <v>1045000</v>
      </c>
      <c r="J693" s="4" t="n"/>
      <c r="K693" s="4">
        <f>IF(AND(ISNUMBER(J693),ISNUMBER(I693)),J693-I693,"")</f>
        <v/>
      </c>
      <c r="L693" s="5">
        <f>IF(AND(ISNUMBER(J693),ISNUMBER(I693),I693&gt;0),(J693-I693)/I693,"")</f>
        <v/>
      </c>
      <c r="M693" s="2">
        <f>IF(L693="","",IF(L693&lt;-0.05,"Bán phá giá",IF(L693&gt;0.05,"Bán cao hơn","Đúng giá niêm yết")))</f>
        <v/>
      </c>
      <c r="N693" s="2" t="n"/>
      <c r="O693" s="3" t="n"/>
      <c r="P693" s="3" t="n"/>
    </row>
    <row r="694">
      <c r="A694" s="2" t="n">
        <v>693</v>
      </c>
      <c r="B694" s="2" t="inlineStr">
        <is>
          <t>KH004</t>
        </is>
      </c>
      <c r="C694" s="3" t="inlineStr">
        <is>
          <t>HCM-BIGSHOP</t>
        </is>
      </c>
      <c r="D694" s="2" t="inlineStr">
        <is>
          <t>HCM</t>
        </is>
      </c>
      <c r="E694" s="2" t="inlineStr">
        <is>
          <t>XUÂN TRANG</t>
        </is>
      </c>
      <c r="F694" s="2" t="inlineStr">
        <is>
          <t>Website bán hàng</t>
        </is>
      </c>
      <c r="G694" s="2" t="inlineStr">
        <is>
          <t>KB-ST18</t>
        </is>
      </c>
      <c r="H694" s="3" t="inlineStr">
        <is>
          <t>Công cụ đóng đinh bán tự động KB-ST18</t>
        </is>
      </c>
      <c r="I694" s="4" t="n">
        <v>303000</v>
      </c>
      <c r="J694" s="4" t="n"/>
      <c r="K694" s="4">
        <f>IF(AND(ISNUMBER(J694),ISNUMBER(I694)),J694-I694,"")</f>
        <v/>
      </c>
      <c r="L694" s="5">
        <f>IF(AND(ISNUMBER(J694),ISNUMBER(I694),I694&gt;0),(J694-I694)/I694,"")</f>
        <v/>
      </c>
      <c r="M694" s="2">
        <f>IF(L694="","",IF(L694&lt;-0.05,"Bán phá giá",IF(L694&gt;0.05,"Bán cao hơn","Đúng giá niêm yết")))</f>
        <v/>
      </c>
      <c r="N694" s="2" t="n"/>
      <c r="O694" s="3" t="n"/>
      <c r="P694" s="3" t="n"/>
    </row>
    <row r="695">
      <c r="A695" s="2" t="n">
        <v>694</v>
      </c>
      <c r="B695" s="2" t="inlineStr">
        <is>
          <t>KH004</t>
        </is>
      </c>
      <c r="C695" s="3" t="inlineStr">
        <is>
          <t>HCM-BIGSHOP</t>
        </is>
      </c>
      <c r="D695" s="2" t="inlineStr">
        <is>
          <t>HCM</t>
        </is>
      </c>
      <c r="E695" s="2" t="inlineStr">
        <is>
          <t>XUÂN TRANG</t>
        </is>
      </c>
      <c r="F695" s="2" t="inlineStr">
        <is>
          <t>Website bán hàng</t>
        </is>
      </c>
      <c r="G695" s="2" t="inlineStr">
        <is>
          <t>KB-05X</t>
        </is>
      </c>
      <c r="H695" s="3" t="inlineStr">
        <is>
          <t>Chân máy laser KB-05X</t>
        </is>
      </c>
      <c r="I695" s="4" t="n">
        <v>220000</v>
      </c>
      <c r="J695" s="4" t="n"/>
      <c r="K695" s="4">
        <f>IF(AND(ISNUMBER(J695),ISNUMBER(I695)),J695-I695,"")</f>
        <v/>
      </c>
      <c r="L695" s="5">
        <f>IF(AND(ISNUMBER(J695),ISNUMBER(I695),I695&gt;0),(J695-I695)/I695,"")</f>
        <v/>
      </c>
      <c r="M695" s="2">
        <f>IF(L695="","",IF(L695&lt;-0.05,"Bán phá giá",IF(L695&gt;0.05,"Bán cao hơn","Đúng giá niêm yết")))</f>
        <v/>
      </c>
      <c r="N695" s="2" t="n"/>
      <c r="O695" s="3" t="n"/>
      <c r="P695" s="3" t="n"/>
    </row>
    <row r="696">
      <c r="A696" s="2" t="n">
        <v>695</v>
      </c>
      <c r="B696" s="2" t="inlineStr">
        <is>
          <t>KH004</t>
        </is>
      </c>
      <c r="C696" s="3" t="inlineStr">
        <is>
          <t>HCM-BIGSHOP</t>
        </is>
      </c>
      <c r="D696" s="2" t="inlineStr">
        <is>
          <t>HCM</t>
        </is>
      </c>
      <c r="E696" s="2" t="inlineStr">
        <is>
          <t>XUÂN TRANG</t>
        </is>
      </c>
      <c r="F696" s="2" t="inlineStr">
        <is>
          <t>Website bán hàng</t>
        </is>
      </c>
      <c r="G696" s="2" t="inlineStr">
        <is>
          <t>SDST-M22</t>
        </is>
      </c>
      <c r="H696" s="3" t="inlineStr">
        <is>
          <t>Chuôi khoan rút lõi gài SDST-M22</t>
        </is>
      </c>
      <c r="I696" s="4" t="n">
        <v>34000</v>
      </c>
      <c r="J696" s="4" t="n"/>
      <c r="K696" s="4">
        <f>IF(AND(ISNUMBER(J696),ISNUMBER(I696)),J696-I696,"")</f>
        <v/>
      </c>
      <c r="L696" s="5">
        <f>IF(AND(ISNUMBER(J696),ISNUMBER(I696),I696&gt;0),(J696-I696)/I696,"")</f>
        <v/>
      </c>
      <c r="M696" s="2">
        <f>IF(L696="","",IF(L696&lt;-0.05,"Bán phá giá",IF(L696&gt;0.05,"Bán cao hơn","Đúng giá niêm yết")))</f>
        <v/>
      </c>
      <c r="N696" s="2" t="n"/>
      <c r="O696" s="3" t="n"/>
      <c r="P696" s="3" t="n"/>
    </row>
    <row r="697">
      <c r="A697" s="2" t="n">
        <v>696</v>
      </c>
      <c r="B697" s="2" t="inlineStr">
        <is>
          <t>KH004</t>
        </is>
      </c>
      <c r="C697" s="3" t="inlineStr">
        <is>
          <t>HCM-BIGSHOP</t>
        </is>
      </c>
      <c r="D697" s="2" t="inlineStr">
        <is>
          <t>HCM</t>
        </is>
      </c>
      <c r="E697" s="2" t="inlineStr">
        <is>
          <t>XUÂN TRANG</t>
        </is>
      </c>
      <c r="F697" s="2" t="inlineStr">
        <is>
          <t>Website bán hàng</t>
        </is>
      </c>
      <c r="G697" s="2" t="inlineStr">
        <is>
          <t>DLG-M22</t>
        </is>
      </c>
      <c r="H697" s="3" t="inlineStr">
        <is>
          <t>Chuôi khoan rút lõi lục giác DLG-M22</t>
        </is>
      </c>
      <c r="I697" s="4" t="n">
        <v>34000</v>
      </c>
      <c r="J697" s="4" t="n"/>
      <c r="K697" s="4">
        <f>IF(AND(ISNUMBER(J697),ISNUMBER(I697)),J697-I697,"")</f>
        <v/>
      </c>
      <c r="L697" s="5">
        <f>IF(AND(ISNUMBER(J697),ISNUMBER(I697),I697&gt;0),(J697-I697)/I697,"")</f>
        <v/>
      </c>
      <c r="M697" s="2">
        <f>IF(L697="","",IF(L697&lt;-0.05,"Bán phá giá",IF(L697&gt;0.05,"Bán cao hơn","Đúng giá niêm yết")))</f>
        <v/>
      </c>
      <c r="N697" s="2" t="n"/>
      <c r="O697" s="3" t="n"/>
      <c r="P697" s="3" t="n"/>
    </row>
    <row r="698">
      <c r="A698" s="2" t="n">
        <v>697</v>
      </c>
      <c r="B698" s="2" t="inlineStr">
        <is>
          <t>KH004</t>
        </is>
      </c>
      <c r="C698" s="3" t="inlineStr">
        <is>
          <t>HCM-BIGSHOP</t>
        </is>
      </c>
      <c r="D698" s="2" t="inlineStr">
        <is>
          <t>HCM</t>
        </is>
      </c>
      <c r="E698" s="2" t="inlineStr">
        <is>
          <t>XUÂN TRANG</t>
        </is>
      </c>
      <c r="F698" s="2" t="inlineStr">
        <is>
          <t>Website bán hàng</t>
        </is>
      </c>
      <c r="G698" s="2" t="inlineStr">
        <is>
          <t>K54M</t>
        </is>
      </c>
      <c r="H698" s="3" t="inlineStr">
        <is>
          <t>Dụng cụ khò gas mini K54M</t>
        </is>
      </c>
      <c r="I698" s="4" t="n">
        <v>264000</v>
      </c>
      <c r="J698" s="4" t="n"/>
      <c r="K698" s="4">
        <f>IF(AND(ISNUMBER(J698),ISNUMBER(I698)),J698-I698,"")</f>
        <v/>
      </c>
      <c r="L698" s="5">
        <f>IF(AND(ISNUMBER(J698),ISNUMBER(I698),I698&gt;0),(J698-I698)/I698,"")</f>
        <v/>
      </c>
      <c r="M698" s="2">
        <f>IF(L698="","",IF(L698&lt;-0.05,"Bán phá giá",IF(L698&gt;0.05,"Bán cao hơn","Đúng giá niêm yết")))</f>
        <v/>
      </c>
      <c r="N698" s="2" t="n"/>
      <c r="O698" s="3" t="n"/>
      <c r="P698" s="3" t="n"/>
    </row>
    <row r="699">
      <c r="A699" s="2" t="n">
        <v>698</v>
      </c>
      <c r="B699" s="2" t="inlineStr">
        <is>
          <t>KH004</t>
        </is>
      </c>
      <c r="C699" s="3" t="inlineStr">
        <is>
          <t>HCM-BIGSHOP</t>
        </is>
      </c>
      <c r="D699" s="2" t="inlineStr">
        <is>
          <t>HCM</t>
        </is>
      </c>
      <c r="E699" s="2" t="inlineStr">
        <is>
          <t>XUÂN TRANG</t>
        </is>
      </c>
      <c r="F699" s="2" t="inlineStr">
        <is>
          <t>Website bán hàng</t>
        </is>
      </c>
      <c r="G699" s="2" t="inlineStr">
        <is>
          <t>D1-107x1.2</t>
        </is>
      </c>
      <c r="H699" s="3" t="inlineStr">
        <is>
          <t>Đá cắt sắt, inox KingBlue D1-107x1.2 xanh (Hộp sắt)</t>
        </is>
      </c>
      <c r="I699" s="4" t="n">
        <v>5300</v>
      </c>
      <c r="J699" s="4" t="n"/>
      <c r="K699" s="4">
        <f>IF(AND(ISNUMBER(J699),ISNUMBER(I699)),J699-I699,"")</f>
        <v/>
      </c>
      <c r="L699" s="5">
        <f>IF(AND(ISNUMBER(J699),ISNUMBER(I699),I699&gt;0),(J699-I699)/I699,"")</f>
        <v/>
      </c>
      <c r="M699" s="2">
        <f>IF(L699="","",IF(L699&lt;-0.05,"Bán phá giá",IF(L699&gt;0.05,"Bán cao hơn","Đúng giá niêm yết")))</f>
        <v/>
      </c>
      <c r="N699" s="2" t="n"/>
      <c r="O699" s="3" t="n"/>
      <c r="P699" s="3" t="n"/>
    </row>
    <row r="700">
      <c r="A700" s="2" t="n">
        <v>699</v>
      </c>
      <c r="B700" s="2" t="inlineStr">
        <is>
          <t>KH004</t>
        </is>
      </c>
      <c r="C700" s="3" t="inlineStr">
        <is>
          <t>HCM-BIGSHOP</t>
        </is>
      </c>
      <c r="D700" s="2" t="inlineStr">
        <is>
          <t>HCM</t>
        </is>
      </c>
      <c r="E700" s="2" t="inlineStr">
        <is>
          <t>XUÂN TRANG</t>
        </is>
      </c>
      <c r="F700" s="2" t="inlineStr">
        <is>
          <t>Website bán hàng</t>
        </is>
      </c>
      <c r="G700" s="2" t="inlineStr">
        <is>
          <t>D3-180x2.0x22mm</t>
        </is>
      </c>
      <c r="H700" s="3" t="inlineStr">
        <is>
          <t>Đá cắt sắt, inox Kingblue D3-180x2.0x22mm</t>
        </is>
      </c>
      <c r="I700" s="4" t="n">
        <v>28400</v>
      </c>
      <c r="J700" s="4" t="n"/>
      <c r="K700" s="4">
        <f>IF(AND(ISNUMBER(J700),ISNUMBER(I700)),J700-I700,"")</f>
        <v/>
      </c>
      <c r="L700" s="5">
        <f>IF(AND(ISNUMBER(J700),ISNUMBER(I700),I700&gt;0),(J700-I700)/I700,"")</f>
        <v/>
      </c>
      <c r="M700" s="2">
        <f>IF(L700="","",IF(L700&lt;-0.05,"Bán phá giá",IF(L700&gt;0.05,"Bán cao hơn","Đúng giá niêm yết")))</f>
        <v/>
      </c>
      <c r="N700" s="2" t="n"/>
      <c r="O700" s="3" t="n"/>
      <c r="P700" s="3" t="n"/>
    </row>
    <row r="701">
      <c r="A701" s="2" t="n">
        <v>700</v>
      </c>
      <c r="B701" s="2" t="inlineStr">
        <is>
          <t>KH004</t>
        </is>
      </c>
      <c r="C701" s="3" t="inlineStr">
        <is>
          <t>HCM-BIGSHOP</t>
        </is>
      </c>
      <c r="D701" s="2" t="inlineStr">
        <is>
          <t>HCM</t>
        </is>
      </c>
      <c r="E701" s="2" t="inlineStr">
        <is>
          <t>XUÂN TRANG</t>
        </is>
      </c>
      <c r="F701" s="2" t="inlineStr">
        <is>
          <t>Website bán hàng</t>
        </is>
      </c>
      <c r="G701" s="2" t="inlineStr">
        <is>
          <t>K45M</t>
        </is>
      </c>
      <c r="H701" s="3" t="inlineStr">
        <is>
          <t>Đầu khò gas K45M</t>
        </is>
      </c>
      <c r="I701" s="4" t="n">
        <v>185000</v>
      </c>
      <c r="J701" s="4" t="n"/>
      <c r="K701" s="4">
        <f>IF(AND(ISNUMBER(J701),ISNUMBER(I701)),J701-I701,"")</f>
        <v/>
      </c>
      <c r="L701" s="5">
        <f>IF(AND(ISNUMBER(J701),ISNUMBER(I701),I701&gt;0),(J701-I701)/I701,"")</f>
        <v/>
      </c>
      <c r="M701" s="2">
        <f>IF(L701="","",IF(L701&lt;-0.05,"Bán phá giá",IF(L701&gt;0.05,"Bán cao hơn","Đúng giá niêm yết")))</f>
        <v/>
      </c>
      <c r="N701" s="2" t="n"/>
      <c r="O701" s="3" t="n"/>
      <c r="P701" s="3" t="n"/>
    </row>
    <row r="702">
      <c r="A702" s="2" t="n">
        <v>701</v>
      </c>
      <c r="B702" s="2" t="inlineStr">
        <is>
          <t>KH004</t>
        </is>
      </c>
      <c r="C702" s="3" t="inlineStr">
        <is>
          <t>HCM-BIGSHOP</t>
        </is>
      </c>
      <c r="D702" s="2" t="inlineStr">
        <is>
          <t>HCM</t>
        </is>
      </c>
      <c r="E702" s="2" t="inlineStr">
        <is>
          <t>XUÂN TRANG</t>
        </is>
      </c>
      <c r="F702" s="2" t="inlineStr">
        <is>
          <t>Website bán hàng</t>
        </is>
      </c>
      <c r="G702" s="2" t="inlineStr">
        <is>
          <t>LED750</t>
        </is>
      </c>
      <c r="H702" s="3" t="inlineStr">
        <is>
          <t>Đèn Led cài áo LED750</t>
        </is>
      </c>
      <c r="I702" s="4" t="n">
        <v>540000</v>
      </c>
      <c r="J702" s="4" t="n"/>
      <c r="K702" s="4">
        <f>IF(AND(ISNUMBER(J702),ISNUMBER(I702)),J702-I702,"")</f>
        <v/>
      </c>
      <c r="L702" s="5">
        <f>IF(AND(ISNUMBER(J702),ISNUMBER(I702),I702&gt;0),(J702-I702)/I702,"")</f>
        <v/>
      </c>
      <c r="M702" s="2">
        <f>IF(L702="","",IF(L702&lt;-0.05,"Bán phá giá",IF(L702&gt;0.05,"Bán cao hơn","Đúng giá niêm yết")))</f>
        <v/>
      </c>
      <c r="N702" s="2" t="n"/>
      <c r="O702" s="3" t="n"/>
      <c r="P702" s="3" t="n"/>
    </row>
    <row r="703">
      <c r="A703" s="2" t="n">
        <v>702</v>
      </c>
      <c r="B703" s="2" t="inlineStr">
        <is>
          <t>KH004</t>
        </is>
      </c>
      <c r="C703" s="3" t="inlineStr">
        <is>
          <t>HCM-BIGSHOP</t>
        </is>
      </c>
      <c r="D703" s="2" t="inlineStr">
        <is>
          <t>HCM</t>
        </is>
      </c>
      <c r="E703" s="2" t="inlineStr">
        <is>
          <t>XUÂN TRANG</t>
        </is>
      </c>
      <c r="F703" s="2" t="inlineStr">
        <is>
          <t>Website bán hàng</t>
        </is>
      </c>
      <c r="G703" s="2" t="inlineStr">
        <is>
          <t>LED600</t>
        </is>
      </c>
      <c r="H703" s="3" t="inlineStr">
        <is>
          <t>Đèn Led soi sửa chữa máy móc LED600</t>
        </is>
      </c>
      <c r="I703" s="4" t="n">
        <v>690000</v>
      </c>
      <c r="J703" s="4" t="n"/>
      <c r="K703" s="4">
        <f>IF(AND(ISNUMBER(J703),ISNUMBER(I703)),J703-I703,"")</f>
        <v/>
      </c>
      <c r="L703" s="5">
        <f>IF(AND(ISNUMBER(J703),ISNUMBER(I703),I703&gt;0),(J703-I703)/I703,"")</f>
        <v/>
      </c>
      <c r="M703" s="2">
        <f>IF(L703="","",IF(L703&lt;-0.05,"Bán phá giá",IF(L703&gt;0.05,"Bán cao hơn","Đúng giá niêm yết")))</f>
        <v/>
      </c>
      <c r="N703" s="2" t="n"/>
      <c r="O703" s="3" t="n"/>
      <c r="P703" s="3" t="n"/>
    </row>
    <row r="704">
      <c r="A704" s="2" t="n">
        <v>703</v>
      </c>
      <c r="B704" s="2" t="inlineStr">
        <is>
          <t>KH004</t>
        </is>
      </c>
      <c r="C704" s="3" t="inlineStr">
        <is>
          <t>HCM-BIGSHOP</t>
        </is>
      </c>
      <c r="D704" s="2" t="inlineStr">
        <is>
          <t>HCM</t>
        </is>
      </c>
      <c r="E704" s="2" t="inlineStr">
        <is>
          <t>XUÂN TRANG</t>
        </is>
      </c>
      <c r="F704" s="2" t="inlineStr">
        <is>
          <t>Website bán hàng</t>
        </is>
      </c>
      <c r="G704" s="2" t="inlineStr">
        <is>
          <t>LED1000</t>
        </is>
      </c>
      <c r="H704" s="3" t="inlineStr">
        <is>
          <t>Đèn Pin siêu sáng LED1000</t>
        </is>
      </c>
      <c r="I704" s="4" t="n">
        <v>780000</v>
      </c>
      <c r="J704" s="4" t="n"/>
      <c r="K704" s="4">
        <f>IF(AND(ISNUMBER(J704),ISNUMBER(I704)),J704-I704,"")</f>
        <v/>
      </c>
      <c r="L704" s="5">
        <f>IF(AND(ISNUMBER(J704),ISNUMBER(I704),I704&gt;0),(J704-I704)/I704,"")</f>
        <v/>
      </c>
      <c r="M704" s="2">
        <f>IF(L704="","",IF(L704&lt;-0.05,"Bán phá giá",IF(L704&gt;0.05,"Bán cao hơn","Đúng giá niêm yết")))</f>
        <v/>
      </c>
      <c r="N704" s="2" t="n"/>
      <c r="O704" s="3" t="n"/>
      <c r="P704" s="3" t="n"/>
    </row>
    <row r="705">
      <c r="A705" s="2" t="n">
        <v>704</v>
      </c>
      <c r="B705" s="2" t="inlineStr">
        <is>
          <t>KH004</t>
        </is>
      </c>
      <c r="C705" s="3" t="inlineStr">
        <is>
          <t>HCM-BIGSHOP</t>
        </is>
      </c>
      <c r="D705" s="2" t="inlineStr">
        <is>
          <t>HCM</t>
        </is>
      </c>
      <c r="E705" s="2" t="inlineStr">
        <is>
          <t>XUÂN TRANG</t>
        </is>
      </c>
      <c r="F705" s="2" t="inlineStr">
        <is>
          <t>Website bán hàng</t>
        </is>
      </c>
      <c r="G705" s="2" t="inlineStr">
        <is>
          <t>MINI20GKD</t>
        </is>
      </c>
      <c r="H705" s="3" t="inlineStr">
        <is>
          <t>Đinh MINI20GKD</t>
        </is>
      </c>
      <c r="I705" s="4" t="n"/>
      <c r="J705" s="4" t="n"/>
      <c r="K705" s="4">
        <f>IF(AND(ISNUMBER(J705),ISNUMBER(I705)),J705-I705,"")</f>
        <v/>
      </c>
      <c r="L705" s="5">
        <f>IF(AND(ISNUMBER(J705),ISNUMBER(I705),I705&gt;0),(J705-I705)/I705,"")</f>
        <v/>
      </c>
      <c r="M705" s="2">
        <f>IF(L705="","",IF(L705&lt;-0.05,"Bán phá giá",IF(L705&gt;0.05,"Bán cao hơn","Đúng giá niêm yết")))</f>
        <v/>
      </c>
      <c r="N705" s="2" t="n"/>
      <c r="O705" s="3" t="n"/>
      <c r="P705" s="3" t="n"/>
    </row>
    <row r="706">
      <c r="A706" s="2" t="n">
        <v>705</v>
      </c>
      <c r="B706" s="2" t="inlineStr">
        <is>
          <t>KH004</t>
        </is>
      </c>
      <c r="C706" s="3" t="inlineStr">
        <is>
          <t>HCM-BIGSHOP</t>
        </is>
      </c>
      <c r="D706" s="2" t="inlineStr">
        <is>
          <t>HCM</t>
        </is>
      </c>
      <c r="E706" s="2" t="inlineStr">
        <is>
          <t>XUÂN TRANG</t>
        </is>
      </c>
      <c r="F706" s="2" t="inlineStr">
        <is>
          <t>Website bán hàng</t>
        </is>
      </c>
      <c r="G706" s="2" t="inlineStr"/>
      <c r="H706" s="3" t="inlineStr">
        <is>
          <t>Đinh MINIGJD</t>
        </is>
      </c>
      <c r="I706" s="4" t="n"/>
      <c r="J706" s="4" t="n"/>
      <c r="K706" s="4">
        <f>IF(AND(ISNUMBER(J706),ISNUMBER(I706)),J706-I706,"")</f>
        <v/>
      </c>
      <c r="L706" s="5">
        <f>IF(AND(ISNUMBER(J706),ISNUMBER(I706),I706&gt;0),(J706-I706)/I706,"")</f>
        <v/>
      </c>
      <c r="M706" s="2">
        <f>IF(L706="","",IF(L706&lt;-0.05,"Bán phá giá",IF(L706&gt;0.05,"Bán cao hơn","Đúng giá niêm yết")))</f>
        <v/>
      </c>
      <c r="N706" s="2" t="n"/>
      <c r="O706" s="3" t="n"/>
      <c r="P706" s="3" t="n"/>
    </row>
    <row r="707">
      <c r="A707" s="2" t="n">
        <v>706</v>
      </c>
      <c r="B707" s="2" t="inlineStr">
        <is>
          <t>KH004</t>
        </is>
      </c>
      <c r="C707" s="3" t="inlineStr">
        <is>
          <t>HCM-BIGSHOP</t>
        </is>
      </c>
      <c r="D707" s="2" t="inlineStr">
        <is>
          <t>HCM</t>
        </is>
      </c>
      <c r="E707" s="2" t="inlineStr">
        <is>
          <t>XUÂN TRANG</t>
        </is>
      </c>
      <c r="F707" s="2" t="inlineStr">
        <is>
          <t>Website bán hàng</t>
        </is>
      </c>
      <c r="G707" s="2" t="inlineStr"/>
      <c r="H707" s="3" t="inlineStr">
        <is>
          <t>Đinh MINISFD</t>
        </is>
      </c>
      <c r="I707" s="4" t="n"/>
      <c r="J707" s="4" t="n"/>
      <c r="K707" s="4">
        <f>IF(AND(ISNUMBER(J707),ISNUMBER(I707)),J707-I707,"")</f>
        <v/>
      </c>
      <c r="L707" s="5">
        <f>IF(AND(ISNUMBER(J707),ISNUMBER(I707),I707&gt;0),(J707-I707)/I707,"")</f>
        <v/>
      </c>
      <c r="M707" s="2">
        <f>IF(L707="","",IF(L707&lt;-0.05,"Bán phá giá",IF(L707&gt;0.05,"Bán cao hơn","Đúng giá niêm yết")))</f>
        <v/>
      </c>
      <c r="N707" s="2" t="n"/>
      <c r="O707" s="3" t="n"/>
      <c r="P707" s="3" t="n"/>
    </row>
    <row r="708">
      <c r="A708" s="2" t="n">
        <v>707</v>
      </c>
      <c r="B708" s="2" t="inlineStr">
        <is>
          <t>KH004</t>
        </is>
      </c>
      <c r="C708" s="3" t="inlineStr">
        <is>
          <t>HCM-BIGSHOP</t>
        </is>
      </c>
      <c r="D708" s="2" t="inlineStr">
        <is>
          <t>HCM</t>
        </is>
      </c>
      <c r="E708" s="2" t="inlineStr">
        <is>
          <t>XUÂN TRANG</t>
        </is>
      </c>
      <c r="F708" s="2" t="inlineStr">
        <is>
          <t>Website bán hàng</t>
        </is>
      </c>
      <c r="G708" s="2" t="inlineStr">
        <is>
          <t>KIG-600</t>
        </is>
      </c>
      <c r="H708" s="3" t="inlineStr">
        <is>
          <t>Đồng hồ kẹp dòng vạn năng KIG-600</t>
        </is>
      </c>
      <c r="I708" s="4" t="n">
        <v>673000</v>
      </c>
      <c r="J708" s="4" t="n"/>
      <c r="K708" s="4">
        <f>IF(AND(ISNUMBER(J708),ISNUMBER(I708)),J708-I708,"")</f>
        <v/>
      </c>
      <c r="L708" s="5">
        <f>IF(AND(ISNUMBER(J708),ISNUMBER(I708),I708&gt;0),(J708-I708)/I708,"")</f>
        <v/>
      </c>
      <c r="M708" s="2">
        <f>IF(L708="","",IF(L708&lt;-0.05,"Bán phá giá",IF(L708&gt;0.05,"Bán cao hơn","Đúng giá niêm yết")))</f>
        <v/>
      </c>
      <c r="N708" s="2" t="n"/>
      <c r="O708" s="3" t="n"/>
      <c r="P708" s="3" t="n"/>
    </row>
    <row r="709">
      <c r="A709" s="2" t="n">
        <v>708</v>
      </c>
      <c r="B709" s="2" t="inlineStr">
        <is>
          <t>KH004</t>
        </is>
      </c>
      <c r="C709" s="3" t="inlineStr">
        <is>
          <t>HCM-BIGSHOP</t>
        </is>
      </c>
      <c r="D709" s="2" t="inlineStr">
        <is>
          <t>HCM</t>
        </is>
      </c>
      <c r="E709" s="2" t="inlineStr">
        <is>
          <t>XUÂN TRANG</t>
        </is>
      </c>
      <c r="F709" s="2" t="inlineStr">
        <is>
          <t>Website bán hàng</t>
        </is>
      </c>
      <c r="G709" s="2" t="inlineStr">
        <is>
          <t>KIW-600</t>
        </is>
      </c>
      <c r="H709" s="3" t="inlineStr">
        <is>
          <t>Đồng hồ vạn năng điện tử KIW-600</t>
        </is>
      </c>
      <c r="I709" s="4" t="n">
        <v>320000</v>
      </c>
      <c r="J709" s="4" t="n"/>
      <c r="K709" s="4">
        <f>IF(AND(ISNUMBER(J709),ISNUMBER(I709)),J709-I709,"")</f>
        <v/>
      </c>
      <c r="L709" s="5">
        <f>IF(AND(ISNUMBER(J709),ISNUMBER(I709),I709&gt;0),(J709-I709)/I709,"")</f>
        <v/>
      </c>
      <c r="M709" s="2">
        <f>IF(L709="","",IF(L709&lt;-0.05,"Bán phá giá",IF(L709&gt;0.05,"Bán cao hơn","Đúng giá niêm yết")))</f>
        <v/>
      </c>
      <c r="N709" s="2" t="n"/>
      <c r="O709" s="3" t="n"/>
      <c r="P709" s="3" t="n"/>
    </row>
    <row r="710">
      <c r="A710" s="2" t="n">
        <v>709</v>
      </c>
      <c r="B710" s="2" t="inlineStr">
        <is>
          <t>KH004</t>
        </is>
      </c>
      <c r="C710" s="3" t="inlineStr">
        <is>
          <t>HCM-BIGSHOP</t>
        </is>
      </c>
      <c r="D710" s="2" t="inlineStr">
        <is>
          <t>HCM</t>
        </is>
      </c>
      <c r="E710" s="2" t="inlineStr">
        <is>
          <t>XUÂN TRANG</t>
        </is>
      </c>
      <c r="F710" s="2" t="inlineStr">
        <is>
          <t>Website bán hàng</t>
        </is>
      </c>
      <c r="G710" s="2" t="inlineStr">
        <is>
          <t>HKE-200</t>
        </is>
      </c>
      <c r="H710" s="3" t="inlineStr">
        <is>
          <t>Hít kính điện tử HKE-200</t>
        </is>
      </c>
      <c r="I710" s="4" t="n">
        <v>671000</v>
      </c>
      <c r="J710" s="4" t="n"/>
      <c r="K710" s="4">
        <f>IF(AND(ISNUMBER(J710),ISNUMBER(I710)),J710-I710,"")</f>
        <v/>
      </c>
      <c r="L710" s="5">
        <f>IF(AND(ISNUMBER(J710),ISNUMBER(I710),I710&gt;0),(J710-I710)/I710,"")</f>
        <v/>
      </c>
      <c r="M710" s="2">
        <f>IF(L710="","",IF(L710&lt;-0.05,"Bán phá giá",IF(L710&gt;0.05,"Bán cao hơn","Đúng giá niêm yết")))</f>
        <v/>
      </c>
      <c r="N710" s="2" t="n"/>
      <c r="O710" s="3" t="n"/>
      <c r="P710" s="3" t="n"/>
    </row>
    <row r="711">
      <c r="A711" s="2" t="n">
        <v>710</v>
      </c>
      <c r="B711" s="2" t="inlineStr">
        <is>
          <t>KH004</t>
        </is>
      </c>
      <c r="C711" s="3" t="inlineStr">
        <is>
          <t>HCM-BIGSHOP</t>
        </is>
      </c>
      <c r="D711" s="2" t="inlineStr">
        <is>
          <t>HCM</t>
        </is>
      </c>
      <c r="E711" s="2" t="inlineStr">
        <is>
          <t>XUÂN TRANG</t>
        </is>
      </c>
      <c r="F711" s="2" t="inlineStr">
        <is>
          <t>Website bán hàng</t>
        </is>
      </c>
      <c r="G711" s="2" t="inlineStr">
        <is>
          <t>KPC-164</t>
        </is>
      </c>
      <c r="H711" s="3" t="inlineStr">
        <is>
          <t>Kéo cắt ống KPC-164</t>
        </is>
      </c>
      <c r="I711" s="4" t="n">
        <v>298000</v>
      </c>
      <c r="J711" s="4" t="n"/>
      <c r="K711" s="4">
        <f>IF(AND(ISNUMBER(J711),ISNUMBER(I711)),J711-I711,"")</f>
        <v/>
      </c>
      <c r="L711" s="5">
        <f>IF(AND(ISNUMBER(J711),ISNUMBER(I711),I711&gt;0),(J711-I711)/I711,"")</f>
        <v/>
      </c>
      <c r="M711" s="2">
        <f>IF(L711="","",IF(L711&lt;-0.05,"Bán phá giá",IF(L711&gt;0.05,"Bán cao hơn","Đúng giá niêm yết")))</f>
        <v/>
      </c>
      <c r="N711" s="2" t="n"/>
      <c r="O711" s="3" t="n"/>
      <c r="P711" s="3" t="n"/>
    </row>
    <row r="712">
      <c r="A712" s="2" t="n">
        <v>711</v>
      </c>
      <c r="B712" s="2" t="inlineStr">
        <is>
          <t>KH004</t>
        </is>
      </c>
      <c r="C712" s="3" t="inlineStr">
        <is>
          <t>HCM-BIGSHOP</t>
        </is>
      </c>
      <c r="D712" s="2" t="inlineStr">
        <is>
          <t>HCM</t>
        </is>
      </c>
      <c r="E712" s="2" t="inlineStr">
        <is>
          <t>XUÂN TRANG</t>
        </is>
      </c>
      <c r="F712" s="2" t="inlineStr">
        <is>
          <t>Website bán hàng</t>
        </is>
      </c>
      <c r="G712" s="2" t="inlineStr">
        <is>
          <t>KPC-242</t>
        </is>
      </c>
      <c r="H712" s="3" t="inlineStr">
        <is>
          <t>Kéo cắt ống KPC-242</t>
        </is>
      </c>
      <c r="I712" s="4" t="n">
        <v>172000</v>
      </c>
      <c r="J712" s="4" t="n"/>
      <c r="K712" s="4">
        <f>IF(AND(ISNUMBER(J712),ISNUMBER(I712)),J712-I712,"")</f>
        <v/>
      </c>
      <c r="L712" s="5">
        <f>IF(AND(ISNUMBER(J712),ISNUMBER(I712),I712&gt;0),(J712-I712)/I712,"")</f>
        <v/>
      </c>
      <c r="M712" s="2">
        <f>IF(L712="","",IF(L712&lt;-0.05,"Bán phá giá",IF(L712&gt;0.05,"Bán cao hơn","Đúng giá niêm yết")))</f>
        <v/>
      </c>
      <c r="N712" s="2" t="n"/>
      <c r="O712" s="3" t="n"/>
      <c r="P712" s="3" t="n"/>
    </row>
    <row r="713">
      <c r="A713" s="2" t="n">
        <v>712</v>
      </c>
      <c r="B713" s="2" t="inlineStr">
        <is>
          <t>KH004</t>
        </is>
      </c>
      <c r="C713" s="3" t="inlineStr">
        <is>
          <t>HCM-BIGSHOP</t>
        </is>
      </c>
      <c r="D713" s="2" t="inlineStr">
        <is>
          <t>HCM</t>
        </is>
      </c>
      <c r="E713" s="2" t="inlineStr">
        <is>
          <t>XUÂN TRANG</t>
        </is>
      </c>
      <c r="F713" s="2" t="inlineStr">
        <is>
          <t>Website bán hàng</t>
        </is>
      </c>
      <c r="G713" s="2" t="inlineStr">
        <is>
          <t>QE320</t>
        </is>
      </c>
      <c r="H713" s="3" t="inlineStr">
        <is>
          <t>Kéo cắt trên cao Kingblue QE320</t>
        </is>
      </c>
      <c r="I713" s="4" t="n">
        <v>678000</v>
      </c>
      <c r="J713" s="4" t="n"/>
      <c r="K713" s="4">
        <f>IF(AND(ISNUMBER(J713),ISNUMBER(I713)),J713-I713,"")</f>
        <v/>
      </c>
      <c r="L713" s="5">
        <f>IF(AND(ISNUMBER(J713),ISNUMBER(I713),I713&gt;0),(J713-I713)/I713,"")</f>
        <v/>
      </c>
      <c r="M713" s="2">
        <f>IF(L713="","",IF(L713&lt;-0.05,"Bán phá giá",IF(L713&gt;0.05,"Bán cao hơn","Đúng giá niêm yết")))</f>
        <v/>
      </c>
      <c r="N713" s="2" t="n"/>
      <c r="O713" s="3" t="n"/>
      <c r="P713" s="3" t="n"/>
    </row>
    <row r="714">
      <c r="A714" s="2" t="n">
        <v>713</v>
      </c>
      <c r="B714" s="2" t="inlineStr">
        <is>
          <t>KH004</t>
        </is>
      </c>
      <c r="C714" s="3" t="inlineStr">
        <is>
          <t>HCM-BIGSHOP</t>
        </is>
      </c>
      <c r="D714" s="2" t="inlineStr">
        <is>
          <t>HCM</t>
        </is>
      </c>
      <c r="E714" s="2" t="inlineStr">
        <is>
          <t>XUÂN TRANG</t>
        </is>
      </c>
      <c r="F714" s="2" t="inlineStr">
        <is>
          <t>Website bán hàng</t>
        </is>
      </c>
      <c r="G714" s="2" t="inlineStr">
        <is>
          <t>KC3-09</t>
        </is>
      </c>
      <c r="H714" s="3" t="inlineStr">
        <is>
          <t>Kìm cắt đa năng KC3-09</t>
        </is>
      </c>
      <c r="I714" s="4" t="n">
        <v>167000</v>
      </c>
      <c r="J714" s="4" t="n"/>
      <c r="K714" s="4">
        <f>IF(AND(ISNUMBER(J714),ISNUMBER(I714)),J714-I714,"")</f>
        <v/>
      </c>
      <c r="L714" s="5">
        <f>IF(AND(ISNUMBER(J714),ISNUMBER(I714),I714&gt;0),(J714-I714)/I714,"")</f>
        <v/>
      </c>
      <c r="M714" s="2">
        <f>IF(L714="","",IF(L714&lt;-0.05,"Bán phá giá",IF(L714&gt;0.05,"Bán cao hơn","Đúng giá niêm yết")))</f>
        <v/>
      </c>
      <c r="N714" s="2" t="n"/>
      <c r="O714" s="3" t="n"/>
      <c r="P714" s="3" t="n"/>
    </row>
    <row r="715">
      <c r="A715" s="2" t="n">
        <v>714</v>
      </c>
      <c r="B715" s="2" t="inlineStr">
        <is>
          <t>KH004</t>
        </is>
      </c>
      <c r="C715" s="3" t="inlineStr">
        <is>
          <t>HCM-BIGSHOP</t>
        </is>
      </c>
      <c r="D715" s="2" t="inlineStr">
        <is>
          <t>HCM</t>
        </is>
      </c>
      <c r="E715" s="2" t="inlineStr">
        <is>
          <t>XUÂN TRANG</t>
        </is>
      </c>
      <c r="F715" s="2" t="inlineStr">
        <is>
          <t>Website bán hàng</t>
        </is>
      </c>
      <c r="G715" s="2" t="inlineStr">
        <is>
          <t>KCL-350</t>
        </is>
      </c>
      <c r="H715" s="3" t="inlineStr">
        <is>
          <t>Kìm cộng lực KCL-350</t>
        </is>
      </c>
      <c r="I715" s="4" t="n">
        <v>230000</v>
      </c>
      <c r="J715" s="4" t="n"/>
      <c r="K715" s="4">
        <f>IF(AND(ISNUMBER(J715),ISNUMBER(I715)),J715-I715,"")</f>
        <v/>
      </c>
      <c r="L715" s="5">
        <f>IF(AND(ISNUMBER(J715),ISNUMBER(I715),I715&gt;0),(J715-I715)/I715,"")</f>
        <v/>
      </c>
      <c r="M715" s="2">
        <f>IF(L715="","",IF(L715&lt;-0.05,"Bán phá giá",IF(L715&gt;0.05,"Bán cao hơn","Đúng giá niêm yết")))</f>
        <v/>
      </c>
      <c r="N715" s="2" t="n"/>
      <c r="O715" s="3" t="n"/>
      <c r="P715" s="3" t="n"/>
    </row>
    <row r="716">
      <c r="A716" s="2" t="n">
        <v>715</v>
      </c>
      <c r="B716" s="2" t="inlineStr">
        <is>
          <t>KH004</t>
        </is>
      </c>
      <c r="C716" s="3" t="inlineStr">
        <is>
          <t>HCM-BIGSHOP</t>
        </is>
      </c>
      <c r="D716" s="2" t="inlineStr">
        <is>
          <t>HCM</t>
        </is>
      </c>
      <c r="E716" s="2" t="inlineStr">
        <is>
          <t>XUÂN TRANG</t>
        </is>
      </c>
      <c r="F716" s="2" t="inlineStr">
        <is>
          <t>Website bán hàng</t>
        </is>
      </c>
      <c r="G716" s="2" t="inlineStr">
        <is>
          <t>KBY2-030CO</t>
        </is>
      </c>
      <c r="H716" s="3" t="inlineStr">
        <is>
          <t>Khoan inox KingBlue KBY2-030CO</t>
        </is>
      </c>
      <c r="I716" s="4" t="n">
        <v>14000</v>
      </c>
      <c r="J716" s="4" t="n"/>
      <c r="K716" s="4">
        <f>IF(AND(ISNUMBER(J716),ISNUMBER(I716)),J716-I716,"")</f>
        <v/>
      </c>
      <c r="L716" s="5">
        <f>IF(AND(ISNUMBER(J716),ISNUMBER(I716),I716&gt;0),(J716-I716)/I716,"")</f>
        <v/>
      </c>
      <c r="M716" s="2">
        <f>IF(L716="","",IF(L716&lt;-0.05,"Bán phá giá",IF(L716&gt;0.05,"Bán cao hơn","Đúng giá niêm yết")))</f>
        <v/>
      </c>
      <c r="N716" s="2" t="n"/>
      <c r="O716" s="3" t="n"/>
      <c r="P716" s="3" t="n"/>
    </row>
    <row r="717">
      <c r="A717" s="2" t="n">
        <v>716</v>
      </c>
      <c r="B717" s="2" t="inlineStr">
        <is>
          <t>KH004</t>
        </is>
      </c>
      <c r="C717" s="3" t="inlineStr">
        <is>
          <t>HCM-BIGSHOP</t>
        </is>
      </c>
      <c r="D717" s="2" t="inlineStr">
        <is>
          <t>HCM</t>
        </is>
      </c>
      <c r="E717" s="2" t="inlineStr">
        <is>
          <t>XUÂN TRANG</t>
        </is>
      </c>
      <c r="F717" s="2" t="inlineStr">
        <is>
          <t>Website bán hàng</t>
        </is>
      </c>
      <c r="G717" s="2" t="inlineStr">
        <is>
          <t>KRLK-63*370</t>
        </is>
      </c>
      <c r="H717" s="3" t="inlineStr">
        <is>
          <t>Khoan rút lõi bê tông nước + khô KRLK-63*370</t>
        </is>
      </c>
      <c r="I717" s="4" t="n">
        <v>366000</v>
      </c>
      <c r="J717" s="4" t="n"/>
      <c r="K717" s="4">
        <f>IF(AND(ISNUMBER(J717),ISNUMBER(I717)),J717-I717,"")</f>
        <v/>
      </c>
      <c r="L717" s="5">
        <f>IF(AND(ISNUMBER(J717),ISNUMBER(I717),I717&gt;0),(J717-I717)/I717,"")</f>
        <v/>
      </c>
      <c r="M717" s="2">
        <f>IF(L717="","",IF(L717&lt;-0.05,"Bán phá giá",IF(L717&gt;0.05,"Bán cao hơn","Đúng giá niêm yết")))</f>
        <v/>
      </c>
      <c r="N717" s="2" t="n"/>
      <c r="O717" s="3" t="n"/>
      <c r="P717" s="3" t="n"/>
    </row>
    <row r="718">
      <c r="A718" s="2" t="n">
        <v>717</v>
      </c>
      <c r="B718" s="2" t="inlineStr">
        <is>
          <t>KH004</t>
        </is>
      </c>
      <c r="C718" s="3" t="inlineStr">
        <is>
          <t>HCM-BIGSHOP</t>
        </is>
      </c>
      <c r="D718" s="2" t="inlineStr">
        <is>
          <t>HCM</t>
        </is>
      </c>
      <c r="E718" s="2" t="inlineStr">
        <is>
          <t>XUÂN TRANG</t>
        </is>
      </c>
      <c r="F718" s="2" t="inlineStr">
        <is>
          <t>Website bán hàng</t>
        </is>
      </c>
      <c r="G718" s="2" t="inlineStr">
        <is>
          <t>KRL-22*370</t>
        </is>
      </c>
      <c r="H718" s="3" t="inlineStr">
        <is>
          <t>Khoan rút lõi bê tông nước KRL-22*370</t>
        </is>
      </c>
      <c r="I718" s="4" t="n">
        <v>161000</v>
      </c>
      <c r="J718" s="4" t="n"/>
      <c r="K718" s="4">
        <f>IF(AND(ISNUMBER(J718),ISNUMBER(I718)),J718-I718,"")</f>
        <v/>
      </c>
      <c r="L718" s="5">
        <f>IF(AND(ISNUMBER(J718),ISNUMBER(I718),I718&gt;0),(J718-I718)/I718,"")</f>
        <v/>
      </c>
      <c r="M718" s="2">
        <f>IF(L718="","",IF(L718&lt;-0.05,"Bán phá giá",IF(L718&gt;0.05,"Bán cao hơn","Đúng giá niêm yết")))</f>
        <v/>
      </c>
      <c r="N718" s="2" t="n"/>
      <c r="O718" s="3" t="n"/>
      <c r="P718" s="3" t="n"/>
    </row>
    <row r="719">
      <c r="A719" s="2" t="n">
        <v>718</v>
      </c>
      <c r="B719" s="2" t="inlineStr">
        <is>
          <t>KH004</t>
        </is>
      </c>
      <c r="C719" s="3" t="inlineStr">
        <is>
          <t>HCM-BIGSHOP</t>
        </is>
      </c>
      <c r="D719" s="2" t="inlineStr">
        <is>
          <t>HCM</t>
        </is>
      </c>
      <c r="E719" s="2" t="inlineStr">
        <is>
          <t>XUÂN TRANG</t>
        </is>
      </c>
      <c r="F719" s="2" t="inlineStr">
        <is>
          <t>Website bán hàng</t>
        </is>
      </c>
      <c r="G719" s="2" t="inlineStr">
        <is>
          <t>KRL-51*370</t>
        </is>
      </c>
      <c r="H719" s="3" t="inlineStr">
        <is>
          <t>Khoan rút lõi bê tông nước KRL-51*370</t>
        </is>
      </c>
      <c r="I719" s="4" t="n">
        <v>282000</v>
      </c>
      <c r="J719" s="4" t="n"/>
      <c r="K719" s="4">
        <f>IF(AND(ISNUMBER(J719),ISNUMBER(I719)),J719-I719,"")</f>
        <v/>
      </c>
      <c r="L719" s="5">
        <f>IF(AND(ISNUMBER(J719),ISNUMBER(I719),I719&gt;0),(J719-I719)/I719,"")</f>
        <v/>
      </c>
      <c r="M719" s="2">
        <f>IF(L719="","",IF(L719&lt;-0.05,"Bán phá giá",IF(L719&gt;0.05,"Bán cao hơn","Đúng giá niêm yết")))</f>
        <v/>
      </c>
      <c r="N719" s="2" t="n"/>
      <c r="O719" s="3" t="n"/>
      <c r="P719" s="3" t="n"/>
    </row>
    <row r="720">
      <c r="A720" s="2" t="n">
        <v>719</v>
      </c>
      <c r="B720" s="2" t="inlineStr">
        <is>
          <t>KH004</t>
        </is>
      </c>
      <c r="C720" s="3" t="inlineStr">
        <is>
          <t>HCM-BIGSHOP</t>
        </is>
      </c>
      <c r="D720" s="2" t="inlineStr">
        <is>
          <t>HCM</t>
        </is>
      </c>
      <c r="E720" s="2" t="inlineStr">
        <is>
          <t>XUÂN TRANG</t>
        </is>
      </c>
      <c r="F720" s="2" t="inlineStr">
        <is>
          <t>Website bán hàng</t>
        </is>
      </c>
      <c r="G720" s="2" t="inlineStr">
        <is>
          <t>KRL-76*370</t>
        </is>
      </c>
      <c r="H720" s="3" t="inlineStr">
        <is>
          <t>Khoan rút lõi bê tông nước KRL-76*370</t>
        </is>
      </c>
      <c r="I720" s="4" t="n">
        <v>391000</v>
      </c>
      <c r="J720" s="4" t="n"/>
      <c r="K720" s="4">
        <f>IF(AND(ISNUMBER(J720),ISNUMBER(I720)),J720-I720,"")</f>
        <v/>
      </c>
      <c r="L720" s="5">
        <f>IF(AND(ISNUMBER(J720),ISNUMBER(I720),I720&gt;0),(J720-I720)/I720,"")</f>
        <v/>
      </c>
      <c r="M720" s="2">
        <f>IF(L720="","",IF(L720&lt;-0.05,"Bán phá giá",IF(L720&gt;0.05,"Bán cao hơn","Đúng giá niêm yết")))</f>
        <v/>
      </c>
      <c r="N720" s="2" t="n"/>
      <c r="O720" s="3" t="n"/>
      <c r="P720" s="3" t="n"/>
    </row>
    <row r="721">
      <c r="A721" s="2" t="n">
        <v>720</v>
      </c>
      <c r="B721" s="2" t="inlineStr">
        <is>
          <t>KH004</t>
        </is>
      </c>
      <c r="C721" s="3" t="inlineStr">
        <is>
          <t>HCM-BIGSHOP</t>
        </is>
      </c>
      <c r="D721" s="2" t="inlineStr">
        <is>
          <t>HCM</t>
        </is>
      </c>
      <c r="E721" s="2" t="inlineStr">
        <is>
          <t>XUÂN TRANG</t>
        </is>
      </c>
      <c r="F721" s="2" t="inlineStr">
        <is>
          <t>Website bán hàng</t>
        </is>
      </c>
      <c r="G721" s="2" t="inlineStr">
        <is>
          <t>TS-180R</t>
        </is>
      </c>
      <c r="H721" s="3" t="inlineStr">
        <is>
          <t>Lưỡi cắt KingBlue TS-180R</t>
        </is>
      </c>
      <c r="I721" s="4" t="n">
        <v>146000</v>
      </c>
      <c r="J721" s="4" t="n"/>
      <c r="K721" s="4">
        <f>IF(AND(ISNUMBER(J721),ISNUMBER(I721)),J721-I721,"")</f>
        <v/>
      </c>
      <c r="L721" s="5">
        <f>IF(AND(ISNUMBER(J721),ISNUMBER(I721),I721&gt;0),(J721-I721)/I721,"")</f>
        <v/>
      </c>
      <c r="M721" s="2">
        <f>IF(L721="","",IF(L721&lt;-0.05,"Bán phá giá",IF(L721&gt;0.05,"Bán cao hơn","Đúng giá niêm yết")))</f>
        <v/>
      </c>
      <c r="N721" s="2" t="n"/>
      <c r="O721" s="3" t="n"/>
      <c r="P721" s="3" t="n"/>
    </row>
    <row r="722">
      <c r="A722" s="2" t="n">
        <v>721</v>
      </c>
      <c r="B722" s="2" t="inlineStr">
        <is>
          <t>KH004</t>
        </is>
      </c>
      <c r="C722" s="3" t="inlineStr">
        <is>
          <t>HCM-BIGSHOP</t>
        </is>
      </c>
      <c r="D722" s="2" t="inlineStr">
        <is>
          <t>HCM</t>
        </is>
      </c>
      <c r="E722" s="2" t="inlineStr">
        <is>
          <t>XUÂN TRANG</t>
        </is>
      </c>
      <c r="F722" s="2" t="inlineStr">
        <is>
          <t>Website bán hàng</t>
        </is>
      </c>
      <c r="G722" s="2" t="inlineStr">
        <is>
          <t>KB-05XS</t>
        </is>
      </c>
      <c r="H722" s="3" t="inlineStr">
        <is>
          <t>Máy cân bằng KB-05XS</t>
        </is>
      </c>
      <c r="I722" s="4" t="n">
        <v>2160000</v>
      </c>
      <c r="J722" s="4" t="n"/>
      <c r="K722" s="4">
        <f>IF(AND(ISNUMBER(J722),ISNUMBER(I722)),J722-I722,"")</f>
        <v/>
      </c>
      <c r="L722" s="5">
        <f>IF(AND(ISNUMBER(J722),ISNUMBER(I722),I722&gt;0),(J722-I722)/I722,"")</f>
        <v/>
      </c>
      <c r="M722" s="2">
        <f>IF(L722="","",IF(L722&lt;-0.05,"Bán phá giá",IF(L722&gt;0.05,"Bán cao hơn","Đúng giá niêm yết")))</f>
        <v/>
      </c>
      <c r="N722" s="2" t="n"/>
      <c r="O722" s="3" t="n"/>
      <c r="P722" s="3" t="n"/>
    </row>
    <row r="723">
      <c r="A723" s="2" t="n">
        <v>722</v>
      </c>
      <c r="B723" s="2" t="inlineStr">
        <is>
          <t>KH004</t>
        </is>
      </c>
      <c r="C723" s="3" t="inlineStr">
        <is>
          <t>HCM-BIGSHOP</t>
        </is>
      </c>
      <c r="D723" s="2" t="inlineStr">
        <is>
          <t>HCM</t>
        </is>
      </c>
      <c r="E723" s="2" t="inlineStr">
        <is>
          <t>XUÂN TRANG</t>
        </is>
      </c>
      <c r="F723" s="2" t="inlineStr">
        <is>
          <t>Website bán hàng</t>
        </is>
      </c>
      <c r="G723" s="2" t="inlineStr">
        <is>
          <t>KBA-UL1200</t>
        </is>
      </c>
      <c r="H723" s="3" t="inlineStr">
        <is>
          <t>Máy rửa xe áp lực cao KBA-UL1200</t>
        </is>
      </c>
      <c r="I723" s="4" t="n"/>
      <c r="J723" s="4" t="n"/>
      <c r="K723" s="4">
        <f>IF(AND(ISNUMBER(J723),ISNUMBER(I723)),J723-I723,"")</f>
        <v/>
      </c>
      <c r="L723" s="5">
        <f>IF(AND(ISNUMBER(J723),ISNUMBER(I723),I723&gt;0),(J723-I723)/I723,"")</f>
        <v/>
      </c>
      <c r="M723" s="2">
        <f>IF(L723="","",IF(L723&lt;-0.05,"Bán phá giá",IF(L723&gt;0.05,"Bán cao hơn","Đúng giá niêm yết")))</f>
        <v/>
      </c>
      <c r="N723" s="2" t="n"/>
      <c r="O723" s="3" t="n"/>
      <c r="P723" s="3" t="n"/>
    </row>
    <row r="724">
      <c r="A724" s="2" t="n">
        <v>723</v>
      </c>
      <c r="B724" s="2" t="inlineStr">
        <is>
          <t>KH004</t>
        </is>
      </c>
      <c r="C724" s="3" t="inlineStr">
        <is>
          <t>HCM-BIGSHOP</t>
        </is>
      </c>
      <c r="D724" s="2" t="inlineStr">
        <is>
          <t>HCM</t>
        </is>
      </c>
      <c r="E724" s="2" t="inlineStr">
        <is>
          <t>XUÂN TRANG</t>
        </is>
      </c>
      <c r="F724" s="2" t="inlineStr">
        <is>
          <t>Website bán hàng</t>
        </is>
      </c>
      <c r="G724" s="2" t="inlineStr">
        <is>
          <t>KBA-I1500</t>
        </is>
      </c>
      <c r="H724" s="3" t="inlineStr">
        <is>
          <t>Máy rửa xe KBA-I1500</t>
        </is>
      </c>
      <c r="I724" s="4" t="n">
        <v>1980000</v>
      </c>
      <c r="J724" s="4" t="n"/>
      <c r="K724" s="4">
        <f>IF(AND(ISNUMBER(J724),ISNUMBER(I724)),J724-I724,"")</f>
        <v/>
      </c>
      <c r="L724" s="5">
        <f>IF(AND(ISNUMBER(J724),ISNUMBER(I724),I724&gt;0),(J724-I724)/I724,"")</f>
        <v/>
      </c>
      <c r="M724" s="2">
        <f>IF(L724="","",IF(L724&lt;-0.05,"Bán phá giá",IF(L724&gt;0.05,"Bán cao hơn","Đúng giá niêm yết")))</f>
        <v/>
      </c>
      <c r="N724" s="2" t="n"/>
      <c r="O724" s="3" t="n"/>
      <c r="P724" s="3" t="n"/>
    </row>
    <row r="725">
      <c r="A725" s="2" t="n">
        <v>724</v>
      </c>
      <c r="B725" s="2" t="inlineStr">
        <is>
          <t>KH004</t>
        </is>
      </c>
      <c r="C725" s="3" t="inlineStr">
        <is>
          <t>HCM-BIGSHOP</t>
        </is>
      </c>
      <c r="D725" s="2" t="inlineStr">
        <is>
          <t>HCM</t>
        </is>
      </c>
      <c r="E725" s="2" t="inlineStr">
        <is>
          <t>XUÂN TRANG</t>
        </is>
      </c>
      <c r="F725" s="2" t="inlineStr">
        <is>
          <t>Website bán hàng</t>
        </is>
      </c>
      <c r="G725" s="2" t="inlineStr">
        <is>
          <t>V50S</t>
        </is>
      </c>
      <c r="H725" s="3" t="inlineStr">
        <is>
          <t>Mũi bắn vít PH2 V50S</t>
        </is>
      </c>
      <c r="I725" s="4" t="n">
        <v>28000</v>
      </c>
      <c r="J725" s="4" t="n"/>
      <c r="K725" s="4">
        <f>IF(AND(ISNUMBER(J725),ISNUMBER(I725)),J725-I725,"")</f>
        <v/>
      </c>
      <c r="L725" s="5">
        <f>IF(AND(ISNUMBER(J725),ISNUMBER(I725),I725&gt;0),(J725-I725)/I725,"")</f>
        <v/>
      </c>
      <c r="M725" s="2">
        <f>IF(L725="","",IF(L725&lt;-0.05,"Bán phá giá",IF(L725&gt;0.05,"Bán cao hơn","Đúng giá niêm yết")))</f>
        <v/>
      </c>
      <c r="N725" s="2" t="n"/>
      <c r="O725" s="3" t="n"/>
      <c r="P725" s="3" t="n"/>
    </row>
    <row r="726">
      <c r="A726" s="2" t="n">
        <v>725</v>
      </c>
      <c r="B726" s="2" t="inlineStr">
        <is>
          <t>KH004</t>
        </is>
      </c>
      <c r="C726" s="3" t="inlineStr">
        <is>
          <t>HCM-BIGSHOP</t>
        </is>
      </c>
      <c r="D726" s="2" t="inlineStr">
        <is>
          <t>HCM</t>
        </is>
      </c>
      <c r="E726" s="2" t="inlineStr">
        <is>
          <t>XUÂN TRANG</t>
        </is>
      </c>
      <c r="F726" s="2" t="inlineStr">
        <is>
          <t>Website bán hàng</t>
        </is>
      </c>
      <c r="G726" s="2" t="inlineStr"/>
      <c r="H726" s="3" t="inlineStr">
        <is>
          <t>Mũi định tâm chuôi dài</t>
        </is>
      </c>
      <c r="I726" s="4" t="n">
        <v>100000</v>
      </c>
      <c r="J726" s="4" t="n"/>
      <c r="K726" s="4">
        <f>IF(AND(ISNUMBER(J726),ISNUMBER(I726)),J726-I726,"")</f>
        <v/>
      </c>
      <c r="L726" s="5">
        <f>IF(AND(ISNUMBER(J726),ISNUMBER(I726),I726&gt;0),(J726-I726)/I726,"")</f>
        <v/>
      </c>
      <c r="M726" s="2">
        <f>IF(L726="","",IF(L726&lt;-0.05,"Bán phá giá",IF(L726&gt;0.05,"Bán cao hơn","Đúng giá niêm yết")))</f>
        <v/>
      </c>
      <c r="N726" s="2" t="n"/>
      <c r="O726" s="3" t="n"/>
      <c r="P726" s="3" t="n"/>
    </row>
    <row r="727">
      <c r="A727" s="2" t="n">
        <v>726</v>
      </c>
      <c r="B727" s="2" t="inlineStr">
        <is>
          <t>KH004</t>
        </is>
      </c>
      <c r="C727" s="3" t="inlineStr">
        <is>
          <t>HCM-BIGSHOP</t>
        </is>
      </c>
      <c r="D727" s="2" t="inlineStr">
        <is>
          <t>HCM</t>
        </is>
      </c>
      <c r="E727" s="2" t="inlineStr">
        <is>
          <t>XUÂN TRANG</t>
        </is>
      </c>
      <c r="F727" s="2" t="inlineStr">
        <is>
          <t>Website bán hàng</t>
        </is>
      </c>
      <c r="G727" s="2" t="inlineStr"/>
      <c r="H727" s="3" t="inlineStr">
        <is>
          <t>Mũi đục bê tông KBVd-14*250*22</t>
        </is>
      </c>
      <c r="I727" s="4" t="n">
        <v>63000</v>
      </c>
      <c r="J727" s="4" t="n"/>
      <c r="K727" s="4">
        <f>IF(AND(ISNUMBER(J727),ISNUMBER(I727)),J727-I727,"")</f>
        <v/>
      </c>
      <c r="L727" s="5">
        <f>IF(AND(ISNUMBER(J727),ISNUMBER(I727),I727&gt;0),(J727-I727)/I727,"")</f>
        <v/>
      </c>
      <c r="M727" s="2">
        <f>IF(L727="","",IF(L727&lt;-0.05,"Bán phá giá",IF(L727&gt;0.05,"Bán cao hơn","Đúng giá niêm yết")))</f>
        <v/>
      </c>
      <c r="N727" s="2" t="n"/>
      <c r="O727" s="3" t="n"/>
      <c r="P727" s="3" t="n"/>
    </row>
    <row r="728">
      <c r="A728" s="2" t="n">
        <v>727</v>
      </c>
      <c r="B728" s="2" t="inlineStr">
        <is>
          <t>KH004</t>
        </is>
      </c>
      <c r="C728" s="3" t="inlineStr">
        <is>
          <t>HCM-BIGSHOP</t>
        </is>
      </c>
      <c r="D728" s="2" t="inlineStr">
        <is>
          <t>HCM</t>
        </is>
      </c>
      <c r="E728" s="2" t="inlineStr">
        <is>
          <t>XUÂN TRANG</t>
        </is>
      </c>
      <c r="F728" s="2" t="inlineStr">
        <is>
          <t>Website bán hàng</t>
        </is>
      </c>
      <c r="G728" s="2" t="inlineStr"/>
      <c r="H728" s="3" t="inlineStr">
        <is>
          <t>Mũi đục bê tông KBVd-17*280*25</t>
        </is>
      </c>
      <c r="I728" s="4" t="n">
        <v>82000</v>
      </c>
      <c r="J728" s="4" t="n"/>
      <c r="K728" s="4">
        <f>IF(AND(ISNUMBER(J728),ISNUMBER(I728)),J728-I728,"")</f>
        <v/>
      </c>
      <c r="L728" s="5">
        <f>IF(AND(ISNUMBER(J728),ISNUMBER(I728),I728&gt;0),(J728-I728)/I728,"")</f>
        <v/>
      </c>
      <c r="M728" s="2">
        <f>IF(L728="","",IF(L728&lt;-0.05,"Bán phá giá",IF(L728&gt;0.05,"Bán cao hơn","Đúng giá niêm yết")))</f>
        <v/>
      </c>
      <c r="N728" s="2" t="n"/>
      <c r="O728" s="3" t="n"/>
      <c r="P728" s="3" t="n"/>
    </row>
    <row r="729">
      <c r="A729" s="2" t="n">
        <v>728</v>
      </c>
      <c r="B729" s="2" t="inlineStr">
        <is>
          <t>KH004</t>
        </is>
      </c>
      <c r="C729" s="3" t="inlineStr">
        <is>
          <t>HCM-BIGSHOP</t>
        </is>
      </c>
      <c r="D729" s="2" t="inlineStr">
        <is>
          <t>HCM</t>
        </is>
      </c>
      <c r="E729" s="2" t="inlineStr">
        <is>
          <t>XUÂN TRANG</t>
        </is>
      </c>
      <c r="F729" s="2" t="inlineStr">
        <is>
          <t>Website bán hàng</t>
        </is>
      </c>
      <c r="G729" s="2" t="inlineStr"/>
      <c r="H729" s="3" t="inlineStr">
        <is>
          <t>Mũi đục bê tông KBVn-14*250</t>
        </is>
      </c>
      <c r="I729" s="4" t="n">
        <v>63000</v>
      </c>
      <c r="J729" s="4" t="n"/>
      <c r="K729" s="4">
        <f>IF(AND(ISNUMBER(J729),ISNUMBER(I729)),J729-I729,"")</f>
        <v/>
      </c>
      <c r="L729" s="5">
        <f>IF(AND(ISNUMBER(J729),ISNUMBER(I729),I729&gt;0),(J729-I729)/I729,"")</f>
        <v/>
      </c>
      <c r="M729" s="2">
        <f>IF(L729="","",IF(L729&lt;-0.05,"Bán phá giá",IF(L729&gt;0.05,"Bán cao hơn","Đúng giá niêm yết")))</f>
        <v/>
      </c>
      <c r="N729" s="2" t="n"/>
      <c r="O729" s="3" t="n"/>
      <c r="P729" s="3" t="n"/>
    </row>
    <row r="730">
      <c r="A730" s="2" t="n">
        <v>729</v>
      </c>
      <c r="B730" s="2" t="inlineStr">
        <is>
          <t>KH004</t>
        </is>
      </c>
      <c r="C730" s="3" t="inlineStr">
        <is>
          <t>HCM-BIGSHOP</t>
        </is>
      </c>
      <c r="D730" s="2" t="inlineStr">
        <is>
          <t>HCM</t>
        </is>
      </c>
      <c r="E730" s="2" t="inlineStr">
        <is>
          <t>XUÂN TRANG</t>
        </is>
      </c>
      <c r="F730" s="2" t="inlineStr">
        <is>
          <t>Website bán hàng</t>
        </is>
      </c>
      <c r="G730" s="2" t="inlineStr"/>
      <c r="H730" s="3" t="inlineStr">
        <is>
          <t>Mũi đục bê tông KBVn-17*280</t>
        </is>
      </c>
      <c r="I730" s="4" t="n">
        <v>82000</v>
      </c>
      <c r="J730" s="4" t="n"/>
      <c r="K730" s="4">
        <f>IF(AND(ISNUMBER(J730),ISNUMBER(I730)),J730-I730,"")</f>
        <v/>
      </c>
      <c r="L730" s="5">
        <f>IF(AND(ISNUMBER(J730),ISNUMBER(I730),I730&gt;0),(J730-I730)/I730,"")</f>
        <v/>
      </c>
      <c r="M730" s="2">
        <f>IF(L730="","",IF(L730&lt;-0.05,"Bán phá giá",IF(L730&gt;0.05,"Bán cao hơn","Đúng giá niêm yết")))</f>
        <v/>
      </c>
      <c r="N730" s="2" t="n"/>
      <c r="O730" s="3" t="n"/>
      <c r="P730" s="3" t="n"/>
    </row>
    <row r="731">
      <c r="A731" s="2" t="n">
        <v>730</v>
      </c>
      <c r="B731" s="2" t="inlineStr">
        <is>
          <t>KH004</t>
        </is>
      </c>
      <c r="C731" s="3" t="inlineStr">
        <is>
          <t>HCM-BIGSHOP</t>
        </is>
      </c>
      <c r="D731" s="2" t="inlineStr">
        <is>
          <t>HCM</t>
        </is>
      </c>
      <c r="E731" s="2" t="inlineStr">
        <is>
          <t>XUÂN TRANG</t>
        </is>
      </c>
      <c r="F731" s="2" t="inlineStr">
        <is>
          <t>Website bán hàng</t>
        </is>
      </c>
      <c r="G731" s="2" t="inlineStr">
        <is>
          <t>KBL4-06*160</t>
        </is>
      </c>
      <c r="H731" s="3" t="inlineStr">
        <is>
          <t>Mũi khoan bê tông 4 cạnh KBL4-06*160</t>
        </is>
      </c>
      <c r="I731" s="4" t="n">
        <v>31000</v>
      </c>
      <c r="J731" s="4" t="n"/>
      <c r="K731" s="4">
        <f>IF(AND(ISNUMBER(J731),ISNUMBER(I731)),J731-I731,"")</f>
        <v/>
      </c>
      <c r="L731" s="5">
        <f>IF(AND(ISNUMBER(J731),ISNUMBER(I731),I731&gt;0),(J731-I731)/I731,"")</f>
        <v/>
      </c>
      <c r="M731" s="2">
        <f>IF(L731="","",IF(L731&lt;-0.05,"Bán phá giá",IF(L731&gt;0.05,"Bán cao hơn","Đúng giá niêm yết")))</f>
        <v/>
      </c>
      <c r="N731" s="2" t="n"/>
      <c r="O731" s="3" t="n"/>
      <c r="P731" s="3" t="n"/>
    </row>
    <row r="732">
      <c r="A732" s="2" t="n">
        <v>731</v>
      </c>
      <c r="B732" s="2" t="inlineStr">
        <is>
          <t>KH004</t>
        </is>
      </c>
      <c r="C732" s="3" t="inlineStr">
        <is>
          <t>HCM-BIGSHOP</t>
        </is>
      </c>
      <c r="D732" s="2" t="inlineStr">
        <is>
          <t>HCM</t>
        </is>
      </c>
      <c r="E732" s="2" t="inlineStr">
        <is>
          <t>XUÂN TRANG</t>
        </is>
      </c>
      <c r="F732" s="2" t="inlineStr">
        <is>
          <t>Website bán hàng</t>
        </is>
      </c>
      <c r="G732" s="2" t="inlineStr">
        <is>
          <t>KBL4-08*160</t>
        </is>
      </c>
      <c r="H732" s="3" t="inlineStr">
        <is>
          <t>Mũi khoan bê tông 4 cạnh KBL4-08*160</t>
        </is>
      </c>
      <c r="I732" s="4" t="n">
        <v>35000</v>
      </c>
      <c r="J732" s="4" t="n"/>
      <c r="K732" s="4">
        <f>IF(AND(ISNUMBER(J732),ISNUMBER(I732)),J732-I732,"")</f>
        <v/>
      </c>
      <c r="L732" s="5">
        <f>IF(AND(ISNUMBER(J732),ISNUMBER(I732),I732&gt;0),(J732-I732)/I732,"")</f>
        <v/>
      </c>
      <c r="M732" s="2">
        <f>IF(L732="","",IF(L732&lt;-0.05,"Bán phá giá",IF(L732&gt;0.05,"Bán cao hơn","Đúng giá niêm yết")))</f>
        <v/>
      </c>
      <c r="N732" s="2" t="n"/>
      <c r="O732" s="3" t="n"/>
      <c r="P732" s="3" t="n"/>
    </row>
    <row r="733">
      <c r="A733" s="2" t="n">
        <v>732</v>
      </c>
      <c r="B733" s="2" t="inlineStr">
        <is>
          <t>KH004</t>
        </is>
      </c>
      <c r="C733" s="3" t="inlineStr">
        <is>
          <t>HCM-BIGSHOP</t>
        </is>
      </c>
      <c r="D733" s="2" t="inlineStr">
        <is>
          <t>HCM</t>
        </is>
      </c>
      <c r="E733" s="2" t="inlineStr">
        <is>
          <t>XUÂN TRANG</t>
        </is>
      </c>
      <c r="F733" s="2" t="inlineStr">
        <is>
          <t>Website bán hàng</t>
        </is>
      </c>
      <c r="G733" s="2" t="inlineStr">
        <is>
          <t>KBL4-10*160</t>
        </is>
      </c>
      <c r="H733" s="3" t="inlineStr">
        <is>
          <t>Mũi khoan bê tông 4 cạnh KBL4-10*160</t>
        </is>
      </c>
      <c r="I733" s="4" t="n">
        <v>39000</v>
      </c>
      <c r="J733" s="4" t="n"/>
      <c r="K733" s="4">
        <f>IF(AND(ISNUMBER(J733),ISNUMBER(I733)),J733-I733,"")</f>
        <v/>
      </c>
      <c r="L733" s="5">
        <f>IF(AND(ISNUMBER(J733),ISNUMBER(I733),I733&gt;0),(J733-I733)/I733,"")</f>
        <v/>
      </c>
      <c r="M733" s="2">
        <f>IF(L733="","",IF(L733&lt;-0.05,"Bán phá giá",IF(L733&gt;0.05,"Bán cao hơn","Đúng giá niêm yết")))</f>
        <v/>
      </c>
      <c r="N733" s="2" t="n"/>
      <c r="O733" s="3" t="n"/>
      <c r="P733" s="3" t="n"/>
    </row>
    <row r="734">
      <c r="A734" s="2" t="n">
        <v>733</v>
      </c>
      <c r="B734" s="2" t="inlineStr">
        <is>
          <t>KH004</t>
        </is>
      </c>
      <c r="C734" s="3" t="inlineStr">
        <is>
          <t>HCM-BIGSHOP</t>
        </is>
      </c>
      <c r="D734" s="2" t="inlineStr">
        <is>
          <t>HCM</t>
        </is>
      </c>
      <c r="E734" s="2" t="inlineStr">
        <is>
          <t>XUÂN TRANG</t>
        </is>
      </c>
      <c r="F734" s="2" t="inlineStr">
        <is>
          <t>Website bán hàng</t>
        </is>
      </c>
      <c r="G734" s="2" t="inlineStr">
        <is>
          <t>KBL4-12*160</t>
        </is>
      </c>
      <c r="H734" s="3" t="inlineStr">
        <is>
          <t>Mũi khoan bê tông 4 cạnh KBL4-12*160</t>
        </is>
      </c>
      <c r="I734" s="4" t="n">
        <v>43000</v>
      </c>
      <c r="J734" s="4" t="n"/>
      <c r="K734" s="4">
        <f>IF(AND(ISNUMBER(J734),ISNUMBER(I734)),J734-I734,"")</f>
        <v/>
      </c>
      <c r="L734" s="5">
        <f>IF(AND(ISNUMBER(J734),ISNUMBER(I734),I734&gt;0),(J734-I734)/I734,"")</f>
        <v/>
      </c>
      <c r="M734" s="2">
        <f>IF(L734="","",IF(L734&lt;-0.05,"Bán phá giá",IF(L734&gt;0.05,"Bán cao hơn","Đúng giá niêm yết")))</f>
        <v/>
      </c>
      <c r="N734" s="2" t="n"/>
      <c r="O734" s="3" t="n"/>
      <c r="P734" s="3" t="n"/>
    </row>
    <row r="735">
      <c r="A735" s="2" t="n">
        <v>734</v>
      </c>
      <c r="B735" s="2" t="inlineStr">
        <is>
          <t>KH004</t>
        </is>
      </c>
      <c r="C735" s="3" t="inlineStr">
        <is>
          <t>HCM-BIGSHOP</t>
        </is>
      </c>
      <c r="D735" s="2" t="inlineStr">
        <is>
          <t>HCM</t>
        </is>
      </c>
      <c r="E735" s="2" t="inlineStr">
        <is>
          <t>XUÂN TRANG</t>
        </is>
      </c>
      <c r="F735" s="2" t="inlineStr">
        <is>
          <t>Website bán hàng</t>
        </is>
      </c>
      <c r="G735" s="2" t="inlineStr">
        <is>
          <t>KBL2-08*110</t>
        </is>
      </c>
      <c r="H735" s="3" t="inlineStr">
        <is>
          <t>Mũi khoan bê tông gài 2 cạnh KBL2-08*110</t>
        </is>
      </c>
      <c r="I735" s="4" t="n">
        <v>27500</v>
      </c>
      <c r="J735" s="4" t="n"/>
      <c r="K735" s="4">
        <f>IF(AND(ISNUMBER(J735),ISNUMBER(I735)),J735-I735,"")</f>
        <v/>
      </c>
      <c r="L735" s="5">
        <f>IF(AND(ISNUMBER(J735),ISNUMBER(I735),I735&gt;0),(J735-I735)/I735,"")</f>
        <v/>
      </c>
      <c r="M735" s="2">
        <f>IF(L735="","",IF(L735&lt;-0.05,"Bán phá giá",IF(L735&gt;0.05,"Bán cao hơn","Đúng giá niêm yết")))</f>
        <v/>
      </c>
      <c r="N735" s="2" t="n"/>
      <c r="O735" s="3" t="n"/>
      <c r="P735" s="3" t="n"/>
    </row>
    <row r="736">
      <c r="A736" s="2" t="n">
        <v>735</v>
      </c>
      <c r="B736" s="2" t="inlineStr">
        <is>
          <t>KH004</t>
        </is>
      </c>
      <c r="C736" s="3" t="inlineStr">
        <is>
          <t>HCM-BIGSHOP</t>
        </is>
      </c>
      <c r="D736" s="2" t="inlineStr">
        <is>
          <t>HCM</t>
        </is>
      </c>
      <c r="E736" s="2" t="inlineStr">
        <is>
          <t>XUÂN TRANG</t>
        </is>
      </c>
      <c r="F736" s="2" t="inlineStr">
        <is>
          <t>Website bán hàng</t>
        </is>
      </c>
      <c r="G736" s="2" t="inlineStr">
        <is>
          <t>KBL2-08*160</t>
        </is>
      </c>
      <c r="H736" s="3" t="inlineStr">
        <is>
          <t>Mũi khoan bê tông gài 2 cạnh KBL2-08*160</t>
        </is>
      </c>
      <c r="I736" s="4" t="n">
        <v>29000</v>
      </c>
      <c r="J736" s="4" t="n"/>
      <c r="K736" s="4">
        <f>IF(AND(ISNUMBER(J736),ISNUMBER(I736)),J736-I736,"")</f>
        <v/>
      </c>
      <c r="L736" s="5">
        <f>IF(AND(ISNUMBER(J736),ISNUMBER(I736),I736&gt;0),(J736-I736)/I736,"")</f>
        <v/>
      </c>
      <c r="M736" s="2">
        <f>IF(L736="","",IF(L736&lt;-0.05,"Bán phá giá",IF(L736&gt;0.05,"Bán cao hơn","Đúng giá niêm yết")))</f>
        <v/>
      </c>
      <c r="N736" s="2" t="n"/>
      <c r="O736" s="3" t="n"/>
      <c r="P736" s="3" t="n"/>
    </row>
    <row r="737">
      <c r="A737" s="2" t="n">
        <v>736</v>
      </c>
      <c r="B737" s="2" t="inlineStr">
        <is>
          <t>KH004</t>
        </is>
      </c>
      <c r="C737" s="3" t="inlineStr">
        <is>
          <t>HCM-BIGSHOP</t>
        </is>
      </c>
      <c r="D737" s="2" t="inlineStr">
        <is>
          <t>HCM</t>
        </is>
      </c>
      <c r="E737" s="2" t="inlineStr">
        <is>
          <t>XUÂN TRANG</t>
        </is>
      </c>
      <c r="F737" s="2" t="inlineStr">
        <is>
          <t>Website bán hàng</t>
        </is>
      </c>
      <c r="G737" s="2" t="inlineStr">
        <is>
          <t>KBL2-12*310</t>
        </is>
      </c>
      <c r="H737" s="3" t="inlineStr">
        <is>
          <t>Mũi khoan bê tông gài xuyên tường 2 cạnh KBL2-12*310</t>
        </is>
      </c>
      <c r="I737" s="4" t="n">
        <v>57000</v>
      </c>
      <c r="J737" s="4" t="n"/>
      <c r="K737" s="4">
        <f>IF(AND(ISNUMBER(J737),ISNUMBER(I737)),J737-I737,"")</f>
        <v/>
      </c>
      <c r="L737" s="5">
        <f>IF(AND(ISNUMBER(J737),ISNUMBER(I737),I737&gt;0),(J737-I737)/I737,"")</f>
        <v/>
      </c>
      <c r="M737" s="2">
        <f>IF(L737="","",IF(L737&lt;-0.05,"Bán phá giá",IF(L737&gt;0.05,"Bán cao hơn","Đúng giá niêm yết")))</f>
        <v/>
      </c>
      <c r="N737" s="2" t="n"/>
      <c r="O737" s="3" t="n"/>
      <c r="P737" s="3" t="n"/>
    </row>
    <row r="738">
      <c r="A738" s="2" t="n">
        <v>737</v>
      </c>
      <c r="B738" s="2" t="inlineStr">
        <is>
          <t>KH004</t>
        </is>
      </c>
      <c r="C738" s="3" t="inlineStr">
        <is>
          <t>HCM-BIGSHOP</t>
        </is>
      </c>
      <c r="D738" s="2" t="inlineStr">
        <is>
          <t>HCM</t>
        </is>
      </c>
      <c r="E738" s="2" t="inlineStr">
        <is>
          <t>XUÂN TRANG</t>
        </is>
      </c>
      <c r="F738" s="2" t="inlineStr">
        <is>
          <t>Website bán hàng</t>
        </is>
      </c>
      <c r="G738" s="2" t="inlineStr">
        <is>
          <t>KBH4S-08*117</t>
        </is>
      </c>
      <c r="H738" s="3" t="inlineStr">
        <is>
          <t>Mũi khoan ĐN lục giác 4 cạnh KBH4S-08*117</t>
        </is>
      </c>
      <c r="I738" s="4" t="n">
        <v>41000</v>
      </c>
      <c r="J738" s="4" t="n"/>
      <c r="K738" s="4">
        <f>IF(AND(ISNUMBER(J738),ISNUMBER(I738)),J738-I738,"")</f>
        <v/>
      </c>
      <c r="L738" s="5">
        <f>IF(AND(ISNUMBER(J738),ISNUMBER(I738),I738&gt;0),(J738-I738)/I738,"")</f>
        <v/>
      </c>
      <c r="M738" s="2">
        <f>IF(L738="","",IF(L738&lt;-0.05,"Bán phá giá",IF(L738&gt;0.05,"Bán cao hơn","Đúng giá niêm yết")))</f>
        <v/>
      </c>
      <c r="N738" s="2" t="n"/>
      <c r="O738" s="3" t="n"/>
      <c r="P738" s="3" t="n"/>
    </row>
    <row r="739">
      <c r="A739" s="2" t="n">
        <v>738</v>
      </c>
      <c r="B739" s="2" t="inlineStr">
        <is>
          <t>KH004</t>
        </is>
      </c>
      <c r="C739" s="3" t="inlineStr">
        <is>
          <t>HCM-BIGSHOP</t>
        </is>
      </c>
      <c r="D739" s="2" t="inlineStr">
        <is>
          <t>HCM</t>
        </is>
      </c>
      <c r="E739" s="2" t="inlineStr">
        <is>
          <t>XUÂN TRANG</t>
        </is>
      </c>
      <c r="F739" s="2" t="inlineStr">
        <is>
          <t>Website bán hàng</t>
        </is>
      </c>
      <c r="G739" s="2" t="inlineStr">
        <is>
          <t>KRS-55*155</t>
        </is>
      </c>
      <c r="H739" s="3" t="inlineStr">
        <is>
          <t>Mũi khoan rút lõi khô KRS-55*155 (new)</t>
        </is>
      </c>
      <c r="I739" s="4" t="n">
        <v>1390000</v>
      </c>
      <c r="J739" s="4" t="n"/>
      <c r="K739" s="4">
        <f>IF(AND(ISNUMBER(J739),ISNUMBER(I739)),J739-I739,"")</f>
        <v/>
      </c>
      <c r="L739" s="5">
        <f>IF(AND(ISNUMBER(J739),ISNUMBER(I739),I739&gt;0),(J739-I739)/I739,"")</f>
        <v/>
      </c>
      <c r="M739" s="2">
        <f>IF(L739="","",IF(L739&lt;-0.05,"Bán phá giá",IF(L739&gt;0.05,"Bán cao hơn","Đúng giá niêm yết")))</f>
        <v/>
      </c>
      <c r="N739" s="2" t="n"/>
      <c r="O739" s="3" t="n"/>
      <c r="P739" s="3" t="n"/>
    </row>
    <row r="740">
      <c r="A740" s="2" t="n">
        <v>739</v>
      </c>
      <c r="B740" s="2" t="inlineStr">
        <is>
          <t>KH004</t>
        </is>
      </c>
      <c r="C740" s="3" t="inlineStr">
        <is>
          <t>HCM-BIGSHOP</t>
        </is>
      </c>
      <c r="D740" s="2" t="inlineStr">
        <is>
          <t>HCM</t>
        </is>
      </c>
      <c r="E740" s="2" t="inlineStr">
        <is>
          <t>XUÂN TRANG</t>
        </is>
      </c>
      <c r="F740" s="2" t="inlineStr">
        <is>
          <t>Website bán hàng</t>
        </is>
      </c>
      <c r="G740" s="2" t="inlineStr">
        <is>
          <t>KRS-60*155</t>
        </is>
      </c>
      <c r="H740" s="3" t="inlineStr">
        <is>
          <t>Mũi khoan rút lõi khô KRS-60*155</t>
        </is>
      </c>
      <c r="I740" s="4" t="n">
        <v>1490000</v>
      </c>
      <c r="J740" s="4" t="n"/>
      <c r="K740" s="4">
        <f>IF(AND(ISNUMBER(J740),ISNUMBER(I740)),J740-I740,"")</f>
        <v/>
      </c>
      <c r="L740" s="5">
        <f>IF(AND(ISNUMBER(J740),ISNUMBER(I740),I740&gt;0),(J740-I740)/I740,"")</f>
        <v/>
      </c>
      <c r="M740" s="2">
        <f>IF(L740="","",IF(L740&lt;-0.05,"Bán phá giá",IF(L740&gt;0.05,"Bán cao hơn","Đúng giá niêm yết")))</f>
        <v/>
      </c>
      <c r="N740" s="2" t="n"/>
      <c r="O740" s="3" t="n"/>
      <c r="P740" s="3" t="n"/>
    </row>
    <row r="741">
      <c r="A741" s="2" t="n">
        <v>740</v>
      </c>
      <c r="B741" s="2" t="inlineStr">
        <is>
          <t>KH004</t>
        </is>
      </c>
      <c r="C741" s="3" t="inlineStr">
        <is>
          <t>HCM-BIGSHOP</t>
        </is>
      </c>
      <c r="D741" s="2" t="inlineStr">
        <is>
          <t>HCM</t>
        </is>
      </c>
      <c r="E741" s="2" t="inlineStr">
        <is>
          <t>XUÂN TRANG</t>
        </is>
      </c>
      <c r="F741" s="2" t="inlineStr">
        <is>
          <t>Website bán hàng</t>
        </is>
      </c>
      <c r="G741" s="2" t="inlineStr">
        <is>
          <t>KRS-60*155</t>
        </is>
      </c>
      <c r="H741" s="3" t="inlineStr">
        <is>
          <t>Mũi khoan rút lõi khô KRS-60*155 (New)</t>
        </is>
      </c>
      <c r="I741" s="4" t="n">
        <v>1490000</v>
      </c>
      <c r="J741" s="4" t="n"/>
      <c r="K741" s="4">
        <f>IF(AND(ISNUMBER(J741),ISNUMBER(I741)),J741-I741,"")</f>
        <v/>
      </c>
      <c r="L741" s="5">
        <f>IF(AND(ISNUMBER(J741),ISNUMBER(I741),I741&gt;0),(J741-I741)/I741,"")</f>
        <v/>
      </c>
      <c r="M741" s="2">
        <f>IF(L741="","",IF(L741&lt;-0.05,"Bán phá giá",IF(L741&gt;0.05,"Bán cao hơn","Đúng giá niêm yết")))</f>
        <v/>
      </c>
      <c r="N741" s="2" t="n"/>
      <c r="O741" s="3" t="n"/>
      <c r="P741" s="3" t="n"/>
    </row>
    <row r="742">
      <c r="A742" s="2" t="n">
        <v>741</v>
      </c>
      <c r="B742" s="2" t="inlineStr">
        <is>
          <t>KH004</t>
        </is>
      </c>
      <c r="C742" s="3" t="inlineStr">
        <is>
          <t>HCM-BIGSHOP</t>
        </is>
      </c>
      <c r="D742" s="2" t="inlineStr">
        <is>
          <t>HCM</t>
        </is>
      </c>
      <c r="E742" s="2" t="inlineStr">
        <is>
          <t>XUÂN TRANG</t>
        </is>
      </c>
      <c r="F742" s="2" t="inlineStr">
        <is>
          <t>Website bán hàng</t>
        </is>
      </c>
      <c r="G742" s="2" t="inlineStr">
        <is>
          <t>M3-21/35</t>
        </is>
      </c>
      <c r="H742" s="3" t="inlineStr">
        <is>
          <t>Mũi khoan từ KingBlue M3-21/35</t>
        </is>
      </c>
      <c r="I742" s="4" t="n">
        <v>409000</v>
      </c>
      <c r="J742" s="4" t="n"/>
      <c r="K742" s="4">
        <f>IF(AND(ISNUMBER(J742),ISNUMBER(I742)),J742-I742,"")</f>
        <v/>
      </c>
      <c r="L742" s="5">
        <f>IF(AND(ISNUMBER(J742),ISNUMBER(I742),I742&gt;0),(J742-I742)/I742,"")</f>
        <v/>
      </c>
      <c r="M742" s="2">
        <f>IF(L742="","",IF(L742&lt;-0.05,"Bán phá giá",IF(L742&gt;0.05,"Bán cao hơn","Đúng giá niêm yết")))</f>
        <v/>
      </c>
      <c r="N742" s="2" t="n"/>
      <c r="O742" s="3" t="n"/>
      <c r="P742" s="3" t="n"/>
    </row>
    <row r="743">
      <c r="A743" s="2" t="n">
        <v>742</v>
      </c>
      <c r="B743" s="2" t="inlineStr">
        <is>
          <t>KH004</t>
        </is>
      </c>
      <c r="C743" s="3" t="inlineStr">
        <is>
          <t>HCM-BIGSHOP</t>
        </is>
      </c>
      <c r="D743" s="2" t="inlineStr">
        <is>
          <t>HCM</t>
        </is>
      </c>
      <c r="E743" s="2" t="inlineStr">
        <is>
          <t>XUÂN TRANG</t>
        </is>
      </c>
      <c r="F743" s="2" t="inlineStr">
        <is>
          <t>Website bán hàng</t>
        </is>
      </c>
      <c r="G743" s="2" t="inlineStr">
        <is>
          <t>M3-33/35</t>
        </is>
      </c>
      <c r="H743" s="3" t="inlineStr">
        <is>
          <t>Mũi khoan từ KingBlue M3-33/35</t>
        </is>
      </c>
      <c r="I743" s="4" t="n"/>
      <c r="J743" s="4" t="n"/>
      <c r="K743" s="4">
        <f>IF(AND(ISNUMBER(J743),ISNUMBER(I743)),J743-I743,"")</f>
        <v/>
      </c>
      <c r="L743" s="5">
        <f>IF(AND(ISNUMBER(J743),ISNUMBER(I743),I743&gt;0),(J743-I743)/I743,"")</f>
        <v/>
      </c>
      <c r="M743" s="2">
        <f>IF(L743="","",IF(L743&lt;-0.05,"Bán phá giá",IF(L743&gt;0.05,"Bán cao hơn","Đúng giá niêm yết")))</f>
        <v/>
      </c>
      <c r="N743" s="2" t="n"/>
      <c r="O743" s="3" t="n"/>
      <c r="P743" s="3" t="n"/>
    </row>
    <row r="744">
      <c r="A744" s="2" t="n">
        <v>743</v>
      </c>
      <c r="B744" s="2" t="inlineStr">
        <is>
          <t>KH004</t>
        </is>
      </c>
      <c r="C744" s="3" t="inlineStr">
        <is>
          <t>HCM-BIGSHOP</t>
        </is>
      </c>
      <c r="D744" s="2" t="inlineStr">
        <is>
          <t>HCM</t>
        </is>
      </c>
      <c r="E744" s="2" t="inlineStr">
        <is>
          <t>XUÂN TRANG</t>
        </is>
      </c>
      <c r="F744" s="2" t="inlineStr">
        <is>
          <t>Website bán hàng</t>
        </is>
      </c>
      <c r="G744" s="2" t="inlineStr">
        <is>
          <t>KBT-04*32</t>
        </is>
      </c>
      <c r="H744" s="3" t="inlineStr">
        <is>
          <t>Mũi khoan tháp M2 KBT-04*32</t>
        </is>
      </c>
      <c r="I744" s="4" t="n">
        <v>379000</v>
      </c>
      <c r="J744" s="4" t="n"/>
      <c r="K744" s="4">
        <f>IF(AND(ISNUMBER(J744),ISNUMBER(I744)),J744-I744,"")</f>
        <v/>
      </c>
      <c r="L744" s="5">
        <f>IF(AND(ISNUMBER(J744),ISNUMBER(I744),I744&gt;0),(J744-I744)/I744,"")</f>
        <v/>
      </c>
      <c r="M744" s="2">
        <f>IF(L744="","",IF(L744&lt;-0.05,"Bán phá giá",IF(L744&gt;0.05,"Bán cao hơn","Đúng giá niêm yết")))</f>
        <v/>
      </c>
      <c r="N744" s="2" t="n"/>
      <c r="O744" s="3" t="n"/>
      <c r="P744" s="3" t="n"/>
    </row>
    <row r="745">
      <c r="A745" s="2" t="n">
        <v>744</v>
      </c>
      <c r="B745" s="2" t="inlineStr">
        <is>
          <t>KH004</t>
        </is>
      </c>
      <c r="C745" s="3" t="inlineStr">
        <is>
          <t>HCM-BIGSHOP</t>
        </is>
      </c>
      <c r="D745" s="2" t="inlineStr">
        <is>
          <t>HCM</t>
        </is>
      </c>
      <c r="E745" s="2" t="inlineStr">
        <is>
          <t>XUÂN TRANG</t>
        </is>
      </c>
      <c r="F745" s="2" t="inlineStr">
        <is>
          <t>Website bán hàng</t>
        </is>
      </c>
      <c r="G745" s="2" t="inlineStr">
        <is>
          <t>KBY1-020</t>
        </is>
      </c>
      <c r="H745" s="3" t="inlineStr">
        <is>
          <t>Mũi khoan thép KBY1-020</t>
        </is>
      </c>
      <c r="I745" s="4" t="n">
        <v>5200</v>
      </c>
      <c r="J745" s="4" t="n"/>
      <c r="K745" s="4">
        <f>IF(AND(ISNUMBER(J745),ISNUMBER(I745)),J745-I745,"")</f>
        <v/>
      </c>
      <c r="L745" s="5">
        <f>IF(AND(ISNUMBER(J745),ISNUMBER(I745),I745&gt;0),(J745-I745)/I745,"")</f>
        <v/>
      </c>
      <c r="M745" s="2">
        <f>IF(L745="","",IF(L745&lt;-0.05,"Bán phá giá",IF(L745&gt;0.05,"Bán cao hơn","Đúng giá niêm yết")))</f>
        <v/>
      </c>
      <c r="N745" s="2" t="n"/>
      <c r="O745" s="3" t="n"/>
      <c r="P745" s="3" t="n"/>
    </row>
    <row r="746">
      <c r="A746" s="2" t="n">
        <v>745</v>
      </c>
      <c r="B746" s="2" t="inlineStr">
        <is>
          <t>KH004</t>
        </is>
      </c>
      <c r="C746" s="3" t="inlineStr">
        <is>
          <t>HCM-BIGSHOP</t>
        </is>
      </c>
      <c r="D746" s="2" t="inlineStr">
        <is>
          <t>HCM</t>
        </is>
      </c>
      <c r="E746" s="2" t="inlineStr">
        <is>
          <t>XUÂN TRANG</t>
        </is>
      </c>
      <c r="F746" s="2" t="inlineStr">
        <is>
          <t>Website bán hàng</t>
        </is>
      </c>
      <c r="G746" s="2" t="inlineStr">
        <is>
          <t>KBY1-025</t>
        </is>
      </c>
      <c r="H746" s="3" t="inlineStr">
        <is>
          <t>Mũi khoan thép KBY1-025</t>
        </is>
      </c>
      <c r="I746" s="4" t="n">
        <v>5800</v>
      </c>
      <c r="J746" s="4" t="n"/>
      <c r="K746" s="4">
        <f>IF(AND(ISNUMBER(J746),ISNUMBER(I746)),J746-I746,"")</f>
        <v/>
      </c>
      <c r="L746" s="5">
        <f>IF(AND(ISNUMBER(J746),ISNUMBER(I746),I746&gt;0),(J746-I746)/I746,"")</f>
        <v/>
      </c>
      <c r="M746" s="2">
        <f>IF(L746="","",IF(L746&lt;-0.05,"Bán phá giá",IF(L746&gt;0.05,"Bán cao hơn","Đúng giá niêm yết")))</f>
        <v/>
      </c>
      <c r="N746" s="2" t="n"/>
      <c r="O746" s="3" t="n"/>
      <c r="P746" s="3" t="n"/>
    </row>
    <row r="747">
      <c r="A747" s="2" t="n">
        <v>746</v>
      </c>
      <c r="B747" s="2" t="inlineStr">
        <is>
          <t>KH004</t>
        </is>
      </c>
      <c r="C747" s="3" t="inlineStr">
        <is>
          <t>HCM-BIGSHOP</t>
        </is>
      </c>
      <c r="D747" s="2" t="inlineStr">
        <is>
          <t>HCM</t>
        </is>
      </c>
      <c r="E747" s="2" t="inlineStr">
        <is>
          <t>XUÂN TRANG</t>
        </is>
      </c>
      <c r="F747" s="2" t="inlineStr">
        <is>
          <t>Website bán hàng</t>
        </is>
      </c>
      <c r="G747" s="2" t="inlineStr">
        <is>
          <t>KBY1-032</t>
        </is>
      </c>
      <c r="H747" s="3" t="inlineStr">
        <is>
          <t>Mũi khoan thép KBY1-032</t>
        </is>
      </c>
      <c r="I747" s="4" t="n">
        <v>8100</v>
      </c>
      <c r="J747" s="4" t="n"/>
      <c r="K747" s="4">
        <f>IF(AND(ISNUMBER(J747),ISNUMBER(I747)),J747-I747,"")</f>
        <v/>
      </c>
      <c r="L747" s="5">
        <f>IF(AND(ISNUMBER(J747),ISNUMBER(I747),I747&gt;0),(J747-I747)/I747,"")</f>
        <v/>
      </c>
      <c r="M747" s="2">
        <f>IF(L747="","",IF(L747&lt;-0.05,"Bán phá giá",IF(L747&gt;0.05,"Bán cao hơn","Đúng giá niêm yết")))</f>
        <v/>
      </c>
      <c r="N747" s="2" t="n"/>
      <c r="O747" s="3" t="n"/>
      <c r="P747" s="3" t="n"/>
    </row>
    <row r="748">
      <c r="A748" s="2" t="n">
        <v>747</v>
      </c>
      <c r="B748" s="2" t="inlineStr">
        <is>
          <t>KH004</t>
        </is>
      </c>
      <c r="C748" s="3" t="inlineStr">
        <is>
          <t>HCM-BIGSHOP</t>
        </is>
      </c>
      <c r="D748" s="2" t="inlineStr">
        <is>
          <t>HCM</t>
        </is>
      </c>
      <c r="E748" s="2" t="inlineStr">
        <is>
          <t>XUÂN TRANG</t>
        </is>
      </c>
      <c r="F748" s="2" t="inlineStr">
        <is>
          <t>Website bán hàng</t>
        </is>
      </c>
      <c r="G748" s="2" t="inlineStr">
        <is>
          <t>KBL4-10*350</t>
        </is>
      </c>
      <c r="H748" s="3" t="inlineStr">
        <is>
          <t>Mũi khoan xuyên tường 4 cạnh KBL4-10*350</t>
        </is>
      </c>
      <c r="I748" s="4" t="n">
        <v>54000</v>
      </c>
      <c r="J748" s="4" t="n"/>
      <c r="K748" s="4">
        <f>IF(AND(ISNUMBER(J748),ISNUMBER(I748)),J748-I748,"")</f>
        <v/>
      </c>
      <c r="L748" s="5">
        <f>IF(AND(ISNUMBER(J748),ISNUMBER(I748),I748&gt;0),(J748-I748)/I748,"")</f>
        <v/>
      </c>
      <c r="M748" s="2">
        <f>IF(L748="","",IF(L748&lt;-0.05,"Bán phá giá",IF(L748&gt;0.05,"Bán cao hơn","Đúng giá niêm yết")))</f>
        <v/>
      </c>
      <c r="N748" s="2" t="n"/>
      <c r="O748" s="3" t="n"/>
      <c r="P748" s="3" t="n"/>
    </row>
    <row r="749">
      <c r="A749" s="2" t="n">
        <v>748</v>
      </c>
      <c r="B749" s="2" t="inlineStr">
        <is>
          <t>KH004</t>
        </is>
      </c>
      <c r="C749" s="3" t="inlineStr">
        <is>
          <t>HCM-BIGSHOP</t>
        </is>
      </c>
      <c r="D749" s="2" t="inlineStr">
        <is>
          <t>HCM</t>
        </is>
      </c>
      <c r="E749" s="2" t="inlineStr">
        <is>
          <t>XUÂN TRANG</t>
        </is>
      </c>
      <c r="F749" s="2" t="inlineStr">
        <is>
          <t>Website bán hàng</t>
        </is>
      </c>
      <c r="G749" s="2" t="inlineStr">
        <is>
          <t>KBL4-14*350</t>
        </is>
      </c>
      <c r="H749" s="3" t="inlineStr">
        <is>
          <t>Mũi khoan xuyên tường 4 cạnh KBL4-14*350</t>
        </is>
      </c>
      <c r="I749" s="4" t="n">
        <v>70000</v>
      </c>
      <c r="J749" s="4" t="n"/>
      <c r="K749" s="4">
        <f>IF(AND(ISNUMBER(J749),ISNUMBER(I749)),J749-I749,"")</f>
        <v/>
      </c>
      <c r="L749" s="5">
        <f>IF(AND(ISNUMBER(J749),ISNUMBER(I749),I749&gt;0),(J749-I749)/I749,"")</f>
        <v/>
      </c>
      <c r="M749" s="2">
        <f>IF(L749="","",IF(L749&lt;-0.05,"Bán phá giá",IF(L749&gt;0.05,"Bán cao hơn","Đúng giá niêm yết")))</f>
        <v/>
      </c>
      <c r="N749" s="2" t="n"/>
      <c r="O749" s="3" t="n"/>
      <c r="P749" s="3" t="n"/>
    </row>
    <row r="750">
      <c r="A750" s="2" t="n">
        <v>749</v>
      </c>
      <c r="B750" s="2" t="inlineStr">
        <is>
          <t>KH004</t>
        </is>
      </c>
      <c r="C750" s="3" t="inlineStr">
        <is>
          <t>HCM-BIGSHOP</t>
        </is>
      </c>
      <c r="D750" s="2" t="inlineStr">
        <is>
          <t>HCM</t>
        </is>
      </c>
      <c r="E750" s="2" t="inlineStr">
        <is>
          <t>XUÂN TRANG</t>
        </is>
      </c>
      <c r="F750" s="2" t="inlineStr">
        <is>
          <t>Website bán hàng</t>
        </is>
      </c>
      <c r="G750" s="2" t="inlineStr">
        <is>
          <t>KBL4-16*350</t>
        </is>
      </c>
      <c r="H750" s="3" t="inlineStr">
        <is>
          <t>Mũi khoan xuyên tường 4 cạnh KBL4-16*350</t>
        </is>
      </c>
      <c r="I750" s="4" t="n">
        <v>84000</v>
      </c>
      <c r="J750" s="4" t="n"/>
      <c r="K750" s="4">
        <f>IF(AND(ISNUMBER(J750),ISNUMBER(I750)),J750-I750,"")</f>
        <v/>
      </c>
      <c r="L750" s="5">
        <f>IF(AND(ISNUMBER(J750),ISNUMBER(I750),I750&gt;0),(J750-I750)/I750,"")</f>
        <v/>
      </c>
      <c r="M750" s="2">
        <f>IF(L750="","",IF(L750&lt;-0.05,"Bán phá giá",IF(L750&gt;0.05,"Bán cao hơn","Đúng giá niêm yết")))</f>
        <v/>
      </c>
      <c r="N750" s="2" t="n"/>
      <c r="O750" s="3" t="n"/>
      <c r="P750" s="3" t="n"/>
    </row>
    <row r="751">
      <c r="A751" s="2" t="n">
        <v>750</v>
      </c>
      <c r="B751" s="2" t="inlineStr">
        <is>
          <t>KH004</t>
        </is>
      </c>
      <c r="C751" s="3" t="inlineStr">
        <is>
          <t>HCM-BIGSHOP</t>
        </is>
      </c>
      <c r="D751" s="2" t="inlineStr">
        <is>
          <t>HCM</t>
        </is>
      </c>
      <c r="E751" s="2" t="inlineStr">
        <is>
          <t>XUÂN TRANG</t>
        </is>
      </c>
      <c r="F751" s="2" t="inlineStr">
        <is>
          <t>Website bán hàng</t>
        </is>
      </c>
      <c r="G751" s="2" t="inlineStr">
        <is>
          <t>R1-35/25</t>
        </is>
      </c>
      <c r="H751" s="3" t="inlineStr">
        <is>
          <t>Mũi khoét hợp kim BlueBird R1-35/25</t>
        </is>
      </c>
      <c r="I751" s="4" t="n">
        <v>136000</v>
      </c>
      <c r="J751" s="4" t="n"/>
      <c r="K751" s="4">
        <f>IF(AND(ISNUMBER(J751),ISNUMBER(I751)),J751-I751,"")</f>
        <v/>
      </c>
      <c r="L751" s="5">
        <f>IF(AND(ISNUMBER(J751),ISNUMBER(I751),I751&gt;0),(J751-I751)/I751,"")</f>
        <v/>
      </c>
      <c r="M751" s="2">
        <f>IF(L751="","",IF(L751&lt;-0.05,"Bán phá giá",IF(L751&gt;0.05,"Bán cao hơn","Đúng giá niêm yết")))</f>
        <v/>
      </c>
      <c r="N751" s="2" t="n"/>
      <c r="O751" s="3" t="n"/>
      <c r="P751" s="3" t="n"/>
    </row>
    <row r="752">
      <c r="A752" s="2" t="n">
        <v>751</v>
      </c>
      <c r="B752" s="2" t="inlineStr">
        <is>
          <t>KH004</t>
        </is>
      </c>
      <c r="C752" s="3" t="inlineStr">
        <is>
          <t>HCM-BIGSHOP</t>
        </is>
      </c>
      <c r="D752" s="2" t="inlineStr">
        <is>
          <t>HCM</t>
        </is>
      </c>
      <c r="E752" s="2" t="inlineStr">
        <is>
          <t>XUÂN TRANG</t>
        </is>
      </c>
      <c r="F752" s="2" t="inlineStr">
        <is>
          <t>Website bán hàng</t>
        </is>
      </c>
      <c r="G752" s="2" t="inlineStr">
        <is>
          <t>R1-60/25</t>
        </is>
      </c>
      <c r="H752" s="3" t="inlineStr">
        <is>
          <t>Mũi khoét hợp kim Bluebird R1-60/25</t>
        </is>
      </c>
      <c r="I752" s="4" t="n">
        <v>190000</v>
      </c>
      <c r="J752" s="4" t="n"/>
      <c r="K752" s="4">
        <f>IF(AND(ISNUMBER(J752),ISNUMBER(I752)),J752-I752,"")</f>
        <v/>
      </c>
      <c r="L752" s="5">
        <f>IF(AND(ISNUMBER(J752),ISNUMBER(I752),I752&gt;0),(J752-I752)/I752,"")</f>
        <v/>
      </c>
      <c r="M752" s="2">
        <f>IF(L752="","",IF(L752&lt;-0.05,"Bán phá giá",IF(L752&gt;0.05,"Bán cao hơn","Đúng giá niêm yết")))</f>
        <v/>
      </c>
      <c r="N752" s="2" t="n"/>
      <c r="O752" s="3" t="n"/>
      <c r="P752" s="3" t="n"/>
    </row>
    <row r="753">
      <c r="A753" s="2" t="n">
        <v>752</v>
      </c>
      <c r="B753" s="2" t="inlineStr">
        <is>
          <t>KH004</t>
        </is>
      </c>
      <c r="C753" s="3" t="inlineStr">
        <is>
          <t>HCM-BIGSHOP</t>
        </is>
      </c>
      <c r="D753" s="2" t="inlineStr">
        <is>
          <t>HCM</t>
        </is>
      </c>
      <c r="E753" s="2" t="inlineStr">
        <is>
          <t>XUÂN TRANG</t>
        </is>
      </c>
      <c r="F753" s="2" t="inlineStr">
        <is>
          <t>Website bán hàng</t>
        </is>
      </c>
      <c r="G753" s="2" t="inlineStr">
        <is>
          <t>R1-75/25</t>
        </is>
      </c>
      <c r="H753" s="3" t="inlineStr">
        <is>
          <t>Mũi khoét hợp kim Bluebird R1-75/25</t>
        </is>
      </c>
      <c r="I753" s="4" t="n">
        <v>240000</v>
      </c>
      <c r="J753" s="4" t="n"/>
      <c r="K753" s="4">
        <f>IF(AND(ISNUMBER(J753),ISNUMBER(I753)),J753-I753,"")</f>
        <v/>
      </c>
      <c r="L753" s="5">
        <f>IF(AND(ISNUMBER(J753),ISNUMBER(I753),I753&gt;0),(J753-I753)/I753,"")</f>
        <v/>
      </c>
      <c r="M753" s="2">
        <f>IF(L753="","",IF(L753&lt;-0.05,"Bán phá giá",IF(L753&gt;0.05,"Bán cao hơn","Đúng giá niêm yết")))</f>
        <v/>
      </c>
      <c r="N753" s="2" t="n"/>
      <c r="O753" s="3" t="n"/>
      <c r="P753" s="3" t="n"/>
    </row>
    <row r="754">
      <c r="A754" s="2" t="n">
        <v>753</v>
      </c>
      <c r="B754" s="2" t="inlineStr">
        <is>
          <t>KH004</t>
        </is>
      </c>
      <c r="C754" s="3" t="inlineStr">
        <is>
          <t>HCM-BIGSHOP</t>
        </is>
      </c>
      <c r="D754" s="2" t="inlineStr">
        <is>
          <t>HCM</t>
        </is>
      </c>
      <c r="E754" s="2" t="inlineStr">
        <is>
          <t>XUÂN TRANG</t>
        </is>
      </c>
      <c r="F754" s="2" t="inlineStr">
        <is>
          <t>Website bán hàng</t>
        </is>
      </c>
      <c r="G754" s="2" t="inlineStr">
        <is>
          <t>R1-16/25</t>
        </is>
      </c>
      <c r="H754" s="3" t="inlineStr">
        <is>
          <t>Mũi khoét hợp kim Kingblue R1-16/25</t>
        </is>
      </c>
      <c r="I754" s="4" t="n">
        <v>71000</v>
      </c>
      <c r="J754" s="4" t="n"/>
      <c r="K754" s="4">
        <f>IF(AND(ISNUMBER(J754),ISNUMBER(I754)),J754-I754,"")</f>
        <v/>
      </c>
      <c r="L754" s="5">
        <f>IF(AND(ISNUMBER(J754),ISNUMBER(I754),I754&gt;0),(J754-I754)/I754,"")</f>
        <v/>
      </c>
      <c r="M754" s="2">
        <f>IF(L754="","",IF(L754&lt;-0.05,"Bán phá giá",IF(L754&gt;0.05,"Bán cao hơn","Đúng giá niêm yết")))</f>
        <v/>
      </c>
      <c r="N754" s="2" t="n"/>
      <c r="O754" s="3" t="n"/>
      <c r="P754" s="3" t="n"/>
    </row>
    <row r="755">
      <c r="A755" s="2" t="n">
        <v>754</v>
      </c>
      <c r="B755" s="2" t="inlineStr">
        <is>
          <t>KH004</t>
        </is>
      </c>
      <c r="C755" s="3" t="inlineStr">
        <is>
          <t>HCM-BIGSHOP</t>
        </is>
      </c>
      <c r="D755" s="2" t="inlineStr">
        <is>
          <t>HCM</t>
        </is>
      </c>
      <c r="E755" s="2" t="inlineStr">
        <is>
          <t>XUÂN TRANG</t>
        </is>
      </c>
      <c r="F755" s="2" t="inlineStr">
        <is>
          <t>Website bán hàng</t>
        </is>
      </c>
      <c r="G755" s="2" t="inlineStr">
        <is>
          <t>R1-20/25</t>
        </is>
      </c>
      <c r="H755" s="3" t="inlineStr">
        <is>
          <t>Mũi khoét hợp kim Kingblue R1-20/25</t>
        </is>
      </c>
      <c r="I755" s="4" t="n">
        <v>89000</v>
      </c>
      <c r="J755" s="4" t="n"/>
      <c r="K755" s="4">
        <f>IF(AND(ISNUMBER(J755),ISNUMBER(I755)),J755-I755,"")</f>
        <v/>
      </c>
      <c r="L755" s="5">
        <f>IF(AND(ISNUMBER(J755),ISNUMBER(I755),I755&gt;0),(J755-I755)/I755,"")</f>
        <v/>
      </c>
      <c r="M755" s="2">
        <f>IF(L755="","",IF(L755&lt;-0.05,"Bán phá giá",IF(L755&gt;0.05,"Bán cao hơn","Đúng giá niêm yết")))</f>
        <v/>
      </c>
      <c r="N755" s="2" t="n"/>
      <c r="O755" s="3" t="n"/>
      <c r="P755" s="3" t="n"/>
    </row>
    <row r="756">
      <c r="A756" s="2" t="n">
        <v>755</v>
      </c>
      <c r="B756" s="2" t="inlineStr">
        <is>
          <t>KH004</t>
        </is>
      </c>
      <c r="C756" s="3" t="inlineStr">
        <is>
          <t>HCM-BIGSHOP</t>
        </is>
      </c>
      <c r="D756" s="2" t="inlineStr">
        <is>
          <t>HCM</t>
        </is>
      </c>
      <c r="E756" s="2" t="inlineStr">
        <is>
          <t>XUÂN TRANG</t>
        </is>
      </c>
      <c r="F756" s="2" t="inlineStr">
        <is>
          <t>Website bán hàng</t>
        </is>
      </c>
      <c r="G756" s="2" t="inlineStr">
        <is>
          <t>R1-25/25</t>
        </is>
      </c>
      <c r="H756" s="3" t="inlineStr">
        <is>
          <t>Mũi khoét hợp kim Kingblue R1-25/25</t>
        </is>
      </c>
      <c r="I756" s="4" t="n">
        <v>96000</v>
      </c>
      <c r="J756" s="4" t="n"/>
      <c r="K756" s="4">
        <f>IF(AND(ISNUMBER(J756),ISNUMBER(I756)),J756-I756,"")</f>
        <v/>
      </c>
      <c r="L756" s="5">
        <f>IF(AND(ISNUMBER(J756),ISNUMBER(I756),I756&gt;0),(J756-I756)/I756,"")</f>
        <v/>
      </c>
      <c r="M756" s="2">
        <f>IF(L756="","",IF(L756&lt;-0.05,"Bán phá giá",IF(L756&gt;0.05,"Bán cao hơn","Đúng giá niêm yết")))</f>
        <v/>
      </c>
      <c r="N756" s="2" t="n"/>
      <c r="O756" s="3" t="n"/>
      <c r="P756" s="3" t="n"/>
    </row>
    <row r="757">
      <c r="A757" s="2" t="n">
        <v>756</v>
      </c>
      <c r="B757" s="2" t="inlineStr">
        <is>
          <t>KH004</t>
        </is>
      </c>
      <c r="C757" s="3" t="inlineStr">
        <is>
          <t>HCM-BIGSHOP</t>
        </is>
      </c>
      <c r="D757" s="2" t="inlineStr">
        <is>
          <t>HCM</t>
        </is>
      </c>
      <c r="E757" s="2" t="inlineStr">
        <is>
          <t>XUÂN TRANG</t>
        </is>
      </c>
      <c r="F757" s="2" t="inlineStr">
        <is>
          <t>Website bán hàng</t>
        </is>
      </c>
      <c r="G757" s="2" t="inlineStr">
        <is>
          <t>KZ-40</t>
        </is>
      </c>
      <c r="H757" s="3" t="inlineStr">
        <is>
          <t>Nhám xếp KingBlue KZ-40 (NEW)</t>
        </is>
      </c>
      <c r="I757" s="4" t="n">
        <v>11600</v>
      </c>
      <c r="J757" s="4" t="n"/>
      <c r="K757" s="4">
        <f>IF(AND(ISNUMBER(J757),ISNUMBER(I757)),J757-I757,"")</f>
        <v/>
      </c>
      <c r="L757" s="5">
        <f>IF(AND(ISNUMBER(J757),ISNUMBER(I757),I757&gt;0),(J757-I757)/I757,"")</f>
        <v/>
      </c>
      <c r="M757" s="2">
        <f>IF(L757="","",IF(L757&lt;-0.05,"Bán phá giá",IF(L757&gt;0.05,"Bán cao hơn","Đúng giá niêm yết")))</f>
        <v/>
      </c>
      <c r="N757" s="2" t="n"/>
      <c r="O757" s="3" t="n"/>
      <c r="P757" s="3" t="n"/>
    </row>
    <row r="758">
      <c r="A758" s="2" t="n">
        <v>757</v>
      </c>
      <c r="B758" s="2" t="inlineStr">
        <is>
          <t>KH004</t>
        </is>
      </c>
      <c r="C758" s="3" t="inlineStr">
        <is>
          <t>HCM-BIGSHOP</t>
        </is>
      </c>
      <c r="D758" s="2" t="inlineStr">
        <is>
          <t>HCM</t>
        </is>
      </c>
      <c r="E758" s="2" t="inlineStr">
        <is>
          <t>XUÂN TRANG</t>
        </is>
      </c>
      <c r="F758" s="2" t="inlineStr">
        <is>
          <t>Website bán hàng</t>
        </is>
      </c>
      <c r="G758" s="2" t="inlineStr">
        <is>
          <t>KZ-60</t>
        </is>
      </c>
      <c r="H758" s="3" t="inlineStr">
        <is>
          <t>Nhám xếp KingBlue KZ-60 (NEW)</t>
        </is>
      </c>
      <c r="I758" s="4" t="n">
        <v>12200</v>
      </c>
      <c r="J758" s="4" t="n"/>
      <c r="K758" s="4">
        <f>IF(AND(ISNUMBER(J758),ISNUMBER(I758)),J758-I758,"")</f>
        <v/>
      </c>
      <c r="L758" s="5">
        <f>IF(AND(ISNUMBER(J758),ISNUMBER(I758),I758&gt;0),(J758-I758)/I758,"")</f>
        <v/>
      </c>
      <c r="M758" s="2">
        <f>IF(L758="","",IF(L758&lt;-0.05,"Bán phá giá",IF(L758&gt;0.05,"Bán cao hơn","Đúng giá niêm yết")))</f>
        <v/>
      </c>
      <c r="N758" s="2" t="n"/>
      <c r="O758" s="3" t="n"/>
      <c r="P758" s="3" t="n"/>
    </row>
    <row r="759">
      <c r="A759" s="2" t="n">
        <v>758</v>
      </c>
      <c r="B759" s="2" t="inlineStr">
        <is>
          <t>KH004</t>
        </is>
      </c>
      <c r="C759" s="3" t="inlineStr">
        <is>
          <t>HCM-BIGSHOP</t>
        </is>
      </c>
      <c r="D759" s="2" t="inlineStr">
        <is>
          <t>HCM</t>
        </is>
      </c>
      <c r="E759" s="2" t="inlineStr">
        <is>
          <t>XUÂN TRANG</t>
        </is>
      </c>
      <c r="F759" s="2" t="inlineStr">
        <is>
          <t>Website bán hàng</t>
        </is>
      </c>
      <c r="G759" s="2" t="inlineStr">
        <is>
          <t>KBA-I1500</t>
        </is>
      </c>
      <c r="H759" s="3" t="inlineStr">
        <is>
          <t>Ống dẫn nước PVC 8m - Phụ kiện máy rửa xe KBA-I1500</t>
        </is>
      </c>
      <c r="I759" s="4" t="n">
        <v>1980000</v>
      </c>
      <c r="J759" s="4" t="n"/>
      <c r="K759" s="4">
        <f>IF(AND(ISNUMBER(J759),ISNUMBER(I759)),J759-I759,"")</f>
        <v/>
      </c>
      <c r="L759" s="5">
        <f>IF(AND(ISNUMBER(J759),ISNUMBER(I759),I759&gt;0),(J759-I759)/I759,"")</f>
        <v/>
      </c>
      <c r="M759" s="2">
        <f>IF(L759="","",IF(L759&lt;-0.05,"Bán phá giá",IF(L759&gt;0.05,"Bán cao hơn","Đúng giá niêm yết")))</f>
        <v/>
      </c>
      <c r="N759" s="2" t="n"/>
      <c r="O759" s="3" t="n"/>
      <c r="P759" s="3" t="n"/>
    </row>
    <row r="760">
      <c r="A760" s="2" t="n">
        <v>759</v>
      </c>
      <c r="B760" s="2" t="inlineStr">
        <is>
          <t>KH004</t>
        </is>
      </c>
      <c r="C760" s="3" t="inlineStr">
        <is>
          <t>HCM-BIGSHOP</t>
        </is>
      </c>
      <c r="D760" s="2" t="inlineStr">
        <is>
          <t>HCM</t>
        </is>
      </c>
      <c r="E760" s="2" t="inlineStr">
        <is>
          <t>XUÂN TRANG</t>
        </is>
      </c>
      <c r="F760" s="2" t="inlineStr">
        <is>
          <t>Website bán hàng</t>
        </is>
      </c>
      <c r="G760" s="2" t="inlineStr">
        <is>
          <t>B2040</t>
        </is>
      </c>
      <c r="H760" s="3" t="inlineStr">
        <is>
          <t>Pin B2040</t>
        </is>
      </c>
      <c r="I760" s="4" t="n">
        <v>700000</v>
      </c>
      <c r="J760" s="4" t="n"/>
      <c r="K760" s="4">
        <f>IF(AND(ISNUMBER(J760),ISNUMBER(I760)),J760-I760,"")</f>
        <v/>
      </c>
      <c r="L760" s="5">
        <f>IF(AND(ISNUMBER(J760),ISNUMBER(I760),I760&gt;0),(J760-I760)/I760,"")</f>
        <v/>
      </c>
      <c r="M760" s="2">
        <f>IF(L760="","",IF(L760&lt;-0.05,"Bán phá giá",IF(L760&gt;0.05,"Bán cao hơn","Đúng giá niêm yết")))</f>
        <v/>
      </c>
      <c r="N760" s="2" t="n"/>
      <c r="O760" s="3" t="n"/>
      <c r="P760" s="3" t="n"/>
    </row>
    <row r="761">
      <c r="A761" s="2" t="n">
        <v>760</v>
      </c>
      <c r="B761" s="2" t="inlineStr">
        <is>
          <t>KH004</t>
        </is>
      </c>
      <c r="C761" s="3" t="inlineStr">
        <is>
          <t>HCM-BIGSHOP</t>
        </is>
      </c>
      <c r="D761" s="2" t="inlineStr">
        <is>
          <t>HCM</t>
        </is>
      </c>
      <c r="E761" s="2" t="inlineStr">
        <is>
          <t>XUÂN TRANG</t>
        </is>
      </c>
      <c r="F761" s="2" t="inlineStr">
        <is>
          <t>Website bán hàng</t>
        </is>
      </c>
      <c r="G761" s="2" t="inlineStr"/>
      <c r="H761" s="3" t="inlineStr">
        <is>
          <t>Pin máy rung gạch 2.0Ah</t>
        </is>
      </c>
      <c r="I761" s="4" t="n">
        <v>420000</v>
      </c>
      <c r="J761" s="4" t="n"/>
      <c r="K761" s="4">
        <f>IF(AND(ISNUMBER(J761),ISNUMBER(I761)),J761-I761,"")</f>
        <v/>
      </c>
      <c r="L761" s="5">
        <f>IF(AND(ISNUMBER(J761),ISNUMBER(I761),I761&gt;0),(J761-I761)/I761,"")</f>
        <v/>
      </c>
      <c r="M761" s="2">
        <f>IF(L761="","",IF(L761&lt;-0.05,"Bán phá giá",IF(L761&gt;0.05,"Bán cao hơn","Đúng giá niêm yết")))</f>
        <v/>
      </c>
      <c r="N761" s="2" t="n"/>
      <c r="O761" s="3" t="n"/>
      <c r="P761" s="3" t="n"/>
    </row>
    <row r="762">
      <c r="A762" s="2" t="n">
        <v>761</v>
      </c>
      <c r="B762" s="2" t="inlineStr">
        <is>
          <t>KH004</t>
        </is>
      </c>
      <c r="C762" s="3" t="inlineStr">
        <is>
          <t>HCM-BIGSHOP</t>
        </is>
      </c>
      <c r="D762" s="2" t="inlineStr">
        <is>
          <t>HCM</t>
        </is>
      </c>
      <c r="E762" s="2" t="inlineStr">
        <is>
          <t>XUÂN TRANG</t>
        </is>
      </c>
      <c r="F762" s="2" t="inlineStr">
        <is>
          <t>Website bán hàng</t>
        </is>
      </c>
      <c r="G762" s="2" t="inlineStr">
        <is>
          <t>B2A20</t>
        </is>
      </c>
      <c r="H762" s="3" t="inlineStr">
        <is>
          <t>Sạc pin B2A20</t>
        </is>
      </c>
      <c r="I762" s="4" t="n">
        <v>280000</v>
      </c>
      <c r="J762" s="4" t="n"/>
      <c r="K762" s="4">
        <f>IF(AND(ISNUMBER(J762),ISNUMBER(I762)),J762-I762,"")</f>
        <v/>
      </c>
      <c r="L762" s="5">
        <f>IF(AND(ISNUMBER(J762),ISNUMBER(I762),I762&gt;0),(J762-I762)/I762,"")</f>
        <v/>
      </c>
      <c r="M762" s="2">
        <f>IF(L762="","",IF(L762&lt;-0.05,"Bán phá giá",IF(L762&gt;0.05,"Bán cao hơn","Đúng giá niêm yết")))</f>
        <v/>
      </c>
      <c r="N762" s="2" t="n"/>
      <c r="O762" s="3" t="n"/>
      <c r="P762" s="3" t="n"/>
    </row>
    <row r="763">
      <c r="A763" s="2" t="n">
        <v>762</v>
      </c>
      <c r="B763" s="2" t="inlineStr">
        <is>
          <t>KH004</t>
        </is>
      </c>
      <c r="C763" s="3" t="inlineStr">
        <is>
          <t>HCM-BIGSHOP</t>
        </is>
      </c>
      <c r="D763" s="2" t="inlineStr">
        <is>
          <t>HCM</t>
        </is>
      </c>
      <c r="E763" s="2" t="inlineStr">
        <is>
          <t>XUÂN TRANG</t>
        </is>
      </c>
      <c r="F763" s="2" t="inlineStr">
        <is>
          <t>Website bán hàng</t>
        </is>
      </c>
      <c r="G763" s="2" t="inlineStr">
        <is>
          <t>KFF-73</t>
        </is>
      </c>
      <c r="H763" s="3" t="inlineStr">
        <is>
          <t>Súng bắn đinh bê tông KFF-73</t>
        </is>
      </c>
      <c r="I763" s="4" t="n">
        <v>690000</v>
      </c>
      <c r="J763" s="4" t="n"/>
      <c r="K763" s="4">
        <f>IF(AND(ISNUMBER(J763),ISNUMBER(I763)),J763-I763,"")</f>
        <v/>
      </c>
      <c r="L763" s="5">
        <f>IF(AND(ISNUMBER(J763),ISNUMBER(I763),I763&gt;0),(J763-I763)/I763,"")</f>
        <v/>
      </c>
      <c r="M763" s="2">
        <f>IF(L763="","",IF(L763&lt;-0.05,"Bán phá giá",IF(L763&gt;0.05,"Bán cao hơn","Đúng giá niêm yết")))</f>
        <v/>
      </c>
      <c r="N763" s="2" t="n"/>
      <c r="O763" s="3" t="n"/>
      <c r="P763" s="3" t="n"/>
    </row>
    <row r="764">
      <c r="A764" s="2" t="n">
        <v>763</v>
      </c>
      <c r="B764" s="2" t="inlineStr">
        <is>
          <t>KH004</t>
        </is>
      </c>
      <c r="C764" s="3" t="inlineStr">
        <is>
          <t>HCM-BIGSHOP</t>
        </is>
      </c>
      <c r="D764" s="2" t="inlineStr">
        <is>
          <t>HCM</t>
        </is>
      </c>
      <c r="E764" s="2" t="inlineStr">
        <is>
          <t>XUÂN TRANG</t>
        </is>
      </c>
      <c r="F764" s="2" t="inlineStr">
        <is>
          <t>Website bán hàng</t>
        </is>
      </c>
      <c r="G764" s="2" t="inlineStr">
        <is>
          <t>KBO-FG30</t>
        </is>
      </c>
      <c r="H764" s="3" t="inlineStr">
        <is>
          <t>Súng bắn đinh hơi KBO-FG30</t>
        </is>
      </c>
      <c r="I764" s="4" t="n">
        <v>426000</v>
      </c>
      <c r="J764" s="4" t="n"/>
      <c r="K764" s="4">
        <f>IF(AND(ISNUMBER(J764),ISNUMBER(I764)),J764-I764,"")</f>
        <v/>
      </c>
      <c r="L764" s="5">
        <f>IF(AND(ISNUMBER(J764),ISNUMBER(I764),I764&gt;0),(J764-I764)/I764,"")</f>
        <v/>
      </c>
      <c r="M764" s="2">
        <f>IF(L764="","",IF(L764&lt;-0.05,"Bán phá giá",IF(L764&gt;0.05,"Bán cao hơn","Đúng giá niêm yết")))</f>
        <v/>
      </c>
      <c r="N764" s="2" t="n"/>
      <c r="O764" s="3" t="n"/>
      <c r="P764" s="3" t="n"/>
    </row>
    <row r="765">
      <c r="A765" s="2" t="n">
        <v>764</v>
      </c>
      <c r="B765" s="2" t="inlineStr">
        <is>
          <t>KH004</t>
        </is>
      </c>
      <c r="C765" s="3" t="inlineStr">
        <is>
          <t>HCM-BIGSHOP</t>
        </is>
      </c>
      <c r="D765" s="2" t="inlineStr">
        <is>
          <t>HCM</t>
        </is>
      </c>
      <c r="E765" s="2" t="inlineStr">
        <is>
          <t>XUÂN TRANG</t>
        </is>
      </c>
      <c r="F765" s="2" t="inlineStr">
        <is>
          <t>Website bán hàng</t>
        </is>
      </c>
      <c r="G765" s="2" t="inlineStr">
        <is>
          <t>KBO-X0215</t>
        </is>
      </c>
      <c r="H765" s="3" t="inlineStr">
        <is>
          <t>Súng Xịt Hơi KBO-X0215</t>
        </is>
      </c>
      <c r="I765" s="4" t="n">
        <v>121000</v>
      </c>
      <c r="J765" s="4" t="n"/>
      <c r="K765" s="4">
        <f>IF(AND(ISNUMBER(J765),ISNUMBER(I765)),J765-I765,"")</f>
        <v/>
      </c>
      <c r="L765" s="5">
        <f>IF(AND(ISNUMBER(J765),ISNUMBER(I765),I765&gt;0),(J765-I765)/I765,"")</f>
        <v/>
      </c>
      <c r="M765" s="2">
        <f>IF(L765="","",IF(L765&lt;-0.05,"Bán phá giá",IF(L765&gt;0.05,"Bán cao hơn","Đúng giá niêm yết")))</f>
        <v/>
      </c>
      <c r="N765" s="2" t="n"/>
      <c r="O765" s="3" t="n"/>
      <c r="P765" s="3" t="n"/>
    </row>
    <row r="766">
      <c r="A766" s="2" t="n">
        <v>765</v>
      </c>
      <c r="B766" s="2" t="inlineStr">
        <is>
          <t>KH004</t>
        </is>
      </c>
      <c r="C766" s="3" t="inlineStr">
        <is>
          <t>HCM-BIGSHOP</t>
        </is>
      </c>
      <c r="D766" s="2" t="inlineStr">
        <is>
          <t>HCM</t>
        </is>
      </c>
      <c r="E766" s="2" t="inlineStr">
        <is>
          <t>XUÂN TRANG</t>
        </is>
      </c>
      <c r="F766" s="2" t="inlineStr">
        <is>
          <t>Website bán hàng</t>
        </is>
      </c>
      <c r="G766" s="2" t="inlineStr">
        <is>
          <t>KHD4212</t>
        </is>
      </c>
      <c r="H766" s="3" t="inlineStr">
        <is>
          <t>Thùng đựng đồ nghề kèm phụ kiện KHD4212 NEW</t>
        </is>
      </c>
      <c r="I766" s="4" t="n">
        <v>445000</v>
      </c>
      <c r="J766" s="4" t="n"/>
      <c r="K766" s="4">
        <f>IF(AND(ISNUMBER(J766),ISNUMBER(I766)),J766-I766,"")</f>
        <v/>
      </c>
      <c r="L766" s="5">
        <f>IF(AND(ISNUMBER(J766),ISNUMBER(I766),I766&gt;0),(J766-I766)/I766,"")</f>
        <v/>
      </c>
      <c r="M766" s="2">
        <f>IF(L766="","",IF(L766&lt;-0.05,"Bán phá giá",IF(L766&gt;0.05,"Bán cao hơn","Đúng giá niêm yết")))</f>
        <v/>
      </c>
      <c r="N766" s="2" t="n"/>
      <c r="O766" s="3" t="n"/>
      <c r="P766" s="3" t="n"/>
    </row>
    <row r="767">
      <c r="A767" s="2" t="n">
        <v>766</v>
      </c>
      <c r="B767" s="2" t="inlineStr">
        <is>
          <t>KH004</t>
        </is>
      </c>
      <c r="C767" s="3" t="inlineStr">
        <is>
          <t>HCM-BIGSHOP</t>
        </is>
      </c>
      <c r="D767" s="2" t="inlineStr">
        <is>
          <t>HCM</t>
        </is>
      </c>
      <c r="E767" s="2" t="inlineStr">
        <is>
          <t>XUÂN TRANG</t>
        </is>
      </c>
      <c r="F767" s="2" t="inlineStr">
        <is>
          <t>Website bán hàng</t>
        </is>
      </c>
      <c r="G767" s="2" t="inlineStr">
        <is>
          <t>KHD20</t>
        </is>
      </c>
      <c r="H767" s="3" t="inlineStr">
        <is>
          <t>Thùng đựng đồ nghề KHD20</t>
        </is>
      </c>
      <c r="I767" s="4" t="n">
        <v>440000</v>
      </c>
      <c r="J767" s="4" t="n"/>
      <c r="K767" s="4">
        <f>IF(AND(ISNUMBER(J767),ISNUMBER(I767)),J767-I767,"")</f>
        <v/>
      </c>
      <c r="L767" s="5">
        <f>IF(AND(ISNUMBER(J767),ISNUMBER(I767),I767&gt;0),(J767-I767)/I767,"")</f>
        <v/>
      </c>
      <c r="M767" s="2">
        <f>IF(L767="","",IF(L767&lt;-0.05,"Bán phá giá",IF(L767&gt;0.05,"Bán cao hơn","Đúng giá niêm yết")))</f>
        <v/>
      </c>
      <c r="N767" s="2" t="n"/>
      <c r="O767" s="3" t="n"/>
      <c r="P767" s="3" t="n"/>
    </row>
    <row r="768">
      <c r="A768" s="2" t="n">
        <v>767</v>
      </c>
      <c r="B768" s="2" t="inlineStr">
        <is>
          <t>KH004</t>
        </is>
      </c>
      <c r="C768" s="3" t="inlineStr">
        <is>
          <t>HCM-BIGSHOP</t>
        </is>
      </c>
      <c r="D768" s="2" t="inlineStr">
        <is>
          <t>HCM</t>
        </is>
      </c>
      <c r="E768" s="2" t="inlineStr">
        <is>
          <t>XUÂN TRANG</t>
        </is>
      </c>
      <c r="F768" s="2" t="inlineStr">
        <is>
          <t>Website bán hàng</t>
        </is>
      </c>
      <c r="G768" s="2" t="inlineStr">
        <is>
          <t>KHD4216</t>
        </is>
      </c>
      <c r="H768" s="3" t="inlineStr">
        <is>
          <t>Thùng đựng đồ nghề KHD4216</t>
        </is>
      </c>
      <c r="I768" s="4" t="n">
        <v>528000</v>
      </c>
      <c r="J768" s="4" t="n"/>
      <c r="K768" s="4">
        <f>IF(AND(ISNUMBER(J768),ISNUMBER(I768)),J768-I768,"")</f>
        <v/>
      </c>
      <c r="L768" s="5">
        <f>IF(AND(ISNUMBER(J768),ISNUMBER(I768),I768&gt;0),(J768-I768)/I768,"")</f>
        <v/>
      </c>
      <c r="M768" s="2">
        <f>IF(L768="","",IF(L768&lt;-0.05,"Bán phá giá",IF(L768&gt;0.05,"Bán cao hơn","Đúng giá niêm yết")))</f>
        <v/>
      </c>
      <c r="N768" s="2" t="n"/>
      <c r="O768" s="3" t="n"/>
      <c r="P768" s="3" t="n"/>
    </row>
    <row r="769">
      <c r="A769" s="2" t="n">
        <v>768</v>
      </c>
      <c r="B769" s="2" t="inlineStr">
        <is>
          <t>KH004</t>
        </is>
      </c>
      <c r="C769" s="3" t="inlineStr">
        <is>
          <t>HCM-BIGSHOP</t>
        </is>
      </c>
      <c r="D769" s="2" t="inlineStr">
        <is>
          <t>HCM</t>
        </is>
      </c>
      <c r="E769" s="2" t="inlineStr">
        <is>
          <t>XUÂN TRANG</t>
        </is>
      </c>
      <c r="F769" s="2" t="inlineStr">
        <is>
          <t>Website bán hàng</t>
        </is>
      </c>
      <c r="G769" s="2" t="inlineStr">
        <is>
          <t>KHD4233</t>
        </is>
      </c>
      <c r="H769" s="3" t="inlineStr">
        <is>
          <t>Thùng đựng đồ nghề KHD4233</t>
        </is>
      </c>
      <c r="I769" s="4" t="n">
        <v>869000</v>
      </c>
      <c r="J769" s="4" t="n"/>
      <c r="K769" s="4">
        <f>IF(AND(ISNUMBER(J769),ISNUMBER(I769)),J769-I769,"")</f>
        <v/>
      </c>
      <c r="L769" s="5">
        <f>IF(AND(ISNUMBER(J769),ISNUMBER(I769),I769&gt;0),(J769-I769)/I769,"")</f>
        <v/>
      </c>
      <c r="M769" s="2">
        <f>IF(L769="","",IF(L769&lt;-0.05,"Bán phá giá",IF(L769&gt;0.05,"Bán cao hơn","Đúng giá niêm yết")))</f>
        <v/>
      </c>
      <c r="N769" s="2" t="n"/>
      <c r="O769" s="3" t="n"/>
      <c r="P769" s="3" t="n"/>
    </row>
    <row r="770">
      <c r="A770" s="2" t="n">
        <v>769</v>
      </c>
      <c r="B770" s="2" t="inlineStr">
        <is>
          <t>KH004</t>
        </is>
      </c>
      <c r="C770" s="3" t="inlineStr">
        <is>
          <t>HCM-BIGSHOP</t>
        </is>
      </c>
      <c r="D770" s="2" t="inlineStr">
        <is>
          <t>HCM</t>
        </is>
      </c>
      <c r="E770" s="2" t="inlineStr">
        <is>
          <t>XUÂN TRANG</t>
        </is>
      </c>
      <c r="F770" s="2" t="inlineStr">
        <is>
          <t>Website bán hàng</t>
        </is>
      </c>
      <c r="G770" s="2" t="inlineStr">
        <is>
          <t>KNZ-100X</t>
        </is>
      </c>
      <c r="H770" s="3" t="inlineStr">
        <is>
          <t>Thước đo khoảng cách laser KNZ-100X</t>
        </is>
      </c>
      <c r="I770" s="4" t="n">
        <v>798000</v>
      </c>
      <c r="J770" s="4" t="n"/>
      <c r="K770" s="4">
        <f>IF(AND(ISNUMBER(J770),ISNUMBER(I770)),J770-I770,"")</f>
        <v/>
      </c>
      <c r="L770" s="5">
        <f>IF(AND(ISNUMBER(J770),ISNUMBER(I770),I770&gt;0),(J770-I770)/I770,"")</f>
        <v/>
      </c>
      <c r="M770" s="2">
        <f>IF(L770="","",IF(L770&lt;-0.05,"Bán phá giá",IF(L770&gt;0.05,"Bán cao hơn","Đúng giá niêm yết")))</f>
        <v/>
      </c>
      <c r="N770" s="2" t="n"/>
      <c r="O770" s="3" t="n"/>
      <c r="P770" s="3" t="n"/>
    </row>
    <row r="771">
      <c r="A771" s="2" t="n">
        <v>770</v>
      </c>
      <c r="B771" s="2" t="inlineStr">
        <is>
          <t>KH004</t>
        </is>
      </c>
      <c r="C771" s="3" t="inlineStr">
        <is>
          <t>HCM-BIGSHOP</t>
        </is>
      </c>
      <c r="D771" s="2" t="inlineStr">
        <is>
          <t>HCM</t>
        </is>
      </c>
      <c r="E771" s="2" t="inlineStr">
        <is>
          <t>XUÂN TRANG</t>
        </is>
      </c>
      <c r="F771" s="2" t="inlineStr">
        <is>
          <t>Website bán hàng</t>
        </is>
      </c>
      <c r="G771" s="2" t="inlineStr">
        <is>
          <t>KNZ-80R</t>
        </is>
      </c>
      <c r="H771" s="3" t="inlineStr">
        <is>
          <t>Thước đo khoảng cách laser KNZ-80R</t>
        </is>
      </c>
      <c r="I771" s="4" t="n">
        <v>1188000</v>
      </c>
      <c r="J771" s="4" t="n"/>
      <c r="K771" s="4">
        <f>IF(AND(ISNUMBER(J771),ISNUMBER(I771)),J771-I771,"")</f>
        <v/>
      </c>
      <c r="L771" s="5">
        <f>IF(AND(ISNUMBER(J771),ISNUMBER(I771),I771&gt;0),(J771-I771)/I771,"")</f>
        <v/>
      </c>
      <c r="M771" s="2">
        <f>IF(L771="","",IF(L771&lt;-0.05,"Bán phá giá",IF(L771&gt;0.05,"Bán cao hơn","Đúng giá niêm yết")))</f>
        <v/>
      </c>
      <c r="N771" s="2" t="n"/>
      <c r="O771" s="3" t="n"/>
      <c r="P771" s="3" t="n"/>
    </row>
    <row r="772">
      <c r="A772" s="2" t="n">
        <v>771</v>
      </c>
      <c r="B772" s="2" t="inlineStr">
        <is>
          <t>KH005</t>
        </is>
      </c>
      <c r="C772" s="3" t="inlineStr">
        <is>
          <t>ThinkSafe HCM</t>
        </is>
      </c>
      <c r="D772" s="2" t="inlineStr">
        <is>
          <t>HCM</t>
        </is>
      </c>
      <c r="E772" s="2" t="inlineStr">
        <is>
          <t>XUÂN TRANG</t>
        </is>
      </c>
      <c r="F772" s="2" t="inlineStr">
        <is>
          <t>Shopee</t>
        </is>
      </c>
      <c r="G772" s="2" t="inlineStr">
        <is>
          <t>H03LT1722</t>
        </is>
      </c>
      <c r="H772" s="3" t="inlineStr">
        <is>
          <t>Bộ cờ lê H03LT1722 gồm đầu 17mm và 22mm</t>
        </is>
      </c>
      <c r="I772" s="4" t="n">
        <v>2060000</v>
      </c>
      <c r="J772" s="4" t="n"/>
      <c r="K772" s="4">
        <f>IF(AND(ISNUMBER(J772),ISNUMBER(I772)),J772-I772,"")</f>
        <v/>
      </c>
      <c r="L772" s="5">
        <f>IF(AND(ISNUMBER(J772),ISNUMBER(I772),I772&gt;0),(J772-I772)/I772,"")</f>
        <v/>
      </c>
      <c r="M772" s="2">
        <f>IF(L772="","",IF(L772&lt;-0.05,"Bán phá giá",IF(L772&gt;0.05,"Bán cao hơn","Đúng giá niêm yết")))</f>
        <v/>
      </c>
      <c r="N772" s="2" t="n"/>
      <c r="O772" s="3" t="n"/>
      <c r="P772" s="3" t="n"/>
    </row>
    <row r="773">
      <c r="A773" s="2" t="n">
        <v>772</v>
      </c>
      <c r="B773" s="2" t="inlineStr">
        <is>
          <t>KH005</t>
        </is>
      </c>
      <c r="C773" s="3" t="inlineStr">
        <is>
          <t>ThinkSafe HCM</t>
        </is>
      </c>
      <c r="D773" s="2" t="inlineStr">
        <is>
          <t>HCM</t>
        </is>
      </c>
      <c r="E773" s="2" t="inlineStr">
        <is>
          <t>XUÂN TRANG</t>
        </is>
      </c>
      <c r="F773" s="2" t="inlineStr">
        <is>
          <t>Shopee</t>
        </is>
      </c>
      <c r="G773" s="2" t="inlineStr"/>
      <c r="H773" s="3" t="inlineStr">
        <is>
          <t>Bộ chuyển đổi chân pin KingBlue</t>
        </is>
      </c>
      <c r="I773" s="4" t="n">
        <v>220000</v>
      </c>
      <c r="J773" s="4" t="n"/>
      <c r="K773" s="4">
        <f>IF(AND(ISNUMBER(J773),ISNUMBER(I773)),J773-I773,"")</f>
        <v/>
      </c>
      <c r="L773" s="5">
        <f>IF(AND(ISNUMBER(J773),ISNUMBER(I773),I773&gt;0),(J773-I773)/I773,"")</f>
        <v/>
      </c>
      <c r="M773" s="2">
        <f>IF(L773="","",IF(L773&lt;-0.05,"Bán phá giá",IF(L773&gt;0.05,"Bán cao hơn","Đúng giá niêm yết")))</f>
        <v/>
      </c>
      <c r="N773" s="2" t="n"/>
      <c r="O773" s="3" t="n"/>
      <c r="P773" s="3" t="n"/>
    </row>
    <row r="774">
      <c r="A774" s="2" t="n">
        <v>773</v>
      </c>
      <c r="B774" s="2" t="inlineStr">
        <is>
          <t>KH005</t>
        </is>
      </c>
      <c r="C774" s="3" t="inlineStr">
        <is>
          <t>ThinkSafe HCM</t>
        </is>
      </c>
      <c r="D774" s="2" t="inlineStr">
        <is>
          <t>HCM</t>
        </is>
      </c>
      <c r="E774" s="2" t="inlineStr">
        <is>
          <t>XUÂN TRANG</t>
        </is>
      </c>
      <c r="F774" s="2" t="inlineStr">
        <is>
          <t>Shopee</t>
        </is>
      </c>
      <c r="G774" s="2" t="inlineStr">
        <is>
          <t>T9100E</t>
        </is>
      </c>
      <c r="H774" s="3" t="inlineStr">
        <is>
          <t>Bộ đầu hoa thị T9100E</t>
        </is>
      </c>
      <c r="I774" s="4" t="n">
        <v>116000</v>
      </c>
      <c r="J774" s="4" t="n"/>
      <c r="K774" s="4">
        <f>IF(AND(ISNUMBER(J774),ISNUMBER(I774)),J774-I774,"")</f>
        <v/>
      </c>
      <c r="L774" s="5">
        <f>IF(AND(ISNUMBER(J774),ISNUMBER(I774),I774&gt;0),(J774-I774)/I774,"")</f>
        <v/>
      </c>
      <c r="M774" s="2">
        <f>IF(L774="","",IF(L774&lt;-0.05,"Bán phá giá",IF(L774&gt;0.05,"Bán cao hơn","Đúng giá niêm yết")))</f>
        <v/>
      </c>
      <c r="N774" s="2" t="n"/>
      <c r="O774" s="3" t="n"/>
      <c r="P774" s="3" t="n"/>
    </row>
    <row r="775">
      <c r="A775" s="2" t="n">
        <v>774</v>
      </c>
      <c r="B775" s="2" t="inlineStr">
        <is>
          <t>KH005</t>
        </is>
      </c>
      <c r="C775" s="3" t="inlineStr">
        <is>
          <t>ThinkSafe HCM</t>
        </is>
      </c>
      <c r="D775" s="2" t="inlineStr">
        <is>
          <t>HCM</t>
        </is>
      </c>
      <c r="E775" s="2" t="inlineStr">
        <is>
          <t>XUÂN TRANG</t>
        </is>
      </c>
      <c r="F775" s="2" t="inlineStr">
        <is>
          <t>Shopee</t>
        </is>
      </c>
      <c r="G775" s="2" t="inlineStr">
        <is>
          <t>L8100E</t>
        </is>
      </c>
      <c r="H775" s="3" t="inlineStr">
        <is>
          <t>Bộ đầu lục giác L8100E</t>
        </is>
      </c>
      <c r="I775" s="4" t="n">
        <v>116000</v>
      </c>
      <c r="J775" s="4" t="n"/>
      <c r="K775" s="4">
        <f>IF(AND(ISNUMBER(J775),ISNUMBER(I775)),J775-I775,"")</f>
        <v/>
      </c>
      <c r="L775" s="5">
        <f>IF(AND(ISNUMBER(J775),ISNUMBER(I775),I775&gt;0),(J775-I775)/I775,"")</f>
        <v/>
      </c>
      <c r="M775" s="2">
        <f>IF(L775="","",IF(L775&lt;-0.05,"Bán phá giá",IF(L775&gt;0.05,"Bán cao hơn","Đúng giá niêm yết")))</f>
        <v/>
      </c>
      <c r="N775" s="2" t="n"/>
      <c r="O775" s="3" t="n"/>
      <c r="P775" s="3" t="n"/>
    </row>
    <row r="776">
      <c r="A776" s="2" t="n">
        <v>775</v>
      </c>
      <c r="B776" s="2" t="inlineStr">
        <is>
          <t>KH005</t>
        </is>
      </c>
      <c r="C776" s="3" t="inlineStr">
        <is>
          <t>ThinkSafe HCM</t>
        </is>
      </c>
      <c r="D776" s="2" t="inlineStr">
        <is>
          <t>HCM</t>
        </is>
      </c>
      <c r="E776" s="2" t="inlineStr">
        <is>
          <t>XUÂN TRANG</t>
        </is>
      </c>
      <c r="F776" s="2" t="inlineStr">
        <is>
          <t>Shopee</t>
        </is>
      </c>
      <c r="G776" s="2" t="inlineStr">
        <is>
          <t>KBYT6</t>
        </is>
      </c>
      <c r="H776" s="3" t="inlineStr">
        <is>
          <t>Bộ lấy ốc gãy KingBlue KBYT6</t>
        </is>
      </c>
      <c r="I776" s="4" t="n">
        <v>86000</v>
      </c>
      <c r="J776" s="4" t="n"/>
      <c r="K776" s="4">
        <f>IF(AND(ISNUMBER(J776),ISNUMBER(I776)),J776-I776,"")</f>
        <v/>
      </c>
      <c r="L776" s="5">
        <f>IF(AND(ISNUMBER(J776),ISNUMBER(I776),I776&gt;0),(J776-I776)/I776,"")</f>
        <v/>
      </c>
      <c r="M776" s="2">
        <f>IF(L776="","",IF(L776&lt;-0.05,"Bán phá giá",IF(L776&gt;0.05,"Bán cao hơn","Đúng giá niêm yết")))</f>
        <v/>
      </c>
      <c r="N776" s="2" t="n"/>
      <c r="O776" s="3" t="n"/>
      <c r="P776" s="3" t="n"/>
    </row>
    <row r="777">
      <c r="A777" s="2" t="n">
        <v>776</v>
      </c>
      <c r="B777" s="2" t="inlineStr">
        <is>
          <t>KH005</t>
        </is>
      </c>
      <c r="C777" s="3" t="inlineStr">
        <is>
          <t>ThinkSafe HCM</t>
        </is>
      </c>
      <c r="D777" s="2" t="inlineStr">
        <is>
          <t>HCM</t>
        </is>
      </c>
      <c r="E777" s="2" t="inlineStr">
        <is>
          <t>XUÂN TRANG</t>
        </is>
      </c>
      <c r="F777" s="2" t="inlineStr">
        <is>
          <t>Shopee</t>
        </is>
      </c>
      <c r="G777" s="2" t="inlineStr">
        <is>
          <t>KB-R1323</t>
        </is>
      </c>
      <c r="H777" s="3" t="inlineStr">
        <is>
          <t>Bộ loe ống đồng 2 chức năng KingBlue KB-R1323</t>
        </is>
      </c>
      <c r="I777" s="4" t="n">
        <v>1780000</v>
      </c>
      <c r="J777" s="4" t="n"/>
      <c r="K777" s="4">
        <f>IF(AND(ISNUMBER(J777),ISNUMBER(I777)),J777-I777,"")</f>
        <v/>
      </c>
      <c r="L777" s="5">
        <f>IF(AND(ISNUMBER(J777),ISNUMBER(I777),I777&gt;0),(J777-I777)/I777,"")</f>
        <v/>
      </c>
      <c r="M777" s="2">
        <f>IF(L777="","",IF(L777&lt;-0.05,"Bán phá giá",IF(L777&gt;0.05,"Bán cao hơn","Đúng giá niêm yết")))</f>
        <v/>
      </c>
      <c r="N777" s="2" t="n"/>
      <c r="O777" s="3" t="n"/>
      <c r="P777" s="3" t="n"/>
    </row>
    <row r="778">
      <c r="A778" s="2" t="n">
        <v>777</v>
      </c>
      <c r="B778" s="2" t="inlineStr">
        <is>
          <t>KH005</t>
        </is>
      </c>
      <c r="C778" s="3" t="inlineStr">
        <is>
          <t>ThinkSafe HCM</t>
        </is>
      </c>
      <c r="D778" s="2" t="inlineStr">
        <is>
          <t>HCM</t>
        </is>
      </c>
      <c r="E778" s="2" t="inlineStr">
        <is>
          <t>XUÂN TRANG</t>
        </is>
      </c>
      <c r="F778" s="2" t="inlineStr">
        <is>
          <t>Shopee</t>
        </is>
      </c>
      <c r="G778" s="2" t="inlineStr">
        <is>
          <t>KB-C1323</t>
        </is>
      </c>
      <c r="H778" s="3" t="inlineStr">
        <is>
          <t>Bộ loe ống đồng KingBlue KB-C1323</t>
        </is>
      </c>
      <c r="I778" s="4" t="n">
        <v>1200000</v>
      </c>
      <c r="J778" s="4" t="n"/>
      <c r="K778" s="4">
        <f>IF(AND(ISNUMBER(J778),ISNUMBER(I778)),J778-I778,"")</f>
        <v/>
      </c>
      <c r="L778" s="5">
        <f>IF(AND(ISNUMBER(J778),ISNUMBER(I778),I778&gt;0),(J778-I778)/I778,"")</f>
        <v/>
      </c>
      <c r="M778" s="2">
        <f>IF(L778="","",IF(L778&lt;-0.05,"Bán phá giá",IF(L778&gt;0.05,"Bán cao hơn","Đúng giá niêm yết")))</f>
        <v/>
      </c>
      <c r="N778" s="2" t="n"/>
      <c r="O778" s="3" t="n"/>
      <c r="P778" s="3" t="n"/>
    </row>
    <row r="779">
      <c r="A779" s="2" t="n">
        <v>778</v>
      </c>
      <c r="B779" s="2" t="inlineStr">
        <is>
          <t>KH005</t>
        </is>
      </c>
      <c r="C779" s="3" t="inlineStr">
        <is>
          <t>ThinkSafe HCM</t>
        </is>
      </c>
      <c r="D779" s="2" t="inlineStr">
        <is>
          <t>HCM</t>
        </is>
      </c>
      <c r="E779" s="2" t="inlineStr">
        <is>
          <t>XUÂN TRANG</t>
        </is>
      </c>
      <c r="F779" s="2" t="inlineStr">
        <is>
          <t>Shopee</t>
        </is>
      </c>
      <c r="G779" s="2" t="inlineStr">
        <is>
          <t>KL-008</t>
        </is>
      </c>
      <c r="H779" s="3" t="inlineStr">
        <is>
          <t>Bộ lục giác gập KL-008</t>
        </is>
      </c>
      <c r="I779" s="4" t="n">
        <v>110000</v>
      </c>
      <c r="J779" s="4" t="n"/>
      <c r="K779" s="4">
        <f>IF(AND(ISNUMBER(J779),ISNUMBER(I779)),J779-I779,"")</f>
        <v/>
      </c>
      <c r="L779" s="5">
        <f>IF(AND(ISNUMBER(J779),ISNUMBER(I779),I779&gt;0),(J779-I779)/I779,"")</f>
        <v/>
      </c>
      <c r="M779" s="2">
        <f>IF(L779="","",IF(L779&lt;-0.05,"Bán phá giá",IF(L779&gt;0.05,"Bán cao hơn","Đúng giá niêm yết")))</f>
        <v/>
      </c>
      <c r="N779" s="2" t="n"/>
      <c r="O779" s="3" t="n"/>
      <c r="P779" s="3" t="n"/>
    </row>
    <row r="780">
      <c r="A780" s="2" t="n">
        <v>779</v>
      </c>
      <c r="B780" s="2" t="inlineStr">
        <is>
          <t>KH005</t>
        </is>
      </c>
      <c r="C780" s="3" t="inlineStr">
        <is>
          <t>ThinkSafe HCM</t>
        </is>
      </c>
      <c r="D780" s="2" t="inlineStr">
        <is>
          <t>HCM</t>
        </is>
      </c>
      <c r="E780" s="2" t="inlineStr">
        <is>
          <t>XUÂN TRANG</t>
        </is>
      </c>
      <c r="F780" s="2" t="inlineStr">
        <is>
          <t>Shopee</t>
        </is>
      </c>
      <c r="G780" s="2" t="inlineStr">
        <is>
          <t>KL018</t>
        </is>
      </c>
      <c r="H780" s="3" t="inlineStr">
        <is>
          <t>Bộ lục giác KL018</t>
        </is>
      </c>
      <c r="I780" s="4" t="n">
        <v>433000</v>
      </c>
      <c r="J780" s="4" t="n"/>
      <c r="K780" s="4">
        <f>IF(AND(ISNUMBER(J780),ISNUMBER(I780)),J780-I780,"")</f>
        <v/>
      </c>
      <c r="L780" s="5">
        <f>IF(AND(ISNUMBER(J780),ISNUMBER(I780),I780&gt;0),(J780-I780)/I780,"")</f>
        <v/>
      </c>
      <c r="M780" s="2">
        <f>IF(L780="","",IF(L780&lt;-0.05,"Bán phá giá",IF(L780&gt;0.05,"Bán cao hơn","Đúng giá niêm yết")))</f>
        <v/>
      </c>
      <c r="N780" s="2" t="n"/>
      <c r="O780" s="3" t="n"/>
      <c r="P780" s="3" t="n"/>
    </row>
    <row r="781">
      <c r="A781" s="2" t="n">
        <v>780</v>
      </c>
      <c r="B781" s="2" t="inlineStr">
        <is>
          <t>KH005</t>
        </is>
      </c>
      <c r="C781" s="3" t="inlineStr">
        <is>
          <t>ThinkSafe HCM</t>
        </is>
      </c>
      <c r="D781" s="2" t="inlineStr">
        <is>
          <t>HCM</t>
        </is>
      </c>
      <c r="E781" s="2" t="inlineStr">
        <is>
          <t>XUÂN TRANG</t>
        </is>
      </c>
      <c r="F781" s="2" t="inlineStr">
        <is>
          <t>Shopee</t>
        </is>
      </c>
      <c r="G781" s="2" t="inlineStr">
        <is>
          <t>KL5-09</t>
        </is>
      </c>
      <c r="H781" s="3" t="inlineStr">
        <is>
          <t>Bộ lục giác KL5-09 ( đầu bi)</t>
        </is>
      </c>
      <c r="I781" s="4" t="n">
        <v>132000</v>
      </c>
      <c r="J781" s="4" t="n"/>
      <c r="K781" s="4">
        <f>IF(AND(ISNUMBER(J781),ISNUMBER(I781)),J781-I781,"")</f>
        <v/>
      </c>
      <c r="L781" s="5">
        <f>IF(AND(ISNUMBER(J781),ISNUMBER(I781),I781&gt;0),(J781-I781)/I781,"")</f>
        <v/>
      </c>
      <c r="M781" s="2">
        <f>IF(L781="","",IF(L781&lt;-0.05,"Bán phá giá",IF(L781&gt;0.05,"Bán cao hơn","Đúng giá niêm yết")))</f>
        <v/>
      </c>
      <c r="N781" s="2" t="n"/>
      <c r="O781" s="3" t="n"/>
      <c r="P781" s="3" t="n"/>
    </row>
    <row r="782">
      <c r="A782" s="2" t="n">
        <v>781</v>
      </c>
      <c r="B782" s="2" t="inlineStr">
        <is>
          <t>KH005</t>
        </is>
      </c>
      <c r="C782" s="3" t="inlineStr">
        <is>
          <t>ThinkSafe HCM</t>
        </is>
      </c>
      <c r="D782" s="2" t="inlineStr">
        <is>
          <t>HCM</t>
        </is>
      </c>
      <c r="E782" s="2" t="inlineStr">
        <is>
          <t>XUÂN TRANG</t>
        </is>
      </c>
      <c r="F782" s="2" t="inlineStr">
        <is>
          <t>Shopee</t>
        </is>
      </c>
      <c r="G782" s="2" t="inlineStr">
        <is>
          <t>KL7-09</t>
        </is>
      </c>
      <c r="H782" s="3" t="inlineStr">
        <is>
          <t>Bộ lục giác KL7-09 ( đầu bi)</t>
        </is>
      </c>
      <c r="I782" s="4" t="n">
        <v>270000</v>
      </c>
      <c r="J782" s="4" t="n"/>
      <c r="K782" s="4">
        <f>IF(AND(ISNUMBER(J782),ISNUMBER(I782)),J782-I782,"")</f>
        <v/>
      </c>
      <c r="L782" s="5">
        <f>IF(AND(ISNUMBER(J782),ISNUMBER(I782),I782&gt;0),(J782-I782)/I782,"")</f>
        <v/>
      </c>
      <c r="M782" s="2">
        <f>IF(L782="","",IF(L782&lt;-0.05,"Bán phá giá",IF(L782&gt;0.05,"Bán cao hơn","Đúng giá niêm yết")))</f>
        <v/>
      </c>
      <c r="N782" s="2" t="n"/>
      <c r="O782" s="3" t="n"/>
      <c r="P782" s="3" t="n"/>
    </row>
    <row r="783">
      <c r="A783" s="2" t="n">
        <v>782</v>
      </c>
      <c r="B783" s="2" t="inlineStr">
        <is>
          <t>KH005</t>
        </is>
      </c>
      <c r="C783" s="3" t="inlineStr">
        <is>
          <t>ThinkSafe HCM</t>
        </is>
      </c>
      <c r="D783" s="2" t="inlineStr">
        <is>
          <t>HCM</t>
        </is>
      </c>
      <c r="E783" s="2" t="inlineStr">
        <is>
          <t>XUÂN TRANG</t>
        </is>
      </c>
      <c r="F783" s="2" t="inlineStr">
        <is>
          <t>Shopee</t>
        </is>
      </c>
      <c r="G783" s="2" t="inlineStr">
        <is>
          <t>KL9-09</t>
        </is>
      </c>
      <c r="H783" s="3" t="inlineStr">
        <is>
          <t>Bộ lục giác KL9-09 (đầu hoa thị)</t>
        </is>
      </c>
      <c r="I783" s="4" t="n">
        <v>275000</v>
      </c>
      <c r="J783" s="4" t="n"/>
      <c r="K783" s="4">
        <f>IF(AND(ISNUMBER(J783),ISNUMBER(I783)),J783-I783,"")</f>
        <v/>
      </c>
      <c r="L783" s="5">
        <f>IF(AND(ISNUMBER(J783),ISNUMBER(I783),I783&gt;0),(J783-I783)/I783,"")</f>
        <v/>
      </c>
      <c r="M783" s="2">
        <f>IF(L783="","",IF(L783&lt;-0.05,"Bán phá giá",IF(L783&gt;0.05,"Bán cao hơn","Đúng giá niêm yết")))</f>
        <v/>
      </c>
      <c r="N783" s="2" t="n"/>
      <c r="O783" s="3" t="n"/>
      <c r="P783" s="3" t="n"/>
    </row>
    <row r="784">
      <c r="A784" s="2" t="n">
        <v>783</v>
      </c>
      <c r="B784" s="2" t="inlineStr">
        <is>
          <t>KH005</t>
        </is>
      </c>
      <c r="C784" s="3" t="inlineStr">
        <is>
          <t>ThinkSafe HCM</t>
        </is>
      </c>
      <c r="D784" s="2" t="inlineStr">
        <is>
          <t>HCM</t>
        </is>
      </c>
      <c r="E784" s="2" t="inlineStr">
        <is>
          <t>XUÂN TRANG</t>
        </is>
      </c>
      <c r="F784" s="2" t="inlineStr">
        <is>
          <t>Shopee</t>
        </is>
      </c>
      <c r="G784" s="2" t="inlineStr">
        <is>
          <t>KLJ015</t>
        </is>
      </c>
      <c r="H784" s="3" t="inlineStr">
        <is>
          <t>Bộ mũi khoan King Blue KLJ015</t>
        </is>
      </c>
      <c r="I784" s="4" t="n">
        <v>350000</v>
      </c>
      <c r="J784" s="4" t="n"/>
      <c r="K784" s="4">
        <f>IF(AND(ISNUMBER(J784),ISNUMBER(I784)),J784-I784,"")</f>
        <v/>
      </c>
      <c r="L784" s="5">
        <f>IF(AND(ISNUMBER(J784),ISNUMBER(I784),I784&gt;0),(J784-I784)/I784,"")</f>
        <v/>
      </c>
      <c r="M784" s="2">
        <f>IF(L784="","",IF(L784&lt;-0.05,"Bán phá giá",IF(L784&gt;0.05,"Bán cao hơn","Đúng giá niêm yết")))</f>
        <v/>
      </c>
      <c r="N784" s="2" t="n"/>
      <c r="O784" s="3" t="n"/>
      <c r="P784" s="3" t="n"/>
    </row>
    <row r="785">
      <c r="A785" s="2" t="n">
        <v>784</v>
      </c>
      <c r="B785" s="2" t="inlineStr">
        <is>
          <t>KH005</t>
        </is>
      </c>
      <c r="C785" s="3" t="inlineStr">
        <is>
          <t>ThinkSafe HCM</t>
        </is>
      </c>
      <c r="D785" s="2" t="inlineStr">
        <is>
          <t>HCM</t>
        </is>
      </c>
      <c r="E785" s="2" t="inlineStr">
        <is>
          <t>XUÂN TRANG</t>
        </is>
      </c>
      <c r="F785" s="2" t="inlineStr">
        <is>
          <t>Shopee</t>
        </is>
      </c>
      <c r="G785" s="2" t="inlineStr">
        <is>
          <t>KBY1-B10</t>
        </is>
      </c>
      <c r="H785" s="3" t="inlineStr">
        <is>
          <t>Bộ mũi khoan thép Kingblue KBY1-B10</t>
        </is>
      </c>
      <c r="I785" s="4" t="n">
        <v>255000</v>
      </c>
      <c r="J785" s="4" t="n"/>
      <c r="K785" s="4">
        <f>IF(AND(ISNUMBER(J785),ISNUMBER(I785)),J785-I785,"")</f>
        <v/>
      </c>
      <c r="L785" s="5">
        <f>IF(AND(ISNUMBER(J785),ISNUMBER(I785),I785&gt;0),(J785-I785)/I785,"")</f>
        <v/>
      </c>
      <c r="M785" s="2">
        <f>IF(L785="","",IF(L785&lt;-0.05,"Bán phá giá",IF(L785&gt;0.05,"Bán cao hơn","Đúng giá niêm yết")))</f>
        <v/>
      </c>
      <c r="N785" s="2" t="n"/>
      <c r="O785" s="3" t="n"/>
      <c r="P785" s="3" t="n"/>
    </row>
    <row r="786">
      <c r="A786" s="2" t="n">
        <v>785</v>
      </c>
      <c r="B786" s="2" t="inlineStr">
        <is>
          <t>KH005</t>
        </is>
      </c>
      <c r="C786" s="3" t="inlineStr">
        <is>
          <t>ThinkSafe HCM</t>
        </is>
      </c>
      <c r="D786" s="2" t="inlineStr">
        <is>
          <t>HCM</t>
        </is>
      </c>
      <c r="E786" s="2" t="inlineStr">
        <is>
          <t>XUÂN TRANG</t>
        </is>
      </c>
      <c r="F786" s="2" t="inlineStr">
        <is>
          <t>Shopee</t>
        </is>
      </c>
      <c r="G786" s="2" t="inlineStr">
        <is>
          <t>KV10-13</t>
        </is>
      </c>
      <c r="H786" s="3" t="inlineStr">
        <is>
          <t>Bộ tuvit đóng KV10-13</t>
        </is>
      </c>
      <c r="I786" s="4" t="n">
        <v>275000</v>
      </c>
      <c r="J786" s="4" t="n"/>
      <c r="K786" s="4">
        <f>IF(AND(ISNUMBER(J786),ISNUMBER(I786)),J786-I786,"")</f>
        <v/>
      </c>
      <c r="L786" s="5">
        <f>IF(AND(ISNUMBER(J786),ISNUMBER(I786),I786&gt;0),(J786-I786)/I786,"")</f>
        <v/>
      </c>
      <c r="M786" s="2">
        <f>IF(L786="","",IF(L786&lt;-0.05,"Bán phá giá",IF(L786&gt;0.05,"Bán cao hơn","Đúng giá niêm yết")))</f>
        <v/>
      </c>
      <c r="N786" s="2" t="n"/>
      <c r="O786" s="3" t="n"/>
      <c r="P786" s="3" t="n"/>
    </row>
    <row r="787">
      <c r="A787" s="2" t="n">
        <v>786</v>
      </c>
      <c r="B787" s="2" t="inlineStr">
        <is>
          <t>KH005</t>
        </is>
      </c>
      <c r="C787" s="3" t="inlineStr">
        <is>
          <t>ThinkSafe HCM</t>
        </is>
      </c>
      <c r="D787" s="2" t="inlineStr">
        <is>
          <t>HCM</t>
        </is>
      </c>
      <c r="E787" s="2" t="inlineStr">
        <is>
          <t>XUÂN TRANG</t>
        </is>
      </c>
      <c r="F787" s="2" t="inlineStr">
        <is>
          <t>Shopee</t>
        </is>
      </c>
      <c r="G787" s="2" t="inlineStr">
        <is>
          <t>KLG12</t>
        </is>
      </c>
      <c r="H787" s="3" t="inlineStr">
        <is>
          <t>Bộ tuýp cần tự động 12 chi tiết KLG12</t>
        </is>
      </c>
      <c r="I787" s="4" t="n">
        <v>508000</v>
      </c>
      <c r="J787" s="4" t="n"/>
      <c r="K787" s="4">
        <f>IF(AND(ISNUMBER(J787),ISNUMBER(I787)),J787-I787,"")</f>
        <v/>
      </c>
      <c r="L787" s="5">
        <f>IF(AND(ISNUMBER(J787),ISNUMBER(I787),I787&gt;0),(J787-I787)/I787,"")</f>
        <v/>
      </c>
      <c r="M787" s="2">
        <f>IF(L787="","",IF(L787&lt;-0.05,"Bán phá giá",IF(L787&gt;0.05,"Bán cao hơn","Đúng giá niêm yết")))</f>
        <v/>
      </c>
      <c r="N787" s="2" t="n"/>
      <c r="O787" s="3" t="n"/>
      <c r="P787" s="3" t="n"/>
    </row>
    <row r="788">
      <c r="A788" s="2" t="n">
        <v>787</v>
      </c>
      <c r="B788" s="2" t="inlineStr">
        <is>
          <t>KH005</t>
        </is>
      </c>
      <c r="C788" s="3" t="inlineStr">
        <is>
          <t>ThinkSafe HCM</t>
        </is>
      </c>
      <c r="D788" s="2" t="inlineStr">
        <is>
          <t>HCM</t>
        </is>
      </c>
      <c r="E788" s="2" t="inlineStr">
        <is>
          <t>XUÂN TRANG</t>
        </is>
      </c>
      <c r="F788" s="2" t="inlineStr">
        <is>
          <t>Shopee</t>
        </is>
      </c>
      <c r="G788" s="2" t="inlineStr">
        <is>
          <t>KLG-12S</t>
        </is>
      </c>
      <c r="H788" s="3" t="inlineStr">
        <is>
          <t>Bộ tuýp cần tự động 12 chi tiết KLG-12S</t>
        </is>
      </c>
      <c r="I788" s="4" t="n">
        <v>304000</v>
      </c>
      <c r="J788" s="4" t="n"/>
      <c r="K788" s="4">
        <f>IF(AND(ISNUMBER(J788),ISNUMBER(I788)),J788-I788,"")</f>
        <v/>
      </c>
      <c r="L788" s="5">
        <f>IF(AND(ISNUMBER(J788),ISNUMBER(I788),I788&gt;0),(J788-I788)/I788,"")</f>
        <v/>
      </c>
      <c r="M788" s="2">
        <f>IF(L788="","",IF(L788&lt;-0.05,"Bán phá giá",IF(L788&gt;0.05,"Bán cao hơn","Đúng giá niêm yết")))</f>
        <v/>
      </c>
      <c r="N788" s="2" t="n"/>
      <c r="O788" s="3" t="n"/>
      <c r="P788" s="3" t="n"/>
    </row>
    <row r="789">
      <c r="A789" s="2" t="n">
        <v>788</v>
      </c>
      <c r="B789" s="2" t="inlineStr">
        <is>
          <t>KH005</t>
        </is>
      </c>
      <c r="C789" s="3" t="inlineStr">
        <is>
          <t>ThinkSafe HCM</t>
        </is>
      </c>
      <c r="D789" s="2" t="inlineStr">
        <is>
          <t>HCM</t>
        </is>
      </c>
      <c r="E789" s="2" t="inlineStr">
        <is>
          <t>XUÂN TRANG</t>
        </is>
      </c>
      <c r="F789" s="2" t="inlineStr">
        <is>
          <t>Shopee</t>
        </is>
      </c>
      <c r="G789" s="2" t="inlineStr">
        <is>
          <t>KIC140</t>
        </is>
      </c>
      <c r="H789" s="3" t="inlineStr">
        <is>
          <t>Bút thử điện KIC140</t>
        </is>
      </c>
      <c r="I789" s="4" t="n">
        <v>20000</v>
      </c>
      <c r="J789" s="4" t="n"/>
      <c r="K789" s="4">
        <f>IF(AND(ISNUMBER(J789),ISNUMBER(I789)),J789-I789,"")</f>
        <v/>
      </c>
      <c r="L789" s="5">
        <f>IF(AND(ISNUMBER(J789),ISNUMBER(I789),I789&gt;0),(J789-I789)/I789,"")</f>
        <v/>
      </c>
      <c r="M789" s="2">
        <f>IF(L789="","",IF(L789&lt;-0.05,"Bán phá giá",IF(L789&gt;0.05,"Bán cao hơn","Đúng giá niêm yết")))</f>
        <v/>
      </c>
      <c r="N789" s="2" t="n"/>
      <c r="O789" s="3" t="n"/>
      <c r="P789" s="3" t="n"/>
    </row>
    <row r="790">
      <c r="A790" s="2" t="n">
        <v>789</v>
      </c>
      <c r="B790" s="2" t="inlineStr">
        <is>
          <t>KH005</t>
        </is>
      </c>
      <c r="C790" s="3" t="inlineStr">
        <is>
          <t>ThinkSafe HCM</t>
        </is>
      </c>
      <c r="D790" s="2" t="inlineStr">
        <is>
          <t>HCM</t>
        </is>
      </c>
      <c r="E790" s="2" t="inlineStr">
        <is>
          <t>XUÂN TRANG</t>
        </is>
      </c>
      <c r="F790" s="2" t="inlineStr">
        <is>
          <t>Shopee</t>
        </is>
      </c>
      <c r="G790" s="2" t="inlineStr">
        <is>
          <t>KID160</t>
        </is>
      </c>
      <c r="H790" s="3" t="inlineStr">
        <is>
          <t>Bút thử điện KID160</t>
        </is>
      </c>
      <c r="I790" s="4" t="n">
        <v>61000</v>
      </c>
      <c r="J790" s="4" t="n"/>
      <c r="K790" s="4">
        <f>IF(AND(ISNUMBER(J790),ISNUMBER(I790)),J790-I790,"")</f>
        <v/>
      </c>
      <c r="L790" s="5">
        <f>IF(AND(ISNUMBER(J790),ISNUMBER(I790),I790&gt;0),(J790-I790)/I790,"")</f>
        <v/>
      </c>
      <c r="M790" s="2">
        <f>IF(L790="","",IF(L790&lt;-0.05,"Bán phá giá",IF(L790&gt;0.05,"Bán cao hơn","Đúng giá niêm yết")))</f>
        <v/>
      </c>
      <c r="N790" s="2" t="n"/>
      <c r="O790" s="3" t="n"/>
      <c r="P790" s="3" t="n"/>
    </row>
    <row r="791">
      <c r="A791" s="2" t="n">
        <v>790</v>
      </c>
      <c r="B791" s="2" t="inlineStr">
        <is>
          <t>KH005</t>
        </is>
      </c>
      <c r="C791" s="3" t="inlineStr">
        <is>
          <t>ThinkSafe HCM</t>
        </is>
      </c>
      <c r="D791" s="2" t="inlineStr">
        <is>
          <t>HCM</t>
        </is>
      </c>
      <c r="E791" s="2" t="inlineStr">
        <is>
          <t>XUÂN TRANG</t>
        </is>
      </c>
      <c r="F791" s="2" t="inlineStr">
        <is>
          <t>Shopee</t>
        </is>
      </c>
      <c r="G791" s="2" t="inlineStr">
        <is>
          <t>KIF160</t>
        </is>
      </c>
      <c r="H791" s="3" t="inlineStr">
        <is>
          <t>Bút thử điện KIF160</t>
        </is>
      </c>
      <c r="I791" s="4" t="n">
        <v>157000</v>
      </c>
      <c r="J791" s="4" t="n"/>
      <c r="K791" s="4">
        <f>IF(AND(ISNUMBER(J791),ISNUMBER(I791)),J791-I791,"")</f>
        <v/>
      </c>
      <c r="L791" s="5">
        <f>IF(AND(ISNUMBER(J791),ISNUMBER(I791),I791&gt;0),(J791-I791)/I791,"")</f>
        <v/>
      </c>
      <c r="M791" s="2">
        <f>IF(L791="","",IF(L791&lt;-0.05,"Bán phá giá",IF(L791&gt;0.05,"Bán cao hơn","Đúng giá niêm yết")))</f>
        <v/>
      </c>
      <c r="N791" s="2" t="n"/>
      <c r="O791" s="3" t="n"/>
      <c r="P791" s="3" t="n"/>
    </row>
    <row r="792">
      <c r="A792" s="2" t="n">
        <v>791</v>
      </c>
      <c r="B792" s="2" t="inlineStr">
        <is>
          <t>KH005</t>
        </is>
      </c>
      <c r="C792" s="3" t="inlineStr">
        <is>
          <t>ThinkSafe HCM</t>
        </is>
      </c>
      <c r="D792" s="2" t="inlineStr">
        <is>
          <t>HCM</t>
        </is>
      </c>
      <c r="E792" s="2" t="inlineStr">
        <is>
          <t>XUÂN TRANG</t>
        </is>
      </c>
      <c r="F792" s="2" t="inlineStr">
        <is>
          <t>Shopee</t>
        </is>
      </c>
      <c r="G792" s="2" t="inlineStr">
        <is>
          <t>KLG-01</t>
        </is>
      </c>
      <c r="H792" s="3" t="inlineStr">
        <is>
          <t>Cần siết tự động 1/2 (72 răng) KLG-01</t>
        </is>
      </c>
      <c r="I792" s="4" t="n">
        <v>191000</v>
      </c>
      <c r="J792" s="4" t="n"/>
      <c r="K792" s="4">
        <f>IF(AND(ISNUMBER(J792),ISNUMBER(I792)),J792-I792,"")</f>
        <v/>
      </c>
      <c r="L792" s="5">
        <f>IF(AND(ISNUMBER(J792),ISNUMBER(I792),I792&gt;0),(J792-I792)/I792,"")</f>
        <v/>
      </c>
      <c r="M792" s="2">
        <f>IF(L792="","",IF(L792&lt;-0.05,"Bán phá giá",IF(L792&gt;0.05,"Bán cao hơn","Đúng giá niêm yết")))</f>
        <v/>
      </c>
      <c r="N792" s="2" t="n"/>
      <c r="O792" s="3" t="n"/>
      <c r="P792" s="3" t="n"/>
    </row>
    <row r="793">
      <c r="A793" s="2" t="n">
        <v>792</v>
      </c>
      <c r="B793" s="2" t="inlineStr">
        <is>
          <t>KH005</t>
        </is>
      </c>
      <c r="C793" s="3" t="inlineStr">
        <is>
          <t>ThinkSafe HCM</t>
        </is>
      </c>
      <c r="D793" s="2" t="inlineStr">
        <is>
          <t>HCM</t>
        </is>
      </c>
      <c r="E793" s="2" t="inlineStr">
        <is>
          <t>XUÂN TRANG</t>
        </is>
      </c>
      <c r="F793" s="2" t="inlineStr">
        <is>
          <t>Shopee</t>
        </is>
      </c>
      <c r="G793" s="2" t="inlineStr">
        <is>
          <t>KGX-08</t>
        </is>
      </c>
      <c r="H793" s="3" t="inlineStr">
        <is>
          <t>Cần siết tự động đa năng 8 in 1 KGX-08</t>
        </is>
      </c>
      <c r="I793" s="4" t="n">
        <v>383000</v>
      </c>
      <c r="J793" s="4" t="n"/>
      <c r="K793" s="4">
        <f>IF(AND(ISNUMBER(J793),ISNUMBER(I793)),J793-I793,"")</f>
        <v/>
      </c>
      <c r="L793" s="5">
        <f>IF(AND(ISNUMBER(J793),ISNUMBER(I793),I793&gt;0),(J793-I793)/I793,"")</f>
        <v/>
      </c>
      <c r="M793" s="2">
        <f>IF(L793="","",IF(L793&lt;-0.05,"Bán phá giá",IF(L793&gt;0.05,"Bán cao hơn","Đúng giá niêm yết")))</f>
        <v/>
      </c>
      <c r="N793" s="2" t="n"/>
      <c r="O793" s="3" t="n"/>
      <c r="P793" s="3" t="n"/>
    </row>
    <row r="794">
      <c r="A794" s="2" t="n">
        <v>793</v>
      </c>
      <c r="B794" s="2" t="inlineStr">
        <is>
          <t>KH005</t>
        </is>
      </c>
      <c r="C794" s="3" t="inlineStr">
        <is>
          <t>ThinkSafe HCM</t>
        </is>
      </c>
      <c r="D794" s="2" t="inlineStr">
        <is>
          <t>HCM</t>
        </is>
      </c>
      <c r="E794" s="2" t="inlineStr">
        <is>
          <t>XUÂN TRANG</t>
        </is>
      </c>
      <c r="F794" s="2" t="inlineStr">
        <is>
          <t>Shopee</t>
        </is>
      </c>
      <c r="G794" s="2" t="inlineStr">
        <is>
          <t>KB-ST18</t>
        </is>
      </c>
      <c r="H794" s="3" t="inlineStr">
        <is>
          <t>Công cụ đóng đinh bán tự động KB-ST18</t>
        </is>
      </c>
      <c r="I794" s="4" t="n">
        <v>303000</v>
      </c>
      <c r="J794" s="4" t="n"/>
      <c r="K794" s="4">
        <f>IF(AND(ISNUMBER(J794),ISNUMBER(I794)),J794-I794,"")</f>
        <v/>
      </c>
      <c r="L794" s="5">
        <f>IF(AND(ISNUMBER(J794),ISNUMBER(I794),I794&gt;0),(J794-I794)/I794,"")</f>
        <v/>
      </c>
      <c r="M794" s="2">
        <f>IF(L794="","",IF(L794&lt;-0.05,"Bán phá giá",IF(L794&gt;0.05,"Bán cao hơn","Đúng giá niêm yết")))</f>
        <v/>
      </c>
      <c r="N794" s="2" t="n"/>
      <c r="O794" s="3" t="n"/>
      <c r="P794" s="3" t="n"/>
    </row>
    <row r="795">
      <c r="A795" s="2" t="n">
        <v>794</v>
      </c>
      <c r="B795" s="2" t="inlineStr">
        <is>
          <t>KH005</t>
        </is>
      </c>
      <c r="C795" s="3" t="inlineStr">
        <is>
          <t>ThinkSafe HCM</t>
        </is>
      </c>
      <c r="D795" s="2" t="inlineStr">
        <is>
          <t>HCM</t>
        </is>
      </c>
      <c r="E795" s="2" t="inlineStr">
        <is>
          <t>XUÂN TRANG</t>
        </is>
      </c>
      <c r="F795" s="2" t="inlineStr">
        <is>
          <t>Shopee</t>
        </is>
      </c>
      <c r="G795" s="2" t="inlineStr"/>
      <c r="H795" s="3" t="inlineStr">
        <is>
          <t>Cờ lê lực 24mm</t>
        </is>
      </c>
      <c r="I795" s="4" t="n">
        <v>1180000</v>
      </c>
      <c r="J795" s="4" t="n"/>
      <c r="K795" s="4">
        <f>IF(AND(ISNUMBER(J795),ISNUMBER(I795)),J795-I795,"")</f>
        <v/>
      </c>
      <c r="L795" s="5">
        <f>IF(AND(ISNUMBER(J795),ISNUMBER(I795),I795&gt;0),(J795-I795)/I795,"")</f>
        <v/>
      </c>
      <c r="M795" s="2">
        <f>IF(L795="","",IF(L795&lt;-0.05,"Bán phá giá",IF(L795&gt;0.05,"Bán cao hơn","Đúng giá niêm yết")))</f>
        <v/>
      </c>
      <c r="N795" s="2" t="n"/>
      <c r="O795" s="3" t="n"/>
      <c r="P795" s="3" t="n"/>
    </row>
    <row r="796">
      <c r="A796" s="2" t="n">
        <v>795</v>
      </c>
      <c r="B796" s="2" t="inlineStr">
        <is>
          <t>KH005</t>
        </is>
      </c>
      <c r="C796" s="3" t="inlineStr">
        <is>
          <t>ThinkSafe HCM</t>
        </is>
      </c>
      <c r="D796" s="2" t="inlineStr">
        <is>
          <t>HCM</t>
        </is>
      </c>
      <c r="E796" s="2" t="inlineStr">
        <is>
          <t>XUÂN TRANG</t>
        </is>
      </c>
      <c r="F796" s="2" t="inlineStr">
        <is>
          <t>Shopee</t>
        </is>
      </c>
      <c r="G796" s="2" t="inlineStr">
        <is>
          <t>ES180i</t>
        </is>
      </c>
      <c r="H796" s="3" t="inlineStr">
        <is>
          <t>Cưa gấp KingBlue ES180i</t>
        </is>
      </c>
      <c r="I796" s="4" t="n">
        <v>132000</v>
      </c>
      <c r="J796" s="4" t="n"/>
      <c r="K796" s="4">
        <f>IF(AND(ISNUMBER(J796),ISNUMBER(I796)),J796-I796,"")</f>
        <v/>
      </c>
      <c r="L796" s="5">
        <f>IF(AND(ISNUMBER(J796),ISNUMBER(I796),I796&gt;0),(J796-I796)/I796,"")</f>
        <v/>
      </c>
      <c r="M796" s="2">
        <f>IF(L796="","",IF(L796&lt;-0.05,"Bán phá giá",IF(L796&gt;0.05,"Bán cao hơn","Đúng giá niêm yết")))</f>
        <v/>
      </c>
      <c r="N796" s="2" t="n"/>
      <c r="O796" s="3" t="n"/>
      <c r="P796" s="3" t="n"/>
    </row>
    <row r="797">
      <c r="A797" s="2" t="n">
        <v>796</v>
      </c>
      <c r="B797" s="2" t="inlineStr">
        <is>
          <t>KH005</t>
        </is>
      </c>
      <c r="C797" s="3" t="inlineStr">
        <is>
          <t>ThinkSafe HCM</t>
        </is>
      </c>
      <c r="D797" s="2" t="inlineStr">
        <is>
          <t>HCM</t>
        </is>
      </c>
      <c r="E797" s="2" t="inlineStr">
        <is>
          <t>XUÂN TRANG</t>
        </is>
      </c>
      <c r="F797" s="2" t="inlineStr">
        <is>
          <t>Shopee</t>
        </is>
      </c>
      <c r="G797" s="2" t="inlineStr">
        <is>
          <t>ES250</t>
        </is>
      </c>
      <c r="H797" s="3" t="inlineStr">
        <is>
          <t>Cưa gấp KingBlue ES250</t>
        </is>
      </c>
      <c r="I797" s="4" t="n">
        <v>176000</v>
      </c>
      <c r="J797" s="4" t="n"/>
      <c r="K797" s="4">
        <f>IF(AND(ISNUMBER(J797),ISNUMBER(I797)),J797-I797,"")</f>
        <v/>
      </c>
      <c r="L797" s="5">
        <f>IF(AND(ISNUMBER(J797),ISNUMBER(I797),I797&gt;0),(J797-I797)/I797,"")</f>
        <v/>
      </c>
      <c r="M797" s="2">
        <f>IF(L797="","",IF(L797&lt;-0.05,"Bán phá giá",IF(L797&gt;0.05,"Bán cao hơn","Đúng giá niêm yết")))</f>
        <v/>
      </c>
      <c r="N797" s="2" t="n"/>
      <c r="O797" s="3" t="n"/>
      <c r="P797" s="3" t="n"/>
    </row>
    <row r="798">
      <c r="A798" s="2" t="n">
        <v>797</v>
      </c>
      <c r="B798" s="2" t="inlineStr">
        <is>
          <t>KH005</t>
        </is>
      </c>
      <c r="C798" s="3" t="inlineStr">
        <is>
          <t>ThinkSafe HCM</t>
        </is>
      </c>
      <c r="D798" s="2" t="inlineStr">
        <is>
          <t>HCM</t>
        </is>
      </c>
      <c r="E798" s="2" t="inlineStr">
        <is>
          <t>XUÂN TRANG</t>
        </is>
      </c>
      <c r="F798" s="2" t="inlineStr">
        <is>
          <t>Shopee</t>
        </is>
      </c>
      <c r="G798" s="2" t="inlineStr">
        <is>
          <t>KB-E350</t>
        </is>
      </c>
      <c r="H798" s="3" t="inlineStr">
        <is>
          <t>Cưa KingBlue KB-E350</t>
        </is>
      </c>
      <c r="I798" s="4" t="n">
        <v>273000</v>
      </c>
      <c r="J798" s="4" t="n"/>
      <c r="K798" s="4">
        <f>IF(AND(ISNUMBER(J798),ISNUMBER(I798)),J798-I798,"")</f>
        <v/>
      </c>
      <c r="L798" s="5">
        <f>IF(AND(ISNUMBER(J798),ISNUMBER(I798),I798&gt;0),(J798-I798)/I798,"")</f>
        <v/>
      </c>
      <c r="M798" s="2">
        <f>IF(L798="","",IF(L798&lt;-0.05,"Bán phá giá",IF(L798&gt;0.05,"Bán cao hơn","Đúng giá niêm yết")))</f>
        <v/>
      </c>
      <c r="N798" s="2" t="n"/>
      <c r="O798" s="3" t="n"/>
      <c r="P798" s="3" t="n"/>
    </row>
    <row r="799">
      <c r="A799" s="2" t="n">
        <v>798</v>
      </c>
      <c r="B799" s="2" t="inlineStr">
        <is>
          <t>KH005</t>
        </is>
      </c>
      <c r="C799" s="3" t="inlineStr">
        <is>
          <t>ThinkSafe HCM</t>
        </is>
      </c>
      <c r="D799" s="2" t="inlineStr">
        <is>
          <t>HCM</t>
        </is>
      </c>
      <c r="E799" s="2" t="inlineStr">
        <is>
          <t>XUÂN TRANG</t>
        </is>
      </c>
      <c r="F799" s="2" t="inlineStr">
        <is>
          <t>Shopee</t>
        </is>
      </c>
      <c r="G799" s="2" t="inlineStr">
        <is>
          <t>KJC300</t>
        </is>
      </c>
      <c r="H799" s="3" t="inlineStr">
        <is>
          <t>Cưa tay KJC300</t>
        </is>
      </c>
      <c r="I799" s="4" t="n">
        <v>97000</v>
      </c>
      <c r="J799" s="4" t="n"/>
      <c r="K799" s="4">
        <f>IF(AND(ISNUMBER(J799),ISNUMBER(I799)),J799-I799,"")</f>
        <v/>
      </c>
      <c r="L799" s="5">
        <f>IF(AND(ISNUMBER(J799),ISNUMBER(I799),I799&gt;0),(J799-I799)/I799,"")</f>
        <v/>
      </c>
      <c r="M799" s="2">
        <f>IF(L799="","",IF(L799&lt;-0.05,"Bán phá giá",IF(L799&gt;0.05,"Bán cao hơn","Đúng giá niêm yết")))</f>
        <v/>
      </c>
      <c r="N799" s="2" t="n"/>
      <c r="O799" s="3" t="n"/>
      <c r="P799" s="3" t="n"/>
    </row>
    <row r="800">
      <c r="A800" s="2" t="n">
        <v>799</v>
      </c>
      <c r="B800" s="2" t="inlineStr">
        <is>
          <t>KH005</t>
        </is>
      </c>
      <c r="C800" s="3" t="inlineStr">
        <is>
          <t>ThinkSafe HCM</t>
        </is>
      </c>
      <c r="D800" s="2" t="inlineStr">
        <is>
          <t>HCM</t>
        </is>
      </c>
      <c r="E800" s="2" t="inlineStr">
        <is>
          <t>XUÂN TRANG</t>
        </is>
      </c>
      <c r="F800" s="2" t="inlineStr">
        <is>
          <t>Shopee</t>
        </is>
      </c>
      <c r="G800" s="2" t="inlineStr">
        <is>
          <t>KB-05X</t>
        </is>
      </c>
      <c r="H800" s="3" t="inlineStr">
        <is>
          <t>Chân máy laser KB-05X</t>
        </is>
      </c>
      <c r="I800" s="4" t="n">
        <v>220000</v>
      </c>
      <c r="J800" s="4" t="n"/>
      <c r="K800" s="4">
        <f>IF(AND(ISNUMBER(J800),ISNUMBER(I800)),J800-I800,"")</f>
        <v/>
      </c>
      <c r="L800" s="5">
        <f>IF(AND(ISNUMBER(J800),ISNUMBER(I800),I800&gt;0),(J800-I800)/I800,"")</f>
        <v/>
      </c>
      <c r="M800" s="2">
        <f>IF(L800="","",IF(L800&lt;-0.05,"Bán phá giá",IF(L800&gt;0.05,"Bán cao hơn","Đúng giá niêm yết")))</f>
        <v/>
      </c>
      <c r="N800" s="2" t="n"/>
      <c r="O800" s="3" t="n"/>
      <c r="P800" s="3" t="n"/>
    </row>
    <row r="801">
      <c r="A801" s="2" t="n">
        <v>800</v>
      </c>
      <c r="B801" s="2" t="inlineStr">
        <is>
          <t>KH005</t>
        </is>
      </c>
      <c r="C801" s="3" t="inlineStr">
        <is>
          <t>ThinkSafe HCM</t>
        </is>
      </c>
      <c r="D801" s="2" t="inlineStr">
        <is>
          <t>HCM</t>
        </is>
      </c>
      <c r="E801" s="2" t="inlineStr">
        <is>
          <t>XUÂN TRANG</t>
        </is>
      </c>
      <c r="F801" s="2" t="inlineStr">
        <is>
          <t>Shopee</t>
        </is>
      </c>
      <c r="G801" s="2" t="inlineStr">
        <is>
          <t>M1-110x5R</t>
        </is>
      </c>
      <c r="H801" s="3" t="inlineStr">
        <is>
          <t>Chén mài Kingblue M1-110x5R (vàng)</t>
        </is>
      </c>
      <c r="I801" s="4" t="n">
        <v>73000</v>
      </c>
      <c r="J801" s="4" t="n"/>
      <c r="K801" s="4">
        <f>IF(AND(ISNUMBER(J801),ISNUMBER(I801)),J801-I801,"")</f>
        <v/>
      </c>
      <c r="L801" s="5">
        <f>IF(AND(ISNUMBER(J801),ISNUMBER(I801),I801&gt;0),(J801-I801)/I801,"")</f>
        <v/>
      </c>
      <c r="M801" s="2">
        <f>IF(L801="","",IF(L801&lt;-0.05,"Bán phá giá",IF(L801&gt;0.05,"Bán cao hơn","Đúng giá niêm yết")))</f>
        <v/>
      </c>
      <c r="N801" s="2" t="n"/>
      <c r="O801" s="3" t="n"/>
      <c r="P801" s="3" t="n"/>
    </row>
    <row r="802">
      <c r="A802" s="2" t="n">
        <v>801</v>
      </c>
      <c r="B802" s="2" t="inlineStr">
        <is>
          <t>KH005</t>
        </is>
      </c>
      <c r="C802" s="3" t="inlineStr">
        <is>
          <t>ThinkSafe HCM</t>
        </is>
      </c>
      <c r="D802" s="2" t="inlineStr">
        <is>
          <t>HCM</t>
        </is>
      </c>
      <c r="E802" s="2" t="inlineStr">
        <is>
          <t>XUÂN TRANG</t>
        </is>
      </c>
      <c r="F802" s="2" t="inlineStr">
        <is>
          <t>Shopee</t>
        </is>
      </c>
      <c r="G802" s="2" t="inlineStr">
        <is>
          <t>M1-125x5R</t>
        </is>
      </c>
      <c r="H802" s="3" t="inlineStr">
        <is>
          <t>Chén mài Kingblue M1-125x5R (Vàng)</t>
        </is>
      </c>
      <c r="I802" s="4" t="n">
        <v>105000</v>
      </c>
      <c r="J802" s="4" t="n"/>
      <c r="K802" s="4">
        <f>IF(AND(ISNUMBER(J802),ISNUMBER(I802)),J802-I802,"")</f>
        <v/>
      </c>
      <c r="L802" s="5">
        <f>IF(AND(ISNUMBER(J802),ISNUMBER(I802),I802&gt;0),(J802-I802)/I802,"")</f>
        <v/>
      </c>
      <c r="M802" s="2">
        <f>IF(L802="","",IF(L802&lt;-0.05,"Bán phá giá",IF(L802&gt;0.05,"Bán cao hơn","Đúng giá niêm yết")))</f>
        <v/>
      </c>
      <c r="N802" s="2" t="n"/>
      <c r="O802" s="3" t="n"/>
      <c r="P802" s="3" t="n"/>
    </row>
    <row r="803">
      <c r="A803" s="2" t="n">
        <v>802</v>
      </c>
      <c r="B803" s="2" t="inlineStr">
        <is>
          <t>KH005</t>
        </is>
      </c>
      <c r="C803" s="3" t="inlineStr">
        <is>
          <t>ThinkSafe HCM</t>
        </is>
      </c>
      <c r="D803" s="2" t="inlineStr">
        <is>
          <t>HCM</t>
        </is>
      </c>
      <c r="E803" s="2" t="inlineStr">
        <is>
          <t>XUÂN TRANG</t>
        </is>
      </c>
      <c r="F803" s="2" t="inlineStr">
        <is>
          <t>Shopee</t>
        </is>
      </c>
      <c r="G803" s="2" t="inlineStr">
        <is>
          <t>M2-110x5R</t>
        </is>
      </c>
      <c r="H803" s="3" t="inlineStr">
        <is>
          <t>Chén mài Kingblue M2-110x5R (xanh)</t>
        </is>
      </c>
      <c r="I803" s="4" t="n">
        <v>123000</v>
      </c>
      <c r="J803" s="4" t="n"/>
      <c r="K803" s="4">
        <f>IF(AND(ISNUMBER(J803),ISNUMBER(I803)),J803-I803,"")</f>
        <v/>
      </c>
      <c r="L803" s="5">
        <f>IF(AND(ISNUMBER(J803),ISNUMBER(I803),I803&gt;0),(J803-I803)/I803,"")</f>
        <v/>
      </c>
      <c r="M803" s="2">
        <f>IF(L803="","",IF(L803&lt;-0.05,"Bán phá giá",IF(L803&gt;0.05,"Bán cao hơn","Đúng giá niêm yết")))</f>
        <v/>
      </c>
      <c r="N803" s="2" t="n"/>
      <c r="O803" s="3" t="n"/>
      <c r="P803" s="3" t="n"/>
    </row>
    <row r="804">
      <c r="A804" s="2" t="n">
        <v>803</v>
      </c>
      <c r="B804" s="2" t="inlineStr">
        <is>
          <t>KH005</t>
        </is>
      </c>
      <c r="C804" s="3" t="inlineStr">
        <is>
          <t>ThinkSafe HCM</t>
        </is>
      </c>
      <c r="D804" s="2" t="inlineStr">
        <is>
          <t>HCM</t>
        </is>
      </c>
      <c r="E804" s="2" t="inlineStr">
        <is>
          <t>XUÂN TRANG</t>
        </is>
      </c>
      <c r="F804" s="2" t="inlineStr">
        <is>
          <t>Shopee</t>
        </is>
      </c>
      <c r="G804" s="2" t="inlineStr">
        <is>
          <t>M2-150x5R</t>
        </is>
      </c>
      <c r="H804" s="3" t="inlineStr">
        <is>
          <t>Chén mài KingBlue M2-150x5R (Xanh)</t>
        </is>
      </c>
      <c r="I804" s="4" t="n">
        <v>362000</v>
      </c>
      <c r="J804" s="4" t="n"/>
      <c r="K804" s="4">
        <f>IF(AND(ISNUMBER(J804),ISNUMBER(I804)),J804-I804,"")</f>
        <v/>
      </c>
      <c r="L804" s="5">
        <f>IF(AND(ISNUMBER(J804),ISNUMBER(I804),I804&gt;0),(J804-I804)/I804,"")</f>
        <v/>
      </c>
      <c r="M804" s="2">
        <f>IF(L804="","",IF(L804&lt;-0.05,"Bán phá giá",IF(L804&gt;0.05,"Bán cao hơn","Đúng giá niêm yết")))</f>
        <v/>
      </c>
      <c r="N804" s="2" t="n"/>
      <c r="O804" s="3" t="n"/>
      <c r="P804" s="3" t="n"/>
    </row>
    <row r="805">
      <c r="A805" s="2" t="n">
        <v>804</v>
      </c>
      <c r="B805" s="2" t="inlineStr">
        <is>
          <t>KH005</t>
        </is>
      </c>
      <c r="C805" s="3" t="inlineStr">
        <is>
          <t>ThinkSafe HCM</t>
        </is>
      </c>
      <c r="D805" s="2" t="inlineStr">
        <is>
          <t>HCM</t>
        </is>
      </c>
      <c r="E805" s="2" t="inlineStr">
        <is>
          <t>XUÂN TRANG</t>
        </is>
      </c>
      <c r="F805" s="2" t="inlineStr">
        <is>
          <t>Shopee</t>
        </is>
      </c>
      <c r="G805" s="2" t="inlineStr">
        <is>
          <t>MS-110x4R</t>
        </is>
      </c>
      <c r="H805" s="3" t="inlineStr">
        <is>
          <t>Chén mài Kingblue MS-110x4R (đỏ)</t>
        </is>
      </c>
      <c r="I805" s="4" t="n">
        <v>57000</v>
      </c>
      <c r="J805" s="4" t="n"/>
      <c r="K805" s="4">
        <f>IF(AND(ISNUMBER(J805),ISNUMBER(I805)),J805-I805,"")</f>
        <v/>
      </c>
      <c r="L805" s="5">
        <f>IF(AND(ISNUMBER(J805),ISNUMBER(I805),I805&gt;0),(J805-I805)/I805,"")</f>
        <v/>
      </c>
      <c r="M805" s="2">
        <f>IF(L805="","",IF(L805&lt;-0.05,"Bán phá giá",IF(L805&gt;0.05,"Bán cao hơn","Đúng giá niêm yết")))</f>
        <v/>
      </c>
      <c r="N805" s="2" t="n"/>
      <c r="O805" s="3" t="n"/>
      <c r="P805" s="3" t="n"/>
    </row>
    <row r="806">
      <c r="A806" s="2" t="n">
        <v>805</v>
      </c>
      <c r="B806" s="2" t="inlineStr">
        <is>
          <t>KH005</t>
        </is>
      </c>
      <c r="C806" s="3" t="inlineStr">
        <is>
          <t>ThinkSafe HCM</t>
        </is>
      </c>
      <c r="D806" s="2" t="inlineStr">
        <is>
          <t>HCM</t>
        </is>
      </c>
      <c r="E806" s="2" t="inlineStr">
        <is>
          <t>XUÂN TRANG</t>
        </is>
      </c>
      <c r="F806" s="2" t="inlineStr">
        <is>
          <t>Shopee</t>
        </is>
      </c>
      <c r="G806" s="2" t="inlineStr">
        <is>
          <t>MS-125x4R</t>
        </is>
      </c>
      <c r="H806" s="3" t="inlineStr">
        <is>
          <t>Chén mài Kingblue MS-125x4R (Đỏ)</t>
        </is>
      </c>
      <c r="I806" s="4" t="n">
        <v>89000</v>
      </c>
      <c r="J806" s="4" t="n"/>
      <c r="K806" s="4">
        <f>IF(AND(ISNUMBER(J806),ISNUMBER(I806)),J806-I806,"")</f>
        <v/>
      </c>
      <c r="L806" s="5">
        <f>IF(AND(ISNUMBER(J806),ISNUMBER(I806),I806&gt;0),(J806-I806)/I806,"")</f>
        <v/>
      </c>
      <c r="M806" s="2">
        <f>IF(L806="","",IF(L806&lt;-0.05,"Bán phá giá",IF(L806&gt;0.05,"Bán cao hơn","Đúng giá niêm yết")))</f>
        <v/>
      </c>
      <c r="N806" s="2" t="n"/>
      <c r="O806" s="3" t="n"/>
      <c r="P806" s="3" t="n"/>
    </row>
    <row r="807">
      <c r="A807" s="2" t="n">
        <v>806</v>
      </c>
      <c r="B807" s="2" t="inlineStr">
        <is>
          <t>KH005</t>
        </is>
      </c>
      <c r="C807" s="3" t="inlineStr">
        <is>
          <t>ThinkSafe HCM</t>
        </is>
      </c>
      <c r="D807" s="2" t="inlineStr">
        <is>
          <t>HCM</t>
        </is>
      </c>
      <c r="E807" s="2" t="inlineStr">
        <is>
          <t>XUÂN TRANG</t>
        </is>
      </c>
      <c r="F807" s="2" t="inlineStr">
        <is>
          <t>Shopee</t>
        </is>
      </c>
      <c r="G807" s="2" t="inlineStr">
        <is>
          <t>DLG-M22</t>
        </is>
      </c>
      <c r="H807" s="3" t="inlineStr">
        <is>
          <t>Chuôi khoan rút lõi lục giác DLG-M22</t>
        </is>
      </c>
      <c r="I807" s="4" t="n">
        <v>34000</v>
      </c>
      <c r="J807" s="4" t="n"/>
      <c r="K807" s="4">
        <f>IF(AND(ISNUMBER(J807),ISNUMBER(I807)),J807-I807,"")</f>
        <v/>
      </c>
      <c r="L807" s="5">
        <f>IF(AND(ISNUMBER(J807),ISNUMBER(I807),I807&gt;0),(J807-I807)/I807,"")</f>
        <v/>
      </c>
      <c r="M807" s="2">
        <f>IF(L807="","",IF(L807&lt;-0.05,"Bán phá giá",IF(L807&gt;0.05,"Bán cao hơn","Đúng giá niêm yết")))</f>
        <v/>
      </c>
      <c r="N807" s="2" t="n"/>
      <c r="O807" s="3" t="n"/>
      <c r="P807" s="3" t="n"/>
    </row>
    <row r="808">
      <c r="A808" s="2" t="n">
        <v>807</v>
      </c>
      <c r="B808" s="2" t="inlineStr">
        <is>
          <t>KH005</t>
        </is>
      </c>
      <c r="C808" s="3" t="inlineStr">
        <is>
          <t>ThinkSafe HCM</t>
        </is>
      </c>
      <c r="D808" s="2" t="inlineStr">
        <is>
          <t>HCM</t>
        </is>
      </c>
      <c r="E808" s="2" t="inlineStr">
        <is>
          <t>XUÂN TRANG</t>
        </is>
      </c>
      <c r="F808" s="2" t="inlineStr">
        <is>
          <t>Shopee</t>
        </is>
      </c>
      <c r="G808" s="2" t="inlineStr">
        <is>
          <t>KPG-022</t>
        </is>
      </c>
      <c r="H808" s="3" t="inlineStr">
        <is>
          <t>Dao cắt ống đồng KPG-022</t>
        </is>
      </c>
      <c r="I808" s="4" t="n">
        <v>319000</v>
      </c>
      <c r="J808" s="4" t="n"/>
      <c r="K808" s="4">
        <f>IF(AND(ISNUMBER(J808),ISNUMBER(I808)),J808-I808,"")</f>
        <v/>
      </c>
      <c r="L808" s="5">
        <f>IF(AND(ISNUMBER(J808),ISNUMBER(I808),I808&gt;0),(J808-I808)/I808,"")</f>
        <v/>
      </c>
      <c r="M808" s="2">
        <f>IF(L808="","",IF(L808&lt;-0.05,"Bán phá giá",IF(L808&gt;0.05,"Bán cao hơn","Đúng giá niêm yết")))</f>
        <v/>
      </c>
      <c r="N808" s="2" t="n"/>
      <c r="O808" s="3" t="n"/>
      <c r="P808" s="3" t="n"/>
    </row>
    <row r="809">
      <c r="A809" s="2" t="n">
        <v>808</v>
      </c>
      <c r="B809" s="2" t="inlineStr">
        <is>
          <t>KH005</t>
        </is>
      </c>
      <c r="C809" s="3" t="inlineStr">
        <is>
          <t>ThinkSafe HCM</t>
        </is>
      </c>
      <c r="D809" s="2" t="inlineStr">
        <is>
          <t>HCM</t>
        </is>
      </c>
      <c r="E809" s="2" t="inlineStr">
        <is>
          <t>XUÂN TRANG</t>
        </is>
      </c>
      <c r="F809" s="2" t="inlineStr">
        <is>
          <t>Shopee</t>
        </is>
      </c>
      <c r="G809" s="2" t="inlineStr">
        <is>
          <t>KPG-042</t>
        </is>
      </c>
      <c r="H809" s="3" t="inlineStr">
        <is>
          <t>Dao cắt ống đồng KPG-042</t>
        </is>
      </c>
      <c r="I809" s="4" t="n">
        <v>270000</v>
      </c>
      <c r="J809" s="4" t="n"/>
      <c r="K809" s="4">
        <f>IF(AND(ISNUMBER(J809),ISNUMBER(I809)),J809-I809,"")</f>
        <v/>
      </c>
      <c r="L809" s="5">
        <f>IF(AND(ISNUMBER(J809),ISNUMBER(I809),I809&gt;0),(J809-I809)/I809,"")</f>
        <v/>
      </c>
      <c r="M809" s="2">
        <f>IF(L809="","",IF(L809&lt;-0.05,"Bán phá giá",IF(L809&gt;0.05,"Bán cao hơn","Đúng giá niêm yết")))</f>
        <v/>
      </c>
      <c r="N809" s="2" t="n"/>
      <c r="O809" s="3" t="n"/>
      <c r="P809" s="3" t="n"/>
    </row>
    <row r="810">
      <c r="A810" s="2" t="n">
        <v>809</v>
      </c>
      <c r="B810" s="2" t="inlineStr">
        <is>
          <t>KH005</t>
        </is>
      </c>
      <c r="C810" s="3" t="inlineStr">
        <is>
          <t>ThinkSafe HCM</t>
        </is>
      </c>
      <c r="D810" s="2" t="inlineStr">
        <is>
          <t>HCM</t>
        </is>
      </c>
      <c r="E810" s="2" t="inlineStr">
        <is>
          <t>XUÂN TRANG</t>
        </is>
      </c>
      <c r="F810" s="2" t="inlineStr">
        <is>
          <t>Shopee</t>
        </is>
      </c>
      <c r="G810" s="2" t="inlineStr">
        <is>
          <t>KPG-032</t>
        </is>
      </c>
      <c r="H810" s="3" t="inlineStr">
        <is>
          <t>Dao cắt ống kim loại KPG-032</t>
        </is>
      </c>
      <c r="I810" s="4" t="n">
        <v>303000</v>
      </c>
      <c r="J810" s="4" t="n"/>
      <c r="K810" s="4">
        <f>IF(AND(ISNUMBER(J810),ISNUMBER(I810)),J810-I810,"")</f>
        <v/>
      </c>
      <c r="L810" s="5">
        <f>IF(AND(ISNUMBER(J810),ISNUMBER(I810),I810&gt;0),(J810-I810)/I810,"")</f>
        <v/>
      </c>
      <c r="M810" s="2">
        <f>IF(L810="","",IF(L810&lt;-0.05,"Bán phá giá",IF(L810&gt;0.05,"Bán cao hơn","Đúng giá niêm yết")))</f>
        <v/>
      </c>
      <c r="N810" s="2" t="n"/>
      <c r="O810" s="3" t="n"/>
      <c r="P810" s="3" t="n"/>
    </row>
    <row r="811">
      <c r="A811" s="2" t="n">
        <v>810</v>
      </c>
      <c r="B811" s="2" t="inlineStr">
        <is>
          <t>KH005</t>
        </is>
      </c>
      <c r="C811" s="3" t="inlineStr">
        <is>
          <t>ThinkSafe HCM</t>
        </is>
      </c>
      <c r="D811" s="2" t="inlineStr">
        <is>
          <t>HCM</t>
        </is>
      </c>
      <c r="E811" s="2" t="inlineStr">
        <is>
          <t>XUÂN TRANG</t>
        </is>
      </c>
      <c r="F811" s="2" t="inlineStr">
        <is>
          <t>Shopee</t>
        </is>
      </c>
      <c r="G811" s="2" t="inlineStr">
        <is>
          <t>KJH-04</t>
        </is>
      </c>
      <c r="H811" s="3" t="inlineStr">
        <is>
          <t>Dao rọc cáp đa năng KJH-04</t>
        </is>
      </c>
      <c r="I811" s="4" t="n">
        <v>164000</v>
      </c>
      <c r="J811" s="4" t="n"/>
      <c r="K811" s="4">
        <f>IF(AND(ISNUMBER(J811),ISNUMBER(I811)),J811-I811,"")</f>
        <v/>
      </c>
      <c r="L811" s="5">
        <f>IF(AND(ISNUMBER(J811),ISNUMBER(I811),I811&gt;0),(J811-I811)/I811,"")</f>
        <v/>
      </c>
      <c r="M811" s="2">
        <f>IF(L811="","",IF(L811&lt;-0.05,"Bán phá giá",IF(L811&gt;0.05,"Bán cao hơn","Đúng giá niêm yết")))</f>
        <v/>
      </c>
      <c r="N811" s="2" t="n"/>
      <c r="O811" s="3" t="n"/>
      <c r="P811" s="3" t="n"/>
    </row>
    <row r="812">
      <c r="A812" s="2" t="n">
        <v>811</v>
      </c>
      <c r="B812" s="2" t="inlineStr">
        <is>
          <t>KH005</t>
        </is>
      </c>
      <c r="C812" s="3" t="inlineStr">
        <is>
          <t>ThinkSafe HCM</t>
        </is>
      </c>
      <c r="D812" s="2" t="inlineStr">
        <is>
          <t>HCM</t>
        </is>
      </c>
      <c r="E812" s="2" t="inlineStr">
        <is>
          <t>XUÂN TRANG</t>
        </is>
      </c>
      <c r="F812" s="2" t="inlineStr">
        <is>
          <t>Shopee</t>
        </is>
      </c>
      <c r="G812" s="2" t="inlineStr">
        <is>
          <t>KJH-05</t>
        </is>
      </c>
      <c r="H812" s="3" t="inlineStr">
        <is>
          <t>Dao rọc cáp đa năng KJH-05</t>
        </is>
      </c>
      <c r="I812" s="4" t="n">
        <v>161000</v>
      </c>
      <c r="J812" s="4" t="n"/>
      <c r="K812" s="4">
        <f>IF(AND(ISNUMBER(J812),ISNUMBER(I812)),J812-I812,"")</f>
        <v/>
      </c>
      <c r="L812" s="5">
        <f>IF(AND(ISNUMBER(J812),ISNUMBER(I812),I812&gt;0),(J812-I812)/I812,"")</f>
        <v/>
      </c>
      <c r="M812" s="2">
        <f>IF(L812="","",IF(L812&lt;-0.05,"Bán phá giá",IF(L812&gt;0.05,"Bán cao hơn","Đúng giá niêm yết")))</f>
        <v/>
      </c>
      <c r="N812" s="2" t="n"/>
      <c r="O812" s="3" t="n"/>
      <c r="P812" s="3" t="n"/>
    </row>
    <row r="813">
      <c r="A813" s="2" t="n">
        <v>812</v>
      </c>
      <c r="B813" s="2" t="inlineStr">
        <is>
          <t>KH005</t>
        </is>
      </c>
      <c r="C813" s="3" t="inlineStr">
        <is>
          <t>ThinkSafe HCM</t>
        </is>
      </c>
      <c r="D813" s="2" t="inlineStr">
        <is>
          <t>HCM</t>
        </is>
      </c>
      <c r="E813" s="2" t="inlineStr">
        <is>
          <t>XUÂN TRANG</t>
        </is>
      </c>
      <c r="F813" s="2" t="inlineStr">
        <is>
          <t>Shopee</t>
        </is>
      </c>
      <c r="G813" s="2" t="inlineStr">
        <is>
          <t>KJH-06</t>
        </is>
      </c>
      <c r="H813" s="3" t="inlineStr">
        <is>
          <t>Dao rọc cáp đa năng KJH-06</t>
        </is>
      </c>
      <c r="I813" s="4" t="n">
        <v>196000</v>
      </c>
      <c r="J813" s="4" t="n"/>
      <c r="K813" s="4">
        <f>IF(AND(ISNUMBER(J813),ISNUMBER(I813)),J813-I813,"")</f>
        <v/>
      </c>
      <c r="L813" s="5">
        <f>IF(AND(ISNUMBER(J813),ISNUMBER(I813),I813&gt;0),(J813-I813)/I813,"")</f>
        <v/>
      </c>
      <c r="M813" s="2">
        <f>IF(L813="","",IF(L813&lt;-0.05,"Bán phá giá",IF(L813&gt;0.05,"Bán cao hơn","Đúng giá niêm yết")))</f>
        <v/>
      </c>
      <c r="N813" s="2" t="n"/>
      <c r="O813" s="3" t="n"/>
      <c r="P813" s="3" t="n"/>
    </row>
    <row r="814">
      <c r="A814" s="2" t="n">
        <v>813</v>
      </c>
      <c r="B814" s="2" t="inlineStr">
        <is>
          <t>KH005</t>
        </is>
      </c>
      <c r="C814" s="3" t="inlineStr">
        <is>
          <t>ThinkSafe HCM</t>
        </is>
      </c>
      <c r="D814" s="2" t="inlineStr">
        <is>
          <t>HCM</t>
        </is>
      </c>
      <c r="E814" s="2" t="inlineStr">
        <is>
          <t>XUÂN TRANG</t>
        </is>
      </c>
      <c r="F814" s="2" t="inlineStr">
        <is>
          <t>Shopee</t>
        </is>
      </c>
      <c r="G814" s="2" t="inlineStr">
        <is>
          <t>KJH-01</t>
        </is>
      </c>
      <c r="H814" s="3" t="inlineStr">
        <is>
          <t>Dao rọc giấy KJH-01</t>
        </is>
      </c>
      <c r="I814" s="4" t="n">
        <v>30000</v>
      </c>
      <c r="J814" s="4" t="n"/>
      <c r="K814" s="4">
        <f>IF(AND(ISNUMBER(J814),ISNUMBER(I814)),J814-I814,"")</f>
        <v/>
      </c>
      <c r="L814" s="5">
        <f>IF(AND(ISNUMBER(J814),ISNUMBER(I814),I814&gt;0),(J814-I814)/I814,"")</f>
        <v/>
      </c>
      <c r="M814" s="2">
        <f>IF(L814="","",IF(L814&lt;-0.05,"Bán phá giá",IF(L814&gt;0.05,"Bán cao hơn","Đúng giá niêm yết")))</f>
        <v/>
      </c>
      <c r="N814" s="2" t="n"/>
      <c r="O814" s="3" t="n"/>
      <c r="P814" s="3" t="n"/>
    </row>
    <row r="815">
      <c r="A815" s="2" t="n">
        <v>814</v>
      </c>
      <c r="B815" s="2" t="inlineStr">
        <is>
          <t>KH005</t>
        </is>
      </c>
      <c r="C815" s="3" t="inlineStr">
        <is>
          <t>ThinkSafe HCM</t>
        </is>
      </c>
      <c r="D815" s="2" t="inlineStr">
        <is>
          <t>HCM</t>
        </is>
      </c>
      <c r="E815" s="2" t="inlineStr">
        <is>
          <t>XUÂN TRANG</t>
        </is>
      </c>
      <c r="F815" s="2" t="inlineStr">
        <is>
          <t>Shopee</t>
        </is>
      </c>
      <c r="G815" s="2" t="inlineStr">
        <is>
          <t>K54M</t>
        </is>
      </c>
      <c r="H815" s="3" t="inlineStr">
        <is>
          <t>Dụng cụ khò gas mini K54M</t>
        </is>
      </c>
      <c r="I815" s="4" t="n">
        <v>264000</v>
      </c>
      <c r="J815" s="4" t="n"/>
      <c r="K815" s="4">
        <f>IF(AND(ISNUMBER(J815),ISNUMBER(I815)),J815-I815,"")</f>
        <v/>
      </c>
      <c r="L815" s="5">
        <f>IF(AND(ISNUMBER(J815),ISNUMBER(I815),I815&gt;0),(J815-I815)/I815,"")</f>
        <v/>
      </c>
      <c r="M815" s="2">
        <f>IF(L815="","",IF(L815&lt;-0.05,"Bán phá giá",IF(L815&gt;0.05,"Bán cao hơn","Đúng giá niêm yết")))</f>
        <v/>
      </c>
      <c r="N815" s="2" t="n"/>
      <c r="O815" s="3" t="n"/>
      <c r="P815" s="3" t="n"/>
    </row>
    <row r="816">
      <c r="A816" s="2" t="n">
        <v>815</v>
      </c>
      <c r="B816" s="2" t="inlineStr">
        <is>
          <t>KH005</t>
        </is>
      </c>
      <c r="C816" s="3" t="inlineStr">
        <is>
          <t>ThinkSafe HCM</t>
        </is>
      </c>
      <c r="D816" s="2" t="inlineStr">
        <is>
          <t>HCM</t>
        </is>
      </c>
      <c r="E816" s="2" t="inlineStr">
        <is>
          <t>XUÂN TRANG</t>
        </is>
      </c>
      <c r="F816" s="2" t="inlineStr">
        <is>
          <t>Shopee</t>
        </is>
      </c>
      <c r="G816" s="2" t="inlineStr">
        <is>
          <t>KB-1301</t>
        </is>
      </c>
      <c r="H816" s="3" t="inlineStr">
        <is>
          <t>Dụng cụ vát mép (ba via) ống đồng KingBlue, KB-1301</t>
        </is>
      </c>
      <c r="I816" s="4" t="n">
        <v>150000</v>
      </c>
      <c r="J816" s="4" t="n"/>
      <c r="K816" s="4">
        <f>IF(AND(ISNUMBER(J816),ISNUMBER(I816)),J816-I816,"")</f>
        <v/>
      </c>
      <c r="L816" s="5">
        <f>IF(AND(ISNUMBER(J816),ISNUMBER(I816),I816&gt;0),(J816-I816)/I816,"")</f>
        <v/>
      </c>
      <c r="M816" s="2">
        <f>IF(L816="","",IF(L816&lt;-0.05,"Bán phá giá",IF(L816&gt;0.05,"Bán cao hơn","Đúng giá niêm yết")))</f>
        <v/>
      </c>
      <c r="N816" s="2" t="n"/>
      <c r="O816" s="3" t="n"/>
      <c r="P816" s="3" t="n"/>
    </row>
    <row r="817">
      <c r="A817" s="2" t="n">
        <v>816</v>
      </c>
      <c r="B817" s="2" t="inlineStr">
        <is>
          <t>KH005</t>
        </is>
      </c>
      <c r="C817" s="3" t="inlineStr">
        <is>
          <t>ThinkSafe HCM</t>
        </is>
      </c>
      <c r="D817" s="2" t="inlineStr">
        <is>
          <t>HCM</t>
        </is>
      </c>
      <c r="E817" s="2" t="inlineStr">
        <is>
          <t>XUÂN TRANG</t>
        </is>
      </c>
      <c r="F817" s="2" t="inlineStr">
        <is>
          <t>Shopee</t>
        </is>
      </c>
      <c r="G817" s="2" t="inlineStr">
        <is>
          <t>D1-107x1.2</t>
        </is>
      </c>
      <c r="H817" s="3" t="inlineStr">
        <is>
          <t>Đá cắt sắt, inox KingBlue D1-107x1.2 xanh (Hộp sắt)</t>
        </is>
      </c>
      <c r="I817" s="4" t="n">
        <v>5300</v>
      </c>
      <c r="J817" s="4" t="n"/>
      <c r="K817" s="4">
        <f>IF(AND(ISNUMBER(J817),ISNUMBER(I817)),J817-I817,"")</f>
        <v/>
      </c>
      <c r="L817" s="5">
        <f>IF(AND(ISNUMBER(J817),ISNUMBER(I817),I817&gt;0),(J817-I817)/I817,"")</f>
        <v/>
      </c>
      <c r="M817" s="2">
        <f>IF(L817="","",IF(L817&lt;-0.05,"Bán phá giá",IF(L817&gt;0.05,"Bán cao hơn","Đúng giá niêm yết")))</f>
        <v/>
      </c>
      <c r="N817" s="2" t="n"/>
      <c r="O817" s="3" t="n"/>
      <c r="P817" s="3" t="n"/>
    </row>
    <row r="818">
      <c r="A818" s="2" t="n">
        <v>817</v>
      </c>
      <c r="B818" s="2" t="inlineStr">
        <is>
          <t>KH005</t>
        </is>
      </c>
      <c r="C818" s="3" t="inlineStr">
        <is>
          <t>ThinkSafe HCM</t>
        </is>
      </c>
      <c r="D818" s="2" t="inlineStr">
        <is>
          <t>HCM</t>
        </is>
      </c>
      <c r="E818" s="2" t="inlineStr">
        <is>
          <t>XUÂN TRANG</t>
        </is>
      </c>
      <c r="F818" s="2" t="inlineStr">
        <is>
          <t>Shopee</t>
        </is>
      </c>
      <c r="G818" s="2" t="inlineStr">
        <is>
          <t>D1-125x1.6</t>
        </is>
      </c>
      <c r="H818" s="3" t="inlineStr">
        <is>
          <t>Đá cắt sắt, inox Kingblue D1-125x1.6 xanh</t>
        </is>
      </c>
      <c r="I818" s="4" t="n">
        <v>10900</v>
      </c>
      <c r="J818" s="4" t="n"/>
      <c r="K818" s="4">
        <f>IF(AND(ISNUMBER(J818),ISNUMBER(I818)),J818-I818,"")</f>
        <v/>
      </c>
      <c r="L818" s="5">
        <f>IF(AND(ISNUMBER(J818),ISNUMBER(I818),I818&gt;0),(J818-I818)/I818,"")</f>
        <v/>
      </c>
      <c r="M818" s="2">
        <f>IF(L818="","",IF(L818&lt;-0.05,"Bán phá giá",IF(L818&gt;0.05,"Bán cao hơn","Đúng giá niêm yết")))</f>
        <v/>
      </c>
      <c r="N818" s="2" t="n"/>
      <c r="O818" s="3" t="n"/>
      <c r="P818" s="3" t="n"/>
    </row>
    <row r="819">
      <c r="A819" s="2" t="n">
        <v>818</v>
      </c>
      <c r="B819" s="2" t="inlineStr">
        <is>
          <t>KH005</t>
        </is>
      </c>
      <c r="C819" s="3" t="inlineStr">
        <is>
          <t>ThinkSafe HCM</t>
        </is>
      </c>
      <c r="D819" s="2" t="inlineStr">
        <is>
          <t>HCM</t>
        </is>
      </c>
      <c r="E819" s="2" t="inlineStr">
        <is>
          <t>XUÂN TRANG</t>
        </is>
      </c>
      <c r="F819" s="2" t="inlineStr">
        <is>
          <t>Shopee</t>
        </is>
      </c>
      <c r="G819" s="2" t="inlineStr">
        <is>
          <t>D3-107x1.2</t>
        </is>
      </c>
      <c r="H819" s="3" t="inlineStr">
        <is>
          <t>Đá cắt sắt, inox KingBlue D3-107x1.2 xanh ( hộp sắt)</t>
        </is>
      </c>
      <c r="I819" s="4" t="n">
        <v>6600</v>
      </c>
      <c r="J819" s="4" t="n"/>
      <c r="K819" s="4">
        <f>IF(AND(ISNUMBER(J819),ISNUMBER(I819)),J819-I819,"")</f>
        <v/>
      </c>
      <c r="L819" s="5">
        <f>IF(AND(ISNUMBER(J819),ISNUMBER(I819),I819&gt;0),(J819-I819)/I819,"")</f>
        <v/>
      </c>
      <c r="M819" s="2">
        <f>IF(L819="","",IF(L819&lt;-0.05,"Bán phá giá",IF(L819&gt;0.05,"Bán cao hơn","Đúng giá niêm yết")))</f>
        <v/>
      </c>
      <c r="N819" s="2" t="n"/>
      <c r="O819" s="3" t="n"/>
      <c r="P819" s="3" t="n"/>
    </row>
    <row r="820">
      <c r="A820" s="2" t="n">
        <v>819</v>
      </c>
      <c r="B820" s="2" t="inlineStr">
        <is>
          <t>KH005</t>
        </is>
      </c>
      <c r="C820" s="3" t="inlineStr">
        <is>
          <t>ThinkSafe HCM</t>
        </is>
      </c>
      <c r="D820" s="2" t="inlineStr">
        <is>
          <t>HCM</t>
        </is>
      </c>
      <c r="E820" s="2" t="inlineStr">
        <is>
          <t>XUÂN TRANG</t>
        </is>
      </c>
      <c r="F820" s="2" t="inlineStr">
        <is>
          <t>Shopee</t>
        </is>
      </c>
      <c r="G820" s="2" t="inlineStr">
        <is>
          <t>D3-125x1.8</t>
        </is>
      </c>
      <c r="H820" s="3" t="inlineStr">
        <is>
          <t>Đá cắt sắt, inox Kingblue D3-125x1.8 xanh</t>
        </is>
      </c>
      <c r="I820" s="4" t="n">
        <v>8800</v>
      </c>
      <c r="J820" s="4" t="n"/>
      <c r="K820" s="4">
        <f>IF(AND(ISNUMBER(J820),ISNUMBER(I820)),J820-I820,"")</f>
        <v/>
      </c>
      <c r="L820" s="5">
        <f>IF(AND(ISNUMBER(J820),ISNUMBER(I820),I820&gt;0),(J820-I820)/I820,"")</f>
        <v/>
      </c>
      <c r="M820" s="2">
        <f>IF(L820="","",IF(L820&lt;-0.05,"Bán phá giá",IF(L820&gt;0.05,"Bán cao hơn","Đúng giá niêm yết")))</f>
        <v/>
      </c>
      <c r="N820" s="2" t="n"/>
      <c r="O820" s="3" t="n"/>
      <c r="P820" s="3" t="n"/>
    </row>
    <row r="821">
      <c r="A821" s="2" t="n">
        <v>820</v>
      </c>
      <c r="B821" s="2" t="inlineStr">
        <is>
          <t>KH005</t>
        </is>
      </c>
      <c r="C821" s="3" t="inlineStr">
        <is>
          <t>ThinkSafe HCM</t>
        </is>
      </c>
      <c r="D821" s="2" t="inlineStr">
        <is>
          <t>HCM</t>
        </is>
      </c>
      <c r="E821" s="2" t="inlineStr">
        <is>
          <t>XUÂN TRANG</t>
        </is>
      </c>
      <c r="F821" s="2" t="inlineStr">
        <is>
          <t>Shopee</t>
        </is>
      </c>
      <c r="G821" s="2" t="inlineStr">
        <is>
          <t>D4-107x1.2</t>
        </is>
      </c>
      <c r="H821" s="3" t="inlineStr">
        <is>
          <t>Đá cắt sắt, inox Kingblue D4-107x1.2 đỏ</t>
        </is>
      </c>
      <c r="I821" s="4" t="n">
        <v>5300</v>
      </c>
      <c r="J821" s="4" t="n"/>
      <c r="K821" s="4">
        <f>IF(AND(ISNUMBER(J821),ISNUMBER(I821)),J821-I821,"")</f>
        <v/>
      </c>
      <c r="L821" s="5">
        <f>IF(AND(ISNUMBER(J821),ISNUMBER(I821),I821&gt;0),(J821-I821)/I821,"")</f>
        <v/>
      </c>
      <c r="M821" s="2">
        <f>IF(L821="","",IF(L821&lt;-0.05,"Bán phá giá",IF(L821&gt;0.05,"Bán cao hơn","Đúng giá niêm yết")))</f>
        <v/>
      </c>
      <c r="N821" s="2" t="n"/>
      <c r="O821" s="3" t="n"/>
      <c r="P821" s="3" t="n"/>
    </row>
    <row r="822">
      <c r="A822" s="2" t="n">
        <v>821</v>
      </c>
      <c r="B822" s="2" t="inlineStr">
        <is>
          <t>KH005</t>
        </is>
      </c>
      <c r="C822" s="3" t="inlineStr">
        <is>
          <t>ThinkSafe HCM</t>
        </is>
      </c>
      <c r="D822" s="2" t="inlineStr">
        <is>
          <t>HCM</t>
        </is>
      </c>
      <c r="E822" s="2" t="inlineStr">
        <is>
          <t>XUÂN TRANG</t>
        </is>
      </c>
      <c r="F822" s="2" t="inlineStr">
        <is>
          <t>Shopee</t>
        </is>
      </c>
      <c r="G822" s="2" t="inlineStr">
        <is>
          <t>D3-125x6.0</t>
        </is>
      </c>
      <c r="H822" s="3" t="inlineStr">
        <is>
          <t>Đá mài sắt, inox Kingblue D3-125x6.0</t>
        </is>
      </c>
      <c r="I822" s="4" t="n">
        <v>18000</v>
      </c>
      <c r="J822" s="4" t="n"/>
      <c r="K822" s="4">
        <f>IF(AND(ISNUMBER(J822),ISNUMBER(I822)),J822-I822,"")</f>
        <v/>
      </c>
      <c r="L822" s="5">
        <f>IF(AND(ISNUMBER(J822),ISNUMBER(I822),I822&gt;0),(J822-I822)/I822,"")</f>
        <v/>
      </c>
      <c r="M822" s="2">
        <f>IF(L822="","",IF(L822&lt;-0.05,"Bán phá giá",IF(L822&gt;0.05,"Bán cao hơn","Đúng giá niêm yết")))</f>
        <v/>
      </c>
      <c r="N822" s="2" t="n"/>
      <c r="O822" s="3" t="n"/>
      <c r="P822" s="3" t="n"/>
    </row>
    <row r="823">
      <c r="A823" s="2" t="n">
        <v>822</v>
      </c>
      <c r="B823" s="2" t="inlineStr">
        <is>
          <t>KH005</t>
        </is>
      </c>
      <c r="C823" s="3" t="inlineStr">
        <is>
          <t>ThinkSafe HCM</t>
        </is>
      </c>
      <c r="D823" s="2" t="inlineStr">
        <is>
          <t>HCM</t>
        </is>
      </c>
      <c r="E823" s="2" t="inlineStr">
        <is>
          <t>XUÂN TRANG</t>
        </is>
      </c>
      <c r="F823" s="2" t="inlineStr">
        <is>
          <t>Shopee</t>
        </is>
      </c>
      <c r="G823" s="2" t="inlineStr">
        <is>
          <t>CM17</t>
        </is>
      </c>
      <c r="H823" s="3" t="inlineStr">
        <is>
          <t>Đầu chụp bulon KingBlue CM17</t>
        </is>
      </c>
      <c r="I823" s="4" t="n">
        <v>154000</v>
      </c>
      <c r="J823" s="4" t="n"/>
      <c r="K823" s="4">
        <f>IF(AND(ISNUMBER(J823),ISNUMBER(I823)),J823-I823,"")</f>
        <v/>
      </c>
      <c r="L823" s="5">
        <f>IF(AND(ISNUMBER(J823),ISNUMBER(I823),I823&gt;0),(J823-I823)/I823,"")</f>
        <v/>
      </c>
      <c r="M823" s="2">
        <f>IF(L823="","",IF(L823&lt;-0.05,"Bán phá giá",IF(L823&gt;0.05,"Bán cao hơn","Đúng giá niêm yết")))</f>
        <v/>
      </c>
      <c r="N823" s="2" t="n"/>
      <c r="O823" s="3" t="n"/>
      <c r="P823" s="3" t="n"/>
    </row>
    <row r="824">
      <c r="A824" s="2" t="n">
        <v>823</v>
      </c>
      <c r="B824" s="2" t="inlineStr">
        <is>
          <t>KH005</t>
        </is>
      </c>
      <c r="C824" s="3" t="inlineStr">
        <is>
          <t>ThinkSafe HCM</t>
        </is>
      </c>
      <c r="D824" s="2" t="inlineStr">
        <is>
          <t>HCM</t>
        </is>
      </c>
      <c r="E824" s="2" t="inlineStr">
        <is>
          <t>XUÂN TRANG</t>
        </is>
      </c>
      <c r="F824" s="2" t="inlineStr">
        <is>
          <t>Shopee</t>
        </is>
      </c>
      <c r="G824" s="2" t="inlineStr">
        <is>
          <t>K45M</t>
        </is>
      </c>
      <c r="H824" s="3" t="inlineStr">
        <is>
          <t>Đầu khò gas K45M</t>
        </is>
      </c>
      <c r="I824" s="4" t="n">
        <v>185000</v>
      </c>
      <c r="J824" s="4" t="n"/>
      <c r="K824" s="4">
        <f>IF(AND(ISNUMBER(J824),ISNUMBER(I824)),J824-I824,"")</f>
        <v/>
      </c>
      <c r="L824" s="5">
        <f>IF(AND(ISNUMBER(J824),ISNUMBER(I824),I824&gt;0),(J824-I824)/I824,"")</f>
        <v/>
      </c>
      <c r="M824" s="2">
        <f>IF(L824="","",IF(L824&lt;-0.05,"Bán phá giá",IF(L824&gt;0.05,"Bán cao hơn","Đúng giá niêm yết")))</f>
        <v/>
      </c>
      <c r="N824" s="2" t="n"/>
      <c r="O824" s="3" t="n"/>
      <c r="P824" s="3" t="n"/>
    </row>
    <row r="825">
      <c r="A825" s="2" t="n">
        <v>824</v>
      </c>
      <c r="B825" s="2" t="inlineStr">
        <is>
          <t>KH005</t>
        </is>
      </c>
      <c r="C825" s="3" t="inlineStr">
        <is>
          <t>ThinkSafe HCM</t>
        </is>
      </c>
      <c r="D825" s="2" t="inlineStr">
        <is>
          <t>HCM</t>
        </is>
      </c>
      <c r="E825" s="2" t="inlineStr">
        <is>
          <t>XUÂN TRANG</t>
        </is>
      </c>
      <c r="F825" s="2" t="inlineStr">
        <is>
          <t>Shopee</t>
        </is>
      </c>
      <c r="G825" s="2" t="inlineStr">
        <is>
          <t>K49M</t>
        </is>
      </c>
      <c r="H825" s="3" t="inlineStr">
        <is>
          <t>Đầu khò gas K49M</t>
        </is>
      </c>
      <c r="I825" s="4" t="n">
        <v>193000</v>
      </c>
      <c r="J825" s="4" t="n"/>
      <c r="K825" s="4">
        <f>IF(AND(ISNUMBER(J825),ISNUMBER(I825)),J825-I825,"")</f>
        <v/>
      </c>
      <c r="L825" s="5">
        <f>IF(AND(ISNUMBER(J825),ISNUMBER(I825),I825&gt;0),(J825-I825)/I825,"")</f>
        <v/>
      </c>
      <c r="M825" s="2">
        <f>IF(L825="","",IF(L825&lt;-0.05,"Bán phá giá",IF(L825&gt;0.05,"Bán cao hơn","Đúng giá niêm yết")))</f>
        <v/>
      </c>
      <c r="N825" s="2" t="n"/>
      <c r="O825" s="3" t="n"/>
      <c r="P825" s="3" t="n"/>
    </row>
    <row r="826">
      <c r="A826" s="2" t="n">
        <v>825</v>
      </c>
      <c r="B826" s="2" t="inlineStr">
        <is>
          <t>KH005</t>
        </is>
      </c>
      <c r="C826" s="3" t="inlineStr">
        <is>
          <t>ThinkSafe HCM</t>
        </is>
      </c>
      <c r="D826" s="2" t="inlineStr">
        <is>
          <t>HCM</t>
        </is>
      </c>
      <c r="E826" s="2" t="inlineStr">
        <is>
          <t>XUÂN TRANG</t>
        </is>
      </c>
      <c r="F826" s="2" t="inlineStr">
        <is>
          <t>Shopee</t>
        </is>
      </c>
      <c r="G826" s="2" t="inlineStr"/>
      <c r="H826" s="3" t="inlineStr">
        <is>
          <t>Đầu nạp gas</t>
        </is>
      </c>
      <c r="I826" s="4" t="n"/>
      <c r="J826" s="4" t="n"/>
      <c r="K826" s="4">
        <f>IF(AND(ISNUMBER(J826),ISNUMBER(I826)),J826-I826,"")</f>
        <v/>
      </c>
      <c r="L826" s="5">
        <f>IF(AND(ISNUMBER(J826),ISNUMBER(I826),I826&gt;0),(J826-I826)/I826,"")</f>
        <v/>
      </c>
      <c r="M826" s="2">
        <f>IF(L826="","",IF(L826&lt;-0.05,"Bán phá giá",IF(L826&gt;0.05,"Bán cao hơn","Đúng giá niêm yết")))</f>
        <v/>
      </c>
      <c r="N826" s="2" t="n"/>
      <c r="O826" s="3" t="n"/>
      <c r="P826" s="3" t="n"/>
    </row>
    <row r="827">
      <c r="A827" s="2" t="n">
        <v>826</v>
      </c>
      <c r="B827" s="2" t="inlineStr">
        <is>
          <t>KH005</t>
        </is>
      </c>
      <c r="C827" s="3" t="inlineStr">
        <is>
          <t>ThinkSafe HCM</t>
        </is>
      </c>
      <c r="D827" s="2" t="inlineStr">
        <is>
          <t>HCM</t>
        </is>
      </c>
      <c r="E827" s="2" t="inlineStr">
        <is>
          <t>XUÂN TRANG</t>
        </is>
      </c>
      <c r="F827" s="2" t="inlineStr">
        <is>
          <t>Shopee</t>
        </is>
      </c>
      <c r="G827" s="2" t="inlineStr">
        <is>
          <t>T265E-T10</t>
        </is>
      </c>
      <c r="H827" s="3" t="inlineStr">
        <is>
          <t>Đầu vít hoa thị KingBlue T265E-T10</t>
        </is>
      </c>
      <c r="I827" s="4" t="n">
        <v>17000</v>
      </c>
      <c r="J827" s="4" t="n"/>
      <c r="K827" s="4">
        <f>IF(AND(ISNUMBER(J827),ISNUMBER(I827)),J827-I827,"")</f>
        <v/>
      </c>
      <c r="L827" s="5">
        <f>IF(AND(ISNUMBER(J827),ISNUMBER(I827),I827&gt;0),(J827-I827)/I827,"")</f>
        <v/>
      </c>
      <c r="M827" s="2">
        <f>IF(L827="","",IF(L827&lt;-0.05,"Bán phá giá",IF(L827&gt;0.05,"Bán cao hơn","Đúng giá niêm yết")))</f>
        <v/>
      </c>
      <c r="N827" s="2" t="n"/>
      <c r="O827" s="3" t="n"/>
      <c r="P827" s="3" t="n"/>
    </row>
    <row r="828">
      <c r="A828" s="2" t="n">
        <v>827</v>
      </c>
      <c r="B828" s="2" t="inlineStr">
        <is>
          <t>KH005</t>
        </is>
      </c>
      <c r="C828" s="3" t="inlineStr">
        <is>
          <t>ThinkSafe HCM</t>
        </is>
      </c>
      <c r="D828" s="2" t="inlineStr">
        <is>
          <t>HCM</t>
        </is>
      </c>
      <c r="E828" s="2" t="inlineStr">
        <is>
          <t>XUÂN TRANG</t>
        </is>
      </c>
      <c r="F828" s="2" t="inlineStr">
        <is>
          <t>Shopee</t>
        </is>
      </c>
      <c r="G828" s="2" t="inlineStr">
        <is>
          <t>T265E-T20</t>
        </is>
      </c>
      <c r="H828" s="3" t="inlineStr">
        <is>
          <t>Đầu vít hoa thị KingBlue T265E-T20</t>
        </is>
      </c>
      <c r="I828" s="4" t="n">
        <v>17000</v>
      </c>
      <c r="J828" s="4" t="n"/>
      <c r="K828" s="4">
        <f>IF(AND(ISNUMBER(J828),ISNUMBER(I828)),J828-I828,"")</f>
        <v/>
      </c>
      <c r="L828" s="5">
        <f>IF(AND(ISNUMBER(J828),ISNUMBER(I828),I828&gt;0),(J828-I828)/I828,"")</f>
        <v/>
      </c>
      <c r="M828" s="2">
        <f>IF(L828="","",IF(L828&lt;-0.05,"Bán phá giá",IF(L828&gt;0.05,"Bán cao hơn","Đúng giá niêm yết")))</f>
        <v/>
      </c>
      <c r="N828" s="2" t="n"/>
      <c r="O828" s="3" t="n"/>
      <c r="P828" s="3" t="n"/>
    </row>
    <row r="829">
      <c r="A829" s="2" t="n">
        <v>828</v>
      </c>
      <c r="B829" s="2" t="inlineStr">
        <is>
          <t>KH005</t>
        </is>
      </c>
      <c r="C829" s="3" t="inlineStr">
        <is>
          <t>ThinkSafe HCM</t>
        </is>
      </c>
      <c r="D829" s="2" t="inlineStr">
        <is>
          <t>HCM</t>
        </is>
      </c>
      <c r="E829" s="2" t="inlineStr">
        <is>
          <t>XUÂN TRANG</t>
        </is>
      </c>
      <c r="F829" s="2" t="inlineStr">
        <is>
          <t>Shopee</t>
        </is>
      </c>
      <c r="G829" s="2" t="inlineStr">
        <is>
          <t>T265E-T25</t>
        </is>
      </c>
      <c r="H829" s="3" t="inlineStr">
        <is>
          <t>Đầu vít hoa thị KingBlue T265E-T25</t>
        </is>
      </c>
      <c r="I829" s="4" t="n">
        <v>17000</v>
      </c>
      <c r="J829" s="4" t="n"/>
      <c r="K829" s="4">
        <f>IF(AND(ISNUMBER(J829),ISNUMBER(I829)),J829-I829,"")</f>
        <v/>
      </c>
      <c r="L829" s="5">
        <f>IF(AND(ISNUMBER(J829),ISNUMBER(I829),I829&gt;0),(J829-I829)/I829,"")</f>
        <v/>
      </c>
      <c r="M829" s="2">
        <f>IF(L829="","",IF(L829&lt;-0.05,"Bán phá giá",IF(L829&gt;0.05,"Bán cao hơn","Đúng giá niêm yết")))</f>
        <v/>
      </c>
      <c r="N829" s="2" t="n"/>
      <c r="O829" s="3" t="n"/>
      <c r="P829" s="3" t="n"/>
    </row>
    <row r="830">
      <c r="A830" s="2" t="n">
        <v>829</v>
      </c>
      <c r="B830" s="2" t="inlineStr">
        <is>
          <t>KH005</t>
        </is>
      </c>
      <c r="C830" s="3" t="inlineStr">
        <is>
          <t>ThinkSafe HCM</t>
        </is>
      </c>
      <c r="D830" s="2" t="inlineStr">
        <is>
          <t>HCM</t>
        </is>
      </c>
      <c r="E830" s="2" t="inlineStr">
        <is>
          <t>XUÂN TRANG</t>
        </is>
      </c>
      <c r="F830" s="2" t="inlineStr">
        <is>
          <t>Shopee</t>
        </is>
      </c>
      <c r="G830" s="2" t="inlineStr">
        <is>
          <t>T265E-T30</t>
        </is>
      </c>
      <c r="H830" s="3" t="inlineStr">
        <is>
          <t>Đầu vít hoa thị KingBlue T265E-T30</t>
        </is>
      </c>
      <c r="I830" s="4" t="n">
        <v>17000</v>
      </c>
      <c r="J830" s="4" t="n"/>
      <c r="K830" s="4">
        <f>IF(AND(ISNUMBER(J830),ISNUMBER(I830)),J830-I830,"")</f>
        <v/>
      </c>
      <c r="L830" s="5">
        <f>IF(AND(ISNUMBER(J830),ISNUMBER(I830),I830&gt;0),(J830-I830)/I830,"")</f>
        <v/>
      </c>
      <c r="M830" s="2">
        <f>IF(L830="","",IF(L830&lt;-0.05,"Bán phá giá",IF(L830&gt;0.05,"Bán cao hơn","Đúng giá niêm yết")))</f>
        <v/>
      </c>
      <c r="N830" s="2" t="n"/>
      <c r="O830" s="3" t="n"/>
      <c r="P830" s="3" t="n"/>
    </row>
    <row r="831">
      <c r="A831" s="2" t="n">
        <v>830</v>
      </c>
      <c r="B831" s="2" t="inlineStr">
        <is>
          <t>KH005</t>
        </is>
      </c>
      <c r="C831" s="3" t="inlineStr">
        <is>
          <t>ThinkSafe HCM</t>
        </is>
      </c>
      <c r="D831" s="2" t="inlineStr">
        <is>
          <t>HCM</t>
        </is>
      </c>
      <c r="E831" s="2" t="inlineStr">
        <is>
          <t>XUÂN TRANG</t>
        </is>
      </c>
      <c r="F831" s="2" t="inlineStr">
        <is>
          <t>Shopee</t>
        </is>
      </c>
      <c r="G831" s="2" t="inlineStr">
        <is>
          <t>V100E</t>
        </is>
      </c>
      <c r="H831" s="3" t="inlineStr">
        <is>
          <t>Đầu vít lục giác  KingBlue V100E</t>
        </is>
      </c>
      <c r="I831" s="4" t="n">
        <v>55000</v>
      </c>
      <c r="J831" s="4" t="n"/>
      <c r="K831" s="4">
        <f>IF(AND(ISNUMBER(J831),ISNUMBER(I831)),J831-I831,"")</f>
        <v/>
      </c>
      <c r="L831" s="5">
        <f>IF(AND(ISNUMBER(J831),ISNUMBER(I831),I831&gt;0),(J831-I831)/I831,"")</f>
        <v/>
      </c>
      <c r="M831" s="2">
        <f>IF(L831="","",IF(L831&lt;-0.05,"Bán phá giá",IF(L831&gt;0.05,"Bán cao hơn","Đúng giá niêm yết")))</f>
        <v/>
      </c>
      <c r="N831" s="2" t="n"/>
      <c r="O831" s="3" t="n"/>
      <c r="P831" s="3" t="n"/>
    </row>
    <row r="832">
      <c r="A832" s="2" t="n">
        <v>831</v>
      </c>
      <c r="B832" s="2" t="inlineStr">
        <is>
          <t>KH005</t>
        </is>
      </c>
      <c r="C832" s="3" t="inlineStr">
        <is>
          <t>ThinkSafe HCM</t>
        </is>
      </c>
      <c r="D832" s="2" t="inlineStr">
        <is>
          <t>HCM</t>
        </is>
      </c>
      <c r="E832" s="2" t="inlineStr">
        <is>
          <t>XUÂN TRANG</t>
        </is>
      </c>
      <c r="F832" s="2" t="inlineStr">
        <is>
          <t>Shopee</t>
        </is>
      </c>
      <c r="G832" s="2" t="inlineStr">
        <is>
          <t>L265E-H4</t>
        </is>
      </c>
      <c r="H832" s="3" t="inlineStr">
        <is>
          <t>Đầu vít lục giác KingBlue L265E-H4</t>
        </is>
      </c>
      <c r="I832" s="4" t="n">
        <v>17000</v>
      </c>
      <c r="J832" s="4" t="n"/>
      <c r="K832" s="4">
        <f>IF(AND(ISNUMBER(J832),ISNUMBER(I832)),J832-I832,"")</f>
        <v/>
      </c>
      <c r="L832" s="5">
        <f>IF(AND(ISNUMBER(J832),ISNUMBER(I832),I832&gt;0),(J832-I832)/I832,"")</f>
        <v/>
      </c>
      <c r="M832" s="2">
        <f>IF(L832="","",IF(L832&lt;-0.05,"Bán phá giá",IF(L832&gt;0.05,"Bán cao hơn","Đúng giá niêm yết")))</f>
        <v/>
      </c>
      <c r="N832" s="2" t="n"/>
      <c r="O832" s="3" t="n"/>
      <c r="P832" s="3" t="n"/>
    </row>
    <row r="833">
      <c r="A833" s="2" t="n">
        <v>832</v>
      </c>
      <c r="B833" s="2" t="inlineStr">
        <is>
          <t>KH005</t>
        </is>
      </c>
      <c r="C833" s="3" t="inlineStr">
        <is>
          <t>ThinkSafe HCM</t>
        </is>
      </c>
      <c r="D833" s="2" t="inlineStr">
        <is>
          <t>HCM</t>
        </is>
      </c>
      <c r="E833" s="2" t="inlineStr">
        <is>
          <t>XUÂN TRANG</t>
        </is>
      </c>
      <c r="F833" s="2" t="inlineStr">
        <is>
          <t>Shopee</t>
        </is>
      </c>
      <c r="G833" s="2" t="inlineStr">
        <is>
          <t>L265E-H5</t>
        </is>
      </c>
      <c r="H833" s="3" t="inlineStr">
        <is>
          <t>Đầu vít lục giác KingBlue L265E-H5</t>
        </is>
      </c>
      <c r="I833" s="4" t="n">
        <v>17000</v>
      </c>
      <c r="J833" s="4" t="n"/>
      <c r="K833" s="4">
        <f>IF(AND(ISNUMBER(J833),ISNUMBER(I833)),J833-I833,"")</f>
        <v/>
      </c>
      <c r="L833" s="5">
        <f>IF(AND(ISNUMBER(J833),ISNUMBER(I833),I833&gt;0),(J833-I833)/I833,"")</f>
        <v/>
      </c>
      <c r="M833" s="2">
        <f>IF(L833="","",IF(L833&lt;-0.05,"Bán phá giá",IF(L833&gt;0.05,"Bán cao hơn","Đúng giá niêm yết")))</f>
        <v/>
      </c>
      <c r="N833" s="2" t="n"/>
      <c r="O833" s="3" t="n"/>
      <c r="P833" s="3" t="n"/>
    </row>
    <row r="834">
      <c r="A834" s="2" t="n">
        <v>833</v>
      </c>
      <c r="B834" s="2" t="inlineStr">
        <is>
          <t>KH005</t>
        </is>
      </c>
      <c r="C834" s="3" t="inlineStr">
        <is>
          <t>ThinkSafe HCM</t>
        </is>
      </c>
      <c r="D834" s="2" t="inlineStr">
        <is>
          <t>HCM</t>
        </is>
      </c>
      <c r="E834" s="2" t="inlineStr">
        <is>
          <t>XUÂN TRANG</t>
        </is>
      </c>
      <c r="F834" s="2" t="inlineStr">
        <is>
          <t>Shopee</t>
        </is>
      </c>
      <c r="G834" s="2" t="inlineStr">
        <is>
          <t>L265E-H6</t>
        </is>
      </c>
      <c r="H834" s="3" t="inlineStr">
        <is>
          <t>Đầu vít lục giác KingBlue L265E-H6</t>
        </is>
      </c>
      <c r="I834" s="4" t="n">
        <v>17000</v>
      </c>
      <c r="J834" s="4" t="n"/>
      <c r="K834" s="4">
        <f>IF(AND(ISNUMBER(J834),ISNUMBER(I834)),J834-I834,"")</f>
        <v/>
      </c>
      <c r="L834" s="5">
        <f>IF(AND(ISNUMBER(J834),ISNUMBER(I834),I834&gt;0),(J834-I834)/I834,"")</f>
        <v/>
      </c>
      <c r="M834" s="2">
        <f>IF(L834="","",IF(L834&lt;-0.05,"Bán phá giá",IF(L834&gt;0.05,"Bán cao hơn","Đúng giá niêm yết")))</f>
        <v/>
      </c>
      <c r="N834" s="2" t="n"/>
      <c r="O834" s="3" t="n"/>
      <c r="P834" s="3" t="n"/>
    </row>
    <row r="835">
      <c r="A835" s="2" t="n">
        <v>834</v>
      </c>
      <c r="B835" s="2" t="inlineStr">
        <is>
          <t>KH005</t>
        </is>
      </c>
      <c r="C835" s="3" t="inlineStr">
        <is>
          <t>ThinkSafe HCM</t>
        </is>
      </c>
      <c r="D835" s="2" t="inlineStr">
        <is>
          <t>HCM</t>
        </is>
      </c>
      <c r="E835" s="2" t="inlineStr">
        <is>
          <t>XUÂN TRANG</t>
        </is>
      </c>
      <c r="F835" s="2" t="inlineStr">
        <is>
          <t>Shopee</t>
        </is>
      </c>
      <c r="G835" s="2" t="inlineStr">
        <is>
          <t>L265E-H8</t>
        </is>
      </c>
      <c r="H835" s="3" t="inlineStr">
        <is>
          <t>Đầu vít lục giác KingBlue L265E-H8</t>
        </is>
      </c>
      <c r="I835" s="4" t="n">
        <v>41000</v>
      </c>
      <c r="J835" s="4" t="n"/>
      <c r="K835" s="4">
        <f>IF(AND(ISNUMBER(J835),ISNUMBER(I835)),J835-I835,"")</f>
        <v/>
      </c>
      <c r="L835" s="5">
        <f>IF(AND(ISNUMBER(J835),ISNUMBER(I835),I835&gt;0),(J835-I835)/I835,"")</f>
        <v/>
      </c>
      <c r="M835" s="2">
        <f>IF(L835="","",IF(L835&lt;-0.05,"Bán phá giá",IF(L835&gt;0.05,"Bán cao hơn","Đúng giá niêm yết")))</f>
        <v/>
      </c>
      <c r="N835" s="2" t="n"/>
      <c r="O835" s="3" t="n"/>
      <c r="P835" s="3" t="n"/>
    </row>
    <row r="836">
      <c r="A836" s="2" t="n">
        <v>835</v>
      </c>
      <c r="B836" s="2" t="inlineStr">
        <is>
          <t>KH005</t>
        </is>
      </c>
      <c r="C836" s="3" t="inlineStr">
        <is>
          <t>ThinkSafe HCM</t>
        </is>
      </c>
      <c r="D836" s="2" t="inlineStr">
        <is>
          <t>HCM</t>
        </is>
      </c>
      <c r="E836" s="2" t="inlineStr">
        <is>
          <t>XUÂN TRANG</t>
        </is>
      </c>
      <c r="F836" s="2" t="inlineStr">
        <is>
          <t>Shopee</t>
        </is>
      </c>
      <c r="G836" s="2" t="inlineStr">
        <is>
          <t>V65E</t>
        </is>
      </c>
      <c r="H836" s="3" t="inlineStr">
        <is>
          <t>Đầu vít lục giác KingBlue V65E</t>
        </is>
      </c>
      <c r="I836" s="4" t="n">
        <v>13000</v>
      </c>
      <c r="J836" s="4" t="n"/>
      <c r="K836" s="4">
        <f>IF(AND(ISNUMBER(J836),ISNUMBER(I836)),J836-I836,"")</f>
        <v/>
      </c>
      <c r="L836" s="5">
        <f>IF(AND(ISNUMBER(J836),ISNUMBER(I836),I836&gt;0),(J836-I836)/I836,"")</f>
        <v/>
      </c>
      <c r="M836" s="2">
        <f>IF(L836="","",IF(L836&lt;-0.05,"Bán phá giá",IF(L836&gt;0.05,"Bán cao hơn","Đúng giá niêm yết")))</f>
        <v/>
      </c>
      <c r="N836" s="2" t="n"/>
      <c r="O836" s="3" t="n"/>
      <c r="P836" s="3" t="n"/>
    </row>
    <row r="837">
      <c r="A837" s="2" t="n">
        <v>836</v>
      </c>
      <c r="B837" s="2" t="inlineStr">
        <is>
          <t>KH005</t>
        </is>
      </c>
      <c r="C837" s="3" t="inlineStr">
        <is>
          <t>ThinkSafe HCM</t>
        </is>
      </c>
      <c r="D837" s="2" t="inlineStr">
        <is>
          <t>HCM</t>
        </is>
      </c>
      <c r="E837" s="2" t="inlineStr">
        <is>
          <t>XUÂN TRANG</t>
        </is>
      </c>
      <c r="F837" s="2" t="inlineStr">
        <is>
          <t>Shopee</t>
        </is>
      </c>
      <c r="G837" s="2" t="inlineStr">
        <is>
          <t>LED750</t>
        </is>
      </c>
      <c r="H837" s="3" t="inlineStr">
        <is>
          <t>Đèn Led cài áo LED750</t>
        </is>
      </c>
      <c r="I837" s="4" t="n">
        <v>540000</v>
      </c>
      <c r="J837" s="4" t="n"/>
      <c r="K837" s="4">
        <f>IF(AND(ISNUMBER(J837),ISNUMBER(I837)),J837-I837,"")</f>
        <v/>
      </c>
      <c r="L837" s="5">
        <f>IF(AND(ISNUMBER(J837),ISNUMBER(I837),I837&gt;0),(J837-I837)/I837,"")</f>
        <v/>
      </c>
      <c r="M837" s="2">
        <f>IF(L837="","",IF(L837&lt;-0.05,"Bán phá giá",IF(L837&gt;0.05,"Bán cao hơn","Đúng giá niêm yết")))</f>
        <v/>
      </c>
      <c r="N837" s="2" t="n"/>
      <c r="O837" s="3" t="n"/>
      <c r="P837" s="3" t="n"/>
    </row>
    <row r="838">
      <c r="A838" s="2" t="n">
        <v>837</v>
      </c>
      <c r="B838" s="2" t="inlineStr">
        <is>
          <t>KH005</t>
        </is>
      </c>
      <c r="C838" s="3" t="inlineStr">
        <is>
          <t>ThinkSafe HCM</t>
        </is>
      </c>
      <c r="D838" s="2" t="inlineStr">
        <is>
          <t>HCM</t>
        </is>
      </c>
      <c r="E838" s="2" t="inlineStr">
        <is>
          <t>XUÂN TRANG</t>
        </is>
      </c>
      <c r="F838" s="2" t="inlineStr">
        <is>
          <t>Shopee</t>
        </is>
      </c>
      <c r="G838" s="2" t="inlineStr">
        <is>
          <t>LED2000</t>
        </is>
      </c>
      <c r="H838" s="3" t="inlineStr">
        <is>
          <t>Đèn Led cắm trại  LED2000</t>
        </is>
      </c>
      <c r="I838" s="4" t="n">
        <v>990000</v>
      </c>
      <c r="J838" s="4" t="n"/>
      <c r="K838" s="4">
        <f>IF(AND(ISNUMBER(J838),ISNUMBER(I838)),J838-I838,"")</f>
        <v/>
      </c>
      <c r="L838" s="5">
        <f>IF(AND(ISNUMBER(J838),ISNUMBER(I838),I838&gt;0),(J838-I838)/I838,"")</f>
        <v/>
      </c>
      <c r="M838" s="2">
        <f>IF(L838="","",IF(L838&lt;-0.05,"Bán phá giá",IF(L838&gt;0.05,"Bán cao hơn","Đúng giá niêm yết")))</f>
        <v/>
      </c>
      <c r="N838" s="2" t="n"/>
      <c r="O838" s="3" t="n"/>
      <c r="P838" s="3" t="n"/>
    </row>
    <row r="839">
      <c r="A839" s="2" t="n">
        <v>838</v>
      </c>
      <c r="B839" s="2" t="inlineStr">
        <is>
          <t>KH005</t>
        </is>
      </c>
      <c r="C839" s="3" t="inlineStr">
        <is>
          <t>ThinkSafe HCM</t>
        </is>
      </c>
      <c r="D839" s="2" t="inlineStr">
        <is>
          <t>HCM</t>
        </is>
      </c>
      <c r="E839" s="2" t="inlineStr">
        <is>
          <t>XUÂN TRANG</t>
        </is>
      </c>
      <c r="F839" s="2" t="inlineStr">
        <is>
          <t>Shopee</t>
        </is>
      </c>
      <c r="G839" s="2" t="inlineStr">
        <is>
          <t>LED800</t>
        </is>
      </c>
      <c r="H839" s="3" t="inlineStr">
        <is>
          <t>Đèn Led đội đầu  LED800</t>
        </is>
      </c>
      <c r="I839" s="4" t="n">
        <v>480000</v>
      </c>
      <c r="J839" s="4" t="n"/>
      <c r="K839" s="4">
        <f>IF(AND(ISNUMBER(J839),ISNUMBER(I839)),J839-I839,"")</f>
        <v/>
      </c>
      <c r="L839" s="5">
        <f>IF(AND(ISNUMBER(J839),ISNUMBER(I839),I839&gt;0),(J839-I839)/I839,"")</f>
        <v/>
      </c>
      <c r="M839" s="2">
        <f>IF(L839="","",IF(L839&lt;-0.05,"Bán phá giá",IF(L839&gt;0.05,"Bán cao hơn","Đúng giá niêm yết")))</f>
        <v/>
      </c>
      <c r="N839" s="2" t="n"/>
      <c r="O839" s="3" t="n"/>
      <c r="P839" s="3" t="n"/>
    </row>
    <row r="840">
      <c r="A840" s="2" t="n">
        <v>839</v>
      </c>
      <c r="B840" s="2" t="inlineStr">
        <is>
          <t>KH005</t>
        </is>
      </c>
      <c r="C840" s="3" t="inlineStr">
        <is>
          <t>ThinkSafe HCM</t>
        </is>
      </c>
      <c r="D840" s="2" t="inlineStr">
        <is>
          <t>HCM</t>
        </is>
      </c>
      <c r="E840" s="2" t="inlineStr">
        <is>
          <t>XUÂN TRANG</t>
        </is>
      </c>
      <c r="F840" s="2" t="inlineStr">
        <is>
          <t>Shopee</t>
        </is>
      </c>
      <c r="G840" s="2" t="inlineStr">
        <is>
          <t>LED1000H</t>
        </is>
      </c>
      <c r="H840" s="3" t="inlineStr">
        <is>
          <t>Đèn Led đội đầu LED1000H</t>
        </is>
      </c>
      <c r="I840" s="4" t="n">
        <v>680000</v>
      </c>
      <c r="J840" s="4" t="n"/>
      <c r="K840" s="4">
        <f>IF(AND(ISNUMBER(J840),ISNUMBER(I840)),J840-I840,"")</f>
        <v/>
      </c>
      <c r="L840" s="5">
        <f>IF(AND(ISNUMBER(J840),ISNUMBER(I840),I840&gt;0),(J840-I840)/I840,"")</f>
        <v/>
      </c>
      <c r="M840" s="2">
        <f>IF(L840="","",IF(L840&lt;-0.05,"Bán phá giá",IF(L840&gt;0.05,"Bán cao hơn","Đúng giá niêm yết")))</f>
        <v/>
      </c>
      <c r="N840" s="2" t="n"/>
      <c r="O840" s="3" t="n"/>
      <c r="P840" s="3" t="n"/>
    </row>
    <row r="841">
      <c r="A841" s="2" t="n">
        <v>840</v>
      </c>
      <c r="B841" s="2" t="inlineStr">
        <is>
          <t>KH005</t>
        </is>
      </c>
      <c r="C841" s="3" t="inlineStr">
        <is>
          <t>ThinkSafe HCM</t>
        </is>
      </c>
      <c r="D841" s="2" t="inlineStr">
        <is>
          <t>HCM</t>
        </is>
      </c>
      <c r="E841" s="2" t="inlineStr">
        <is>
          <t>XUÂN TRANG</t>
        </is>
      </c>
      <c r="F841" s="2" t="inlineStr">
        <is>
          <t>Shopee</t>
        </is>
      </c>
      <c r="G841" s="2" t="inlineStr">
        <is>
          <t>LED500</t>
        </is>
      </c>
      <c r="H841" s="3" t="inlineStr">
        <is>
          <t>Đèn Led đội đầu LED500</t>
        </is>
      </c>
      <c r="I841" s="4" t="n">
        <v>490000</v>
      </c>
      <c r="J841" s="4" t="n"/>
      <c r="K841" s="4">
        <f>IF(AND(ISNUMBER(J841),ISNUMBER(I841)),J841-I841,"")</f>
        <v/>
      </c>
      <c r="L841" s="5">
        <f>IF(AND(ISNUMBER(J841),ISNUMBER(I841),I841&gt;0),(J841-I841)/I841,"")</f>
        <v/>
      </c>
      <c r="M841" s="2">
        <f>IF(L841="","",IF(L841&lt;-0.05,"Bán phá giá",IF(L841&gt;0.05,"Bán cao hơn","Đúng giá niêm yết")))</f>
        <v/>
      </c>
      <c r="N841" s="2" t="n"/>
      <c r="O841" s="3" t="n"/>
      <c r="P841" s="3" t="n"/>
    </row>
    <row r="842">
      <c r="A842" s="2" t="n">
        <v>841</v>
      </c>
      <c r="B842" s="2" t="inlineStr">
        <is>
          <t>KH005</t>
        </is>
      </c>
      <c r="C842" s="3" t="inlineStr">
        <is>
          <t>ThinkSafe HCM</t>
        </is>
      </c>
      <c r="D842" s="2" t="inlineStr">
        <is>
          <t>HCM</t>
        </is>
      </c>
      <c r="E842" s="2" t="inlineStr">
        <is>
          <t>XUÂN TRANG</t>
        </is>
      </c>
      <c r="F842" s="2" t="inlineStr">
        <is>
          <t>Shopee</t>
        </is>
      </c>
      <c r="G842" s="2" t="inlineStr">
        <is>
          <t>LED600</t>
        </is>
      </c>
      <c r="H842" s="3" t="inlineStr">
        <is>
          <t>Đèn Led soi sửa chữa máy móc LED600</t>
        </is>
      </c>
      <c r="I842" s="4" t="n">
        <v>690000</v>
      </c>
      <c r="J842" s="4" t="n"/>
      <c r="K842" s="4">
        <f>IF(AND(ISNUMBER(J842),ISNUMBER(I842)),J842-I842,"")</f>
        <v/>
      </c>
      <c r="L842" s="5">
        <f>IF(AND(ISNUMBER(J842),ISNUMBER(I842),I842&gt;0),(J842-I842)/I842,"")</f>
        <v/>
      </c>
      <c r="M842" s="2">
        <f>IF(L842="","",IF(L842&lt;-0.05,"Bán phá giá",IF(L842&gt;0.05,"Bán cao hơn","Đúng giá niêm yết")))</f>
        <v/>
      </c>
      <c r="N842" s="2" t="n"/>
      <c r="O842" s="3" t="n"/>
      <c r="P842" s="3" t="n"/>
    </row>
    <row r="843">
      <c r="A843" s="2" t="n">
        <v>842</v>
      </c>
      <c r="B843" s="2" t="inlineStr">
        <is>
          <t>KH005</t>
        </is>
      </c>
      <c r="C843" s="3" t="inlineStr">
        <is>
          <t>ThinkSafe HCM</t>
        </is>
      </c>
      <c r="D843" s="2" t="inlineStr">
        <is>
          <t>HCM</t>
        </is>
      </c>
      <c r="E843" s="2" t="inlineStr">
        <is>
          <t>XUÂN TRANG</t>
        </is>
      </c>
      <c r="F843" s="2" t="inlineStr">
        <is>
          <t>Shopee</t>
        </is>
      </c>
      <c r="G843" s="2" t="inlineStr">
        <is>
          <t>MINI20GKD</t>
        </is>
      </c>
      <c r="H843" s="3" t="inlineStr">
        <is>
          <t>Đinh MINI20GKD</t>
        </is>
      </c>
      <c r="I843" s="4" t="n"/>
      <c r="J843" s="4" t="n"/>
      <c r="K843" s="4">
        <f>IF(AND(ISNUMBER(J843),ISNUMBER(I843)),J843-I843,"")</f>
        <v/>
      </c>
      <c r="L843" s="5">
        <f>IF(AND(ISNUMBER(J843),ISNUMBER(I843),I843&gt;0),(J843-I843)/I843,"")</f>
        <v/>
      </c>
      <c r="M843" s="2">
        <f>IF(L843="","",IF(L843&lt;-0.05,"Bán phá giá",IF(L843&gt;0.05,"Bán cao hơn","Đúng giá niêm yết")))</f>
        <v/>
      </c>
      <c r="N843" s="2" t="n"/>
      <c r="O843" s="3" t="n"/>
      <c r="P843" s="3" t="n"/>
    </row>
    <row r="844">
      <c r="A844" s="2" t="n">
        <v>843</v>
      </c>
      <c r="B844" s="2" t="inlineStr">
        <is>
          <t>KH005</t>
        </is>
      </c>
      <c r="C844" s="3" t="inlineStr">
        <is>
          <t>ThinkSafe HCM</t>
        </is>
      </c>
      <c r="D844" s="2" t="inlineStr">
        <is>
          <t>HCM</t>
        </is>
      </c>
      <c r="E844" s="2" t="inlineStr">
        <is>
          <t>XUÂN TRANG</t>
        </is>
      </c>
      <c r="F844" s="2" t="inlineStr">
        <is>
          <t>Shopee</t>
        </is>
      </c>
      <c r="G844" s="2" t="inlineStr"/>
      <c r="H844" s="3" t="inlineStr">
        <is>
          <t>Đinh MINIGJD</t>
        </is>
      </c>
      <c r="I844" s="4" t="n"/>
      <c r="J844" s="4" t="n"/>
      <c r="K844" s="4">
        <f>IF(AND(ISNUMBER(J844),ISNUMBER(I844)),J844-I844,"")</f>
        <v/>
      </c>
      <c r="L844" s="5">
        <f>IF(AND(ISNUMBER(J844),ISNUMBER(I844),I844&gt;0),(J844-I844)/I844,"")</f>
        <v/>
      </c>
      <c r="M844" s="2">
        <f>IF(L844="","",IF(L844&lt;-0.05,"Bán phá giá",IF(L844&gt;0.05,"Bán cao hơn","Đúng giá niêm yết")))</f>
        <v/>
      </c>
      <c r="N844" s="2" t="n"/>
      <c r="O844" s="3" t="n"/>
      <c r="P844" s="3" t="n"/>
    </row>
    <row r="845">
      <c r="A845" s="2" t="n">
        <v>844</v>
      </c>
      <c r="B845" s="2" t="inlineStr">
        <is>
          <t>KH005</t>
        </is>
      </c>
      <c r="C845" s="3" t="inlineStr">
        <is>
          <t>ThinkSafe HCM</t>
        </is>
      </c>
      <c r="D845" s="2" t="inlineStr">
        <is>
          <t>HCM</t>
        </is>
      </c>
      <c r="E845" s="2" t="inlineStr">
        <is>
          <t>XUÂN TRANG</t>
        </is>
      </c>
      <c r="F845" s="2" t="inlineStr">
        <is>
          <t>Shopee</t>
        </is>
      </c>
      <c r="G845" s="2" t="inlineStr"/>
      <c r="H845" s="3" t="inlineStr">
        <is>
          <t>Đinh MINISFD</t>
        </is>
      </c>
      <c r="I845" s="4" t="n"/>
      <c r="J845" s="4" t="n"/>
      <c r="K845" s="4">
        <f>IF(AND(ISNUMBER(J845),ISNUMBER(I845)),J845-I845,"")</f>
        <v/>
      </c>
      <c r="L845" s="5">
        <f>IF(AND(ISNUMBER(J845),ISNUMBER(I845),I845&gt;0),(J845-I845)/I845,"")</f>
        <v/>
      </c>
      <c r="M845" s="2">
        <f>IF(L845="","",IF(L845&lt;-0.05,"Bán phá giá",IF(L845&gt;0.05,"Bán cao hơn","Đúng giá niêm yết")))</f>
        <v/>
      </c>
      <c r="N845" s="2" t="n"/>
      <c r="O845" s="3" t="n"/>
      <c r="P845" s="3" t="n"/>
    </row>
    <row r="846">
      <c r="A846" s="2" t="n">
        <v>845</v>
      </c>
      <c r="B846" s="2" t="inlineStr">
        <is>
          <t>KH005</t>
        </is>
      </c>
      <c r="C846" s="3" t="inlineStr">
        <is>
          <t>ThinkSafe HCM</t>
        </is>
      </c>
      <c r="D846" s="2" t="inlineStr">
        <is>
          <t>HCM</t>
        </is>
      </c>
      <c r="E846" s="2" t="inlineStr">
        <is>
          <t>XUÂN TRANG</t>
        </is>
      </c>
      <c r="F846" s="2" t="inlineStr">
        <is>
          <t>Shopee</t>
        </is>
      </c>
      <c r="G846" s="2" t="inlineStr">
        <is>
          <t>KFG-13/6</t>
        </is>
      </c>
      <c r="H846" s="3" t="inlineStr">
        <is>
          <t>Ghim KFG-13/6</t>
        </is>
      </c>
      <c r="I846" s="4" t="n">
        <v>34000</v>
      </c>
      <c r="J846" s="4" t="n"/>
      <c r="K846" s="4">
        <f>IF(AND(ISNUMBER(J846),ISNUMBER(I846)),J846-I846,"")</f>
        <v/>
      </c>
      <c r="L846" s="5">
        <f>IF(AND(ISNUMBER(J846),ISNUMBER(I846),I846&gt;0),(J846-I846)/I846,"")</f>
        <v/>
      </c>
      <c r="M846" s="2">
        <f>IF(L846="","",IF(L846&lt;-0.05,"Bán phá giá",IF(L846&gt;0.05,"Bán cao hơn","Đúng giá niêm yết")))</f>
        <v/>
      </c>
      <c r="N846" s="2" t="n"/>
      <c r="O846" s="3" t="n"/>
      <c r="P846" s="3" t="n"/>
    </row>
    <row r="847">
      <c r="A847" s="2" t="n">
        <v>846</v>
      </c>
      <c r="B847" s="2" t="inlineStr">
        <is>
          <t>KH005</t>
        </is>
      </c>
      <c r="C847" s="3" t="inlineStr">
        <is>
          <t>ThinkSafe HCM</t>
        </is>
      </c>
      <c r="D847" s="2" t="inlineStr">
        <is>
          <t>HCM</t>
        </is>
      </c>
      <c r="E847" s="2" t="inlineStr">
        <is>
          <t>XUÂN TRANG</t>
        </is>
      </c>
      <c r="F847" s="2" t="inlineStr">
        <is>
          <t>Shopee</t>
        </is>
      </c>
      <c r="G847" s="2" t="inlineStr">
        <is>
          <t>KFG-16/6</t>
        </is>
      </c>
      <c r="H847" s="3" t="inlineStr">
        <is>
          <t>Ghim KFG-16/6</t>
        </is>
      </c>
      <c r="I847" s="4" t="n">
        <v>27000</v>
      </c>
      <c r="J847" s="4" t="n"/>
      <c r="K847" s="4">
        <f>IF(AND(ISNUMBER(J847),ISNUMBER(I847)),J847-I847,"")</f>
        <v/>
      </c>
      <c r="L847" s="5">
        <f>IF(AND(ISNUMBER(J847),ISNUMBER(I847),I847&gt;0),(J847-I847)/I847,"")</f>
        <v/>
      </c>
      <c r="M847" s="2">
        <f>IF(L847="","",IF(L847&lt;-0.05,"Bán phá giá",IF(L847&gt;0.05,"Bán cao hơn","Đúng giá niêm yết")))</f>
        <v/>
      </c>
      <c r="N847" s="2" t="n"/>
      <c r="O847" s="3" t="n"/>
      <c r="P847" s="3" t="n"/>
    </row>
    <row r="848">
      <c r="A848" s="2" t="n">
        <v>847</v>
      </c>
      <c r="B848" s="2" t="inlineStr">
        <is>
          <t>KH005</t>
        </is>
      </c>
      <c r="C848" s="3" t="inlineStr">
        <is>
          <t>ThinkSafe HCM</t>
        </is>
      </c>
      <c r="D848" s="2" t="inlineStr">
        <is>
          <t>HCM</t>
        </is>
      </c>
      <c r="E848" s="2" t="inlineStr">
        <is>
          <t>XUÂN TRANG</t>
        </is>
      </c>
      <c r="F848" s="2" t="inlineStr">
        <is>
          <t>Shopee</t>
        </is>
      </c>
      <c r="G848" s="2" t="inlineStr">
        <is>
          <t>HKE-924</t>
        </is>
      </c>
      <c r="H848" s="3" t="inlineStr">
        <is>
          <t>Hít gạch điện tử HKE-924</t>
        </is>
      </c>
      <c r="I848" s="4" t="n"/>
      <c r="J848" s="4" t="n"/>
      <c r="K848" s="4">
        <f>IF(AND(ISNUMBER(J848),ISNUMBER(I848)),J848-I848,"")</f>
        <v/>
      </c>
      <c r="L848" s="5">
        <f>IF(AND(ISNUMBER(J848),ISNUMBER(I848),I848&gt;0),(J848-I848)/I848,"")</f>
        <v/>
      </c>
      <c r="M848" s="2">
        <f>IF(L848="","",IF(L848&lt;-0.05,"Bán phá giá",IF(L848&gt;0.05,"Bán cao hơn","Đúng giá niêm yết")))</f>
        <v/>
      </c>
      <c r="N848" s="2" t="n"/>
      <c r="O848" s="3" t="n"/>
      <c r="P848" s="3" t="n"/>
    </row>
    <row r="849">
      <c r="A849" s="2" t="n">
        <v>848</v>
      </c>
      <c r="B849" s="2" t="inlineStr">
        <is>
          <t>KH005</t>
        </is>
      </c>
      <c r="C849" s="3" t="inlineStr">
        <is>
          <t>ThinkSafe HCM</t>
        </is>
      </c>
      <c r="D849" s="2" t="inlineStr">
        <is>
          <t>HCM</t>
        </is>
      </c>
      <c r="E849" s="2" t="inlineStr">
        <is>
          <t>XUÂN TRANG</t>
        </is>
      </c>
      <c r="F849" s="2" t="inlineStr">
        <is>
          <t>Shopee</t>
        </is>
      </c>
      <c r="G849" s="2" t="inlineStr">
        <is>
          <t>HKE-200</t>
        </is>
      </c>
      <c r="H849" s="3" t="inlineStr">
        <is>
          <t>Hít kính điện tử HKE-200</t>
        </is>
      </c>
      <c r="I849" s="4" t="n">
        <v>671000</v>
      </c>
      <c r="J849" s="4" t="n"/>
      <c r="K849" s="4">
        <f>IF(AND(ISNUMBER(J849),ISNUMBER(I849)),J849-I849,"")</f>
        <v/>
      </c>
      <c r="L849" s="5">
        <f>IF(AND(ISNUMBER(J849),ISNUMBER(I849),I849&gt;0),(J849-I849)/I849,"")</f>
        <v/>
      </c>
      <c r="M849" s="2">
        <f>IF(L849="","",IF(L849&lt;-0.05,"Bán phá giá",IF(L849&gt;0.05,"Bán cao hơn","Đúng giá niêm yết")))</f>
        <v/>
      </c>
      <c r="N849" s="2" t="n"/>
      <c r="O849" s="3" t="n"/>
      <c r="P849" s="3" t="n"/>
    </row>
    <row r="850">
      <c r="A850" s="2" t="n">
        <v>849</v>
      </c>
      <c r="B850" s="2" t="inlineStr">
        <is>
          <t>KH005</t>
        </is>
      </c>
      <c r="C850" s="3" t="inlineStr">
        <is>
          <t>ThinkSafe HCM</t>
        </is>
      </c>
      <c r="D850" s="2" t="inlineStr">
        <is>
          <t>HCM</t>
        </is>
      </c>
      <c r="E850" s="2" t="inlineStr">
        <is>
          <t>XUÂN TRANG</t>
        </is>
      </c>
      <c r="F850" s="2" t="inlineStr">
        <is>
          <t>Shopee</t>
        </is>
      </c>
      <c r="G850" s="2" t="inlineStr">
        <is>
          <t>HK1-50</t>
        </is>
      </c>
      <c r="H850" s="3" t="inlineStr">
        <is>
          <t>Hít kính HK1-50</t>
        </is>
      </c>
      <c r="I850" s="4" t="n">
        <v>226000</v>
      </c>
      <c r="J850" s="4" t="n"/>
      <c r="K850" s="4">
        <f>IF(AND(ISNUMBER(J850),ISNUMBER(I850)),J850-I850,"")</f>
        <v/>
      </c>
      <c r="L850" s="5">
        <f>IF(AND(ISNUMBER(J850),ISNUMBER(I850),I850&gt;0),(J850-I850)/I850,"")</f>
        <v/>
      </c>
      <c r="M850" s="2">
        <f>IF(L850="","",IF(L850&lt;-0.05,"Bán phá giá",IF(L850&gt;0.05,"Bán cao hơn","Đúng giá niêm yết")))</f>
        <v/>
      </c>
      <c r="N850" s="2" t="n"/>
      <c r="O850" s="3" t="n"/>
      <c r="P850" s="3" t="n"/>
    </row>
    <row r="851">
      <c r="A851" s="2" t="n">
        <v>850</v>
      </c>
      <c r="B851" s="2" t="inlineStr">
        <is>
          <t>KH005</t>
        </is>
      </c>
      <c r="C851" s="3" t="inlineStr">
        <is>
          <t>ThinkSafe HCM</t>
        </is>
      </c>
      <c r="D851" s="2" t="inlineStr">
        <is>
          <t>HCM</t>
        </is>
      </c>
      <c r="E851" s="2" t="inlineStr">
        <is>
          <t>XUÂN TRANG</t>
        </is>
      </c>
      <c r="F851" s="2" t="inlineStr">
        <is>
          <t>Shopee</t>
        </is>
      </c>
      <c r="G851" s="2" t="inlineStr">
        <is>
          <t>HK2-130</t>
        </is>
      </c>
      <c r="H851" s="3" t="inlineStr">
        <is>
          <t>Hít kính HK2-130</t>
        </is>
      </c>
      <c r="I851" s="4" t="n">
        <v>336000</v>
      </c>
      <c r="J851" s="4" t="n"/>
      <c r="K851" s="4">
        <f>IF(AND(ISNUMBER(J851),ISNUMBER(I851)),J851-I851,"")</f>
        <v/>
      </c>
      <c r="L851" s="5">
        <f>IF(AND(ISNUMBER(J851),ISNUMBER(I851),I851&gt;0),(J851-I851)/I851,"")</f>
        <v/>
      </c>
      <c r="M851" s="2">
        <f>IF(L851="","",IF(L851&lt;-0.05,"Bán phá giá",IF(L851&gt;0.05,"Bán cao hơn","Đúng giá niêm yết")))</f>
        <v/>
      </c>
      <c r="N851" s="2" t="n"/>
      <c r="O851" s="3" t="n"/>
      <c r="P851" s="3" t="n"/>
    </row>
    <row r="852">
      <c r="A852" s="2" t="n">
        <v>851</v>
      </c>
      <c r="B852" s="2" t="inlineStr">
        <is>
          <t>KH005</t>
        </is>
      </c>
      <c r="C852" s="3" t="inlineStr">
        <is>
          <t>ThinkSafe HCM</t>
        </is>
      </c>
      <c r="D852" s="2" t="inlineStr">
        <is>
          <t>HCM</t>
        </is>
      </c>
      <c r="E852" s="2" t="inlineStr">
        <is>
          <t>XUÂN TRANG</t>
        </is>
      </c>
      <c r="F852" s="2" t="inlineStr">
        <is>
          <t>Shopee</t>
        </is>
      </c>
      <c r="G852" s="2" t="inlineStr">
        <is>
          <t>HK2-118</t>
        </is>
      </c>
      <c r="H852" s="3" t="inlineStr">
        <is>
          <t>Hít kính-căn chỉnh mạch gạch HK2-118</t>
        </is>
      </c>
      <c r="I852" s="4" t="n">
        <v>505000</v>
      </c>
      <c r="J852" s="4" t="n"/>
      <c r="K852" s="4">
        <f>IF(AND(ISNUMBER(J852),ISNUMBER(I852)),J852-I852,"")</f>
        <v/>
      </c>
      <c r="L852" s="5">
        <f>IF(AND(ISNUMBER(J852),ISNUMBER(I852),I852&gt;0),(J852-I852)/I852,"")</f>
        <v/>
      </c>
      <c r="M852" s="2">
        <f>IF(L852="","",IF(L852&lt;-0.05,"Bán phá giá",IF(L852&gt;0.05,"Bán cao hơn","Đúng giá niêm yết")))</f>
        <v/>
      </c>
      <c r="N852" s="2" t="n"/>
      <c r="O852" s="3" t="n"/>
      <c r="P852" s="3" t="n"/>
    </row>
    <row r="853">
      <c r="A853" s="2" t="n">
        <v>852</v>
      </c>
      <c r="B853" s="2" t="inlineStr">
        <is>
          <t>KH005</t>
        </is>
      </c>
      <c r="C853" s="3" t="inlineStr">
        <is>
          <t>ThinkSafe HCM</t>
        </is>
      </c>
      <c r="D853" s="2" t="inlineStr">
        <is>
          <t>HCM</t>
        </is>
      </c>
      <c r="E853" s="2" t="inlineStr">
        <is>
          <t>XUÂN TRANG</t>
        </is>
      </c>
      <c r="F853" s="2" t="inlineStr">
        <is>
          <t>Shopee</t>
        </is>
      </c>
      <c r="G853" s="2" t="inlineStr">
        <is>
          <t>KBE-BL2816</t>
        </is>
      </c>
      <c r="H853" s="3" t="inlineStr">
        <is>
          <t>Kéo cắt cành pin KBE-BL2816</t>
        </is>
      </c>
      <c r="I853" s="4" t="n">
        <v>1600000</v>
      </c>
      <c r="J853" s="4" t="n"/>
      <c r="K853" s="4">
        <f>IF(AND(ISNUMBER(J853),ISNUMBER(I853)),J853-I853,"")</f>
        <v/>
      </c>
      <c r="L853" s="5">
        <f>IF(AND(ISNUMBER(J853),ISNUMBER(I853),I853&gt;0),(J853-I853)/I853,"")</f>
        <v/>
      </c>
      <c r="M853" s="2">
        <f>IF(L853="","",IF(L853&lt;-0.05,"Bán phá giá",IF(L853&gt;0.05,"Bán cao hơn","Đúng giá niêm yết")))</f>
        <v/>
      </c>
      <c r="N853" s="2" t="n"/>
      <c r="O853" s="3" t="n"/>
      <c r="P853" s="3" t="n"/>
    </row>
    <row r="854">
      <c r="A854" s="2" t="n">
        <v>853</v>
      </c>
      <c r="B854" s="2" t="inlineStr">
        <is>
          <t>KH005</t>
        </is>
      </c>
      <c r="C854" s="3" t="inlineStr">
        <is>
          <t>ThinkSafe HCM</t>
        </is>
      </c>
      <c r="D854" s="2" t="inlineStr">
        <is>
          <t>HCM</t>
        </is>
      </c>
      <c r="E854" s="2" t="inlineStr">
        <is>
          <t>XUÂN TRANG</t>
        </is>
      </c>
      <c r="F854" s="2" t="inlineStr">
        <is>
          <t>Shopee</t>
        </is>
      </c>
      <c r="G854" s="2" t="inlineStr">
        <is>
          <t>QC3</t>
        </is>
      </c>
      <c r="H854" s="3" t="inlineStr">
        <is>
          <t>Kéo cắt đa năng QC3</t>
        </is>
      </c>
      <c r="I854" s="4" t="n">
        <v>99000</v>
      </c>
      <c r="J854" s="4" t="n"/>
      <c r="K854" s="4">
        <f>IF(AND(ISNUMBER(J854),ISNUMBER(I854)),J854-I854,"")</f>
        <v/>
      </c>
      <c r="L854" s="5">
        <f>IF(AND(ISNUMBER(J854),ISNUMBER(I854),I854&gt;0),(J854-I854)/I854,"")</f>
        <v/>
      </c>
      <c r="M854" s="2">
        <f>IF(L854="","",IF(L854&lt;-0.05,"Bán phá giá",IF(L854&gt;0.05,"Bán cao hơn","Đúng giá niêm yết")))</f>
        <v/>
      </c>
      <c r="N854" s="2" t="n"/>
      <c r="O854" s="3" t="n"/>
      <c r="P854" s="3" t="n"/>
    </row>
    <row r="855">
      <c r="A855" s="2" t="n">
        <v>854</v>
      </c>
      <c r="B855" s="2" t="inlineStr">
        <is>
          <t>KH005</t>
        </is>
      </c>
      <c r="C855" s="3" t="inlineStr">
        <is>
          <t>ThinkSafe HCM</t>
        </is>
      </c>
      <c r="D855" s="2" t="inlineStr">
        <is>
          <t>HCM</t>
        </is>
      </c>
      <c r="E855" s="2" t="inlineStr">
        <is>
          <t>XUÂN TRANG</t>
        </is>
      </c>
      <c r="F855" s="2" t="inlineStr">
        <is>
          <t>Shopee</t>
        </is>
      </c>
      <c r="G855" s="2" t="inlineStr">
        <is>
          <t>QC4</t>
        </is>
      </c>
      <c r="H855" s="3" t="inlineStr">
        <is>
          <t>Kéo cắt đa năng QC4</t>
        </is>
      </c>
      <c r="I855" s="4" t="n">
        <v>127000</v>
      </c>
      <c r="J855" s="4" t="n"/>
      <c r="K855" s="4">
        <f>IF(AND(ISNUMBER(J855),ISNUMBER(I855)),J855-I855,"")</f>
        <v/>
      </c>
      <c r="L855" s="5">
        <f>IF(AND(ISNUMBER(J855),ISNUMBER(I855),I855&gt;0),(J855-I855)/I855,"")</f>
        <v/>
      </c>
      <c r="M855" s="2">
        <f>IF(L855="","",IF(L855&lt;-0.05,"Bán phá giá",IF(L855&gt;0.05,"Bán cao hơn","Đúng giá niêm yết")))</f>
        <v/>
      </c>
      <c r="N855" s="2" t="n"/>
      <c r="O855" s="3" t="n"/>
      <c r="P855" s="3" t="n"/>
    </row>
    <row r="856">
      <c r="A856" s="2" t="n">
        <v>855</v>
      </c>
      <c r="B856" s="2" t="inlineStr">
        <is>
          <t>KH005</t>
        </is>
      </c>
      <c r="C856" s="3" t="inlineStr">
        <is>
          <t>ThinkSafe HCM</t>
        </is>
      </c>
      <c r="D856" s="2" t="inlineStr">
        <is>
          <t>HCM</t>
        </is>
      </c>
      <c r="E856" s="2" t="inlineStr">
        <is>
          <t>XUÂN TRANG</t>
        </is>
      </c>
      <c r="F856" s="2" t="inlineStr">
        <is>
          <t>Shopee</t>
        </is>
      </c>
      <c r="G856" s="2" t="inlineStr">
        <is>
          <t>KPQ-32</t>
        </is>
      </c>
      <c r="H856" s="3" t="inlineStr">
        <is>
          <t>Kéo cắt góc nẹp điện KPQ-32</t>
        </is>
      </c>
      <c r="I856" s="4" t="n">
        <v>185000</v>
      </c>
      <c r="J856" s="4" t="n"/>
      <c r="K856" s="4">
        <f>IF(AND(ISNUMBER(J856),ISNUMBER(I856)),J856-I856,"")</f>
        <v/>
      </c>
      <c r="L856" s="5">
        <f>IF(AND(ISNUMBER(J856),ISNUMBER(I856),I856&gt;0),(J856-I856)/I856,"")</f>
        <v/>
      </c>
      <c r="M856" s="2">
        <f>IF(L856="","",IF(L856&lt;-0.05,"Bán phá giá",IF(L856&gt;0.05,"Bán cao hơn","Đúng giá niêm yết")))</f>
        <v/>
      </c>
      <c r="N856" s="2" t="n"/>
      <c r="O856" s="3" t="n"/>
      <c r="P856" s="3" t="n"/>
    </row>
    <row r="857">
      <c r="A857" s="2" t="n">
        <v>856</v>
      </c>
      <c r="B857" s="2" t="inlineStr">
        <is>
          <t>KH005</t>
        </is>
      </c>
      <c r="C857" s="3" t="inlineStr">
        <is>
          <t>ThinkSafe HCM</t>
        </is>
      </c>
      <c r="D857" s="2" t="inlineStr">
        <is>
          <t>HCM</t>
        </is>
      </c>
      <c r="E857" s="2" t="inlineStr">
        <is>
          <t>XUÂN TRANG</t>
        </is>
      </c>
      <c r="F857" s="2" t="inlineStr">
        <is>
          <t>Shopee</t>
        </is>
      </c>
      <c r="G857" s="2" t="inlineStr">
        <is>
          <t>KPC-042</t>
        </is>
      </c>
      <c r="H857" s="3" t="inlineStr">
        <is>
          <t>Kéo cắt ống KPC-042 (NEW)</t>
        </is>
      </c>
      <c r="I857" s="4" t="n">
        <v>132000</v>
      </c>
      <c r="J857" s="4" t="n"/>
      <c r="K857" s="4">
        <f>IF(AND(ISNUMBER(J857),ISNUMBER(I857)),J857-I857,"")</f>
        <v/>
      </c>
      <c r="L857" s="5">
        <f>IF(AND(ISNUMBER(J857),ISNUMBER(I857),I857&gt;0),(J857-I857)/I857,"")</f>
        <v/>
      </c>
      <c r="M857" s="2">
        <f>IF(L857="","",IF(L857&lt;-0.05,"Bán phá giá",IF(L857&gt;0.05,"Bán cao hơn","Đúng giá niêm yết")))</f>
        <v/>
      </c>
      <c r="N857" s="2" t="n"/>
      <c r="O857" s="3" t="n"/>
      <c r="P857" s="3" t="n"/>
    </row>
    <row r="858">
      <c r="A858" s="2" t="n">
        <v>857</v>
      </c>
      <c r="B858" s="2" t="inlineStr">
        <is>
          <t>KH005</t>
        </is>
      </c>
      <c r="C858" s="3" t="inlineStr">
        <is>
          <t>ThinkSafe HCM</t>
        </is>
      </c>
      <c r="D858" s="2" t="inlineStr">
        <is>
          <t>HCM</t>
        </is>
      </c>
      <c r="E858" s="2" t="inlineStr">
        <is>
          <t>XUÂN TRANG</t>
        </is>
      </c>
      <c r="F858" s="2" t="inlineStr">
        <is>
          <t>Shopee</t>
        </is>
      </c>
      <c r="G858" s="2" t="inlineStr">
        <is>
          <t>KPC-132</t>
        </is>
      </c>
      <c r="H858" s="3" t="inlineStr">
        <is>
          <t>Kéo cắt ống KPC-132</t>
        </is>
      </c>
      <c r="I858" s="4" t="n">
        <v>132000</v>
      </c>
      <c r="J858" s="4" t="n"/>
      <c r="K858" s="4">
        <f>IF(AND(ISNUMBER(J858),ISNUMBER(I858)),J858-I858,"")</f>
        <v/>
      </c>
      <c r="L858" s="5">
        <f>IF(AND(ISNUMBER(J858),ISNUMBER(I858),I858&gt;0),(J858-I858)/I858,"")</f>
        <v/>
      </c>
      <c r="M858" s="2">
        <f>IF(L858="","",IF(L858&lt;-0.05,"Bán phá giá",IF(L858&gt;0.05,"Bán cao hơn","Đúng giá niêm yết")))</f>
        <v/>
      </c>
      <c r="N858" s="2" t="n"/>
      <c r="O858" s="3" t="n"/>
      <c r="P858" s="3" t="n"/>
    </row>
    <row r="859">
      <c r="A859" s="2" t="n">
        <v>858</v>
      </c>
      <c r="B859" s="2" t="inlineStr">
        <is>
          <t>KH005</t>
        </is>
      </c>
      <c r="C859" s="3" t="inlineStr">
        <is>
          <t>ThinkSafe HCM</t>
        </is>
      </c>
      <c r="D859" s="2" t="inlineStr">
        <is>
          <t>HCM</t>
        </is>
      </c>
      <c r="E859" s="2" t="inlineStr">
        <is>
          <t>XUÂN TRANG</t>
        </is>
      </c>
      <c r="F859" s="2" t="inlineStr">
        <is>
          <t>Shopee</t>
        </is>
      </c>
      <c r="G859" s="2" t="inlineStr">
        <is>
          <t>KPC-242</t>
        </is>
      </c>
      <c r="H859" s="3" t="inlineStr">
        <is>
          <t>Kéo cắt ống KPC-242</t>
        </is>
      </c>
      <c r="I859" s="4" t="n">
        <v>172000</v>
      </c>
      <c r="J859" s="4" t="n"/>
      <c r="K859" s="4">
        <f>IF(AND(ISNUMBER(J859),ISNUMBER(I859)),J859-I859,"")</f>
        <v/>
      </c>
      <c r="L859" s="5">
        <f>IF(AND(ISNUMBER(J859),ISNUMBER(I859),I859&gt;0),(J859-I859)/I859,"")</f>
        <v/>
      </c>
      <c r="M859" s="2">
        <f>IF(L859="","",IF(L859&lt;-0.05,"Bán phá giá",IF(L859&gt;0.05,"Bán cao hơn","Đúng giá niêm yết")))</f>
        <v/>
      </c>
      <c r="N859" s="2" t="n"/>
      <c r="O859" s="3" t="n"/>
      <c r="P859" s="3" t="n"/>
    </row>
    <row r="860">
      <c r="A860" s="2" t="n">
        <v>859</v>
      </c>
      <c r="B860" s="2" t="inlineStr">
        <is>
          <t>KH005</t>
        </is>
      </c>
      <c r="C860" s="3" t="inlineStr">
        <is>
          <t>ThinkSafe HCM</t>
        </is>
      </c>
      <c r="D860" s="2" t="inlineStr">
        <is>
          <t>HCM</t>
        </is>
      </c>
      <c r="E860" s="2" t="inlineStr">
        <is>
          <t>XUÂN TRANG</t>
        </is>
      </c>
      <c r="F860" s="2" t="inlineStr">
        <is>
          <t>Shopee</t>
        </is>
      </c>
      <c r="G860" s="2" t="inlineStr">
        <is>
          <t>KCT-250</t>
        </is>
      </c>
      <c r="H860" s="3" t="inlineStr">
        <is>
          <t>Kéo cắt thạch cao (tole) KCT-250</t>
        </is>
      </c>
      <c r="I860" s="4" t="n">
        <v>131000</v>
      </c>
      <c r="J860" s="4" t="n"/>
      <c r="K860" s="4">
        <f>IF(AND(ISNUMBER(J860),ISNUMBER(I860)),J860-I860,"")</f>
        <v/>
      </c>
      <c r="L860" s="5">
        <f>IF(AND(ISNUMBER(J860),ISNUMBER(I860),I860&gt;0),(J860-I860)/I860,"")</f>
        <v/>
      </c>
      <c r="M860" s="2">
        <f>IF(L860="","",IF(L860&lt;-0.05,"Bán phá giá",IF(L860&gt;0.05,"Bán cao hơn","Đúng giá niêm yết")))</f>
        <v/>
      </c>
      <c r="N860" s="2" t="n"/>
      <c r="O860" s="3" t="n"/>
      <c r="P860" s="3" t="n"/>
    </row>
    <row r="861">
      <c r="A861" s="2" t="n">
        <v>860</v>
      </c>
      <c r="B861" s="2" t="inlineStr">
        <is>
          <t>KH005</t>
        </is>
      </c>
      <c r="C861" s="3" t="inlineStr">
        <is>
          <t>ThinkSafe HCM</t>
        </is>
      </c>
      <c r="D861" s="2" t="inlineStr">
        <is>
          <t>HCM</t>
        </is>
      </c>
      <c r="E861" s="2" t="inlineStr">
        <is>
          <t>XUÂN TRANG</t>
        </is>
      </c>
      <c r="F861" s="2" t="inlineStr">
        <is>
          <t>Shopee</t>
        </is>
      </c>
      <c r="G861" s="2" t="inlineStr">
        <is>
          <t>QC1</t>
        </is>
      </c>
      <c r="H861" s="3" t="inlineStr">
        <is>
          <t>Kéo cắt trái cây QC1</t>
        </is>
      </c>
      <c r="I861" s="4" t="n">
        <v>47000</v>
      </c>
      <c r="J861" s="4" t="n"/>
      <c r="K861" s="4">
        <f>IF(AND(ISNUMBER(J861),ISNUMBER(I861)),J861-I861,"")</f>
        <v/>
      </c>
      <c r="L861" s="5">
        <f>IF(AND(ISNUMBER(J861),ISNUMBER(I861),I861&gt;0),(J861-I861)/I861,"")</f>
        <v/>
      </c>
      <c r="M861" s="2">
        <f>IF(L861="","",IF(L861&lt;-0.05,"Bán phá giá",IF(L861&gt;0.05,"Bán cao hơn","Đúng giá niêm yết")))</f>
        <v/>
      </c>
      <c r="N861" s="2" t="n"/>
      <c r="O861" s="3" t="n"/>
      <c r="P861" s="3" t="n"/>
    </row>
    <row r="862">
      <c r="A862" s="2" t="n">
        <v>861</v>
      </c>
      <c r="B862" s="2" t="inlineStr">
        <is>
          <t>KH005</t>
        </is>
      </c>
      <c r="C862" s="3" t="inlineStr">
        <is>
          <t>ThinkSafe HCM</t>
        </is>
      </c>
      <c r="D862" s="2" t="inlineStr">
        <is>
          <t>HCM</t>
        </is>
      </c>
      <c r="E862" s="2" t="inlineStr">
        <is>
          <t>XUÂN TRANG</t>
        </is>
      </c>
      <c r="F862" s="2" t="inlineStr">
        <is>
          <t>Shopee</t>
        </is>
      </c>
      <c r="G862" s="2" t="inlineStr">
        <is>
          <t>QC2</t>
        </is>
      </c>
      <c r="H862" s="3" t="inlineStr">
        <is>
          <t>Kéo cắt trái cây QC2</t>
        </is>
      </c>
      <c r="I862" s="4" t="n">
        <v>81000</v>
      </c>
      <c r="J862" s="4" t="n"/>
      <c r="K862" s="4">
        <f>IF(AND(ISNUMBER(J862),ISNUMBER(I862)),J862-I862,"")</f>
        <v/>
      </c>
      <c r="L862" s="5">
        <f>IF(AND(ISNUMBER(J862),ISNUMBER(I862),I862&gt;0),(J862-I862)/I862,"")</f>
        <v/>
      </c>
      <c r="M862" s="2">
        <f>IF(L862="","",IF(L862&lt;-0.05,"Bán phá giá",IF(L862&gt;0.05,"Bán cao hơn","Đúng giá niêm yết")))</f>
        <v/>
      </c>
      <c r="N862" s="2" t="n"/>
      <c r="O862" s="3" t="n"/>
      <c r="P862" s="3" t="n"/>
    </row>
    <row r="863">
      <c r="A863" s="2" t="n">
        <v>862</v>
      </c>
      <c r="B863" s="2" t="inlineStr">
        <is>
          <t>KH005</t>
        </is>
      </c>
      <c r="C863" s="3" t="inlineStr">
        <is>
          <t>ThinkSafe HCM</t>
        </is>
      </c>
      <c r="D863" s="2" t="inlineStr">
        <is>
          <t>HCM</t>
        </is>
      </c>
      <c r="E863" s="2" t="inlineStr">
        <is>
          <t>XUÂN TRANG</t>
        </is>
      </c>
      <c r="F863" s="2" t="inlineStr">
        <is>
          <t>Shopee</t>
        </is>
      </c>
      <c r="G863" s="2" t="inlineStr">
        <is>
          <t>KB001-Q1</t>
        </is>
      </c>
      <c r="H863" s="3" t="inlineStr">
        <is>
          <t>Kéo KB001-Q1</t>
        </is>
      </c>
      <c r="I863" s="4" t="n">
        <v>97000</v>
      </c>
      <c r="J863" s="4" t="n"/>
      <c r="K863" s="4">
        <f>IF(AND(ISNUMBER(J863),ISNUMBER(I863)),J863-I863,"")</f>
        <v/>
      </c>
      <c r="L863" s="5">
        <f>IF(AND(ISNUMBER(J863),ISNUMBER(I863),I863&gt;0),(J863-I863)/I863,"")</f>
        <v/>
      </c>
      <c r="M863" s="2">
        <f>IF(L863="","",IF(L863&lt;-0.05,"Bán phá giá",IF(L863&gt;0.05,"Bán cao hơn","Đúng giá niêm yết")))</f>
        <v/>
      </c>
      <c r="N863" s="2" t="n"/>
      <c r="O863" s="3" t="n"/>
      <c r="P863" s="3" t="n"/>
    </row>
    <row r="864">
      <c r="A864" s="2" t="n">
        <v>863</v>
      </c>
      <c r="B864" s="2" t="inlineStr">
        <is>
          <t>KH005</t>
        </is>
      </c>
      <c r="C864" s="3" t="inlineStr">
        <is>
          <t>ThinkSafe HCM</t>
        </is>
      </c>
      <c r="D864" s="2" t="inlineStr">
        <is>
          <t>HCM</t>
        </is>
      </c>
      <c r="E864" s="2" t="inlineStr">
        <is>
          <t>XUÂN TRANG</t>
        </is>
      </c>
      <c r="F864" s="2" t="inlineStr">
        <is>
          <t>Shopee</t>
        </is>
      </c>
      <c r="G864" s="2" t="inlineStr">
        <is>
          <t>KB003-Q2</t>
        </is>
      </c>
      <c r="H864" s="3" t="inlineStr">
        <is>
          <t>Kéo KB003-Q2</t>
        </is>
      </c>
      <c r="I864" s="4" t="n">
        <v>122000</v>
      </c>
      <c r="J864" s="4" t="n"/>
      <c r="K864" s="4">
        <f>IF(AND(ISNUMBER(J864),ISNUMBER(I864)),J864-I864,"")</f>
        <v/>
      </c>
      <c r="L864" s="5">
        <f>IF(AND(ISNUMBER(J864),ISNUMBER(I864),I864&gt;0),(J864-I864)/I864,"")</f>
        <v/>
      </c>
      <c r="M864" s="2">
        <f>IF(L864="","",IF(L864&lt;-0.05,"Bán phá giá",IF(L864&gt;0.05,"Bán cao hơn","Đúng giá niêm yết")))</f>
        <v/>
      </c>
      <c r="N864" s="2" t="n"/>
      <c r="O864" s="3" t="n"/>
      <c r="P864" s="3" t="n"/>
    </row>
    <row r="865">
      <c r="A865" s="2" t="n">
        <v>864</v>
      </c>
      <c r="B865" s="2" t="inlineStr">
        <is>
          <t>KH005</t>
        </is>
      </c>
      <c r="C865" s="3" t="inlineStr">
        <is>
          <t>ThinkSafe HCM</t>
        </is>
      </c>
      <c r="D865" s="2" t="inlineStr">
        <is>
          <t>HCM</t>
        </is>
      </c>
      <c r="E865" s="2" t="inlineStr">
        <is>
          <t>XUÂN TRANG</t>
        </is>
      </c>
      <c r="F865" s="2" t="inlineStr">
        <is>
          <t>Shopee</t>
        </is>
      </c>
      <c r="G865" s="2" t="inlineStr">
        <is>
          <t>KB004-Q3</t>
        </is>
      </c>
      <c r="H865" s="3" t="inlineStr">
        <is>
          <t>Kéo KB004-Q3</t>
        </is>
      </c>
      <c r="I865" s="4" t="n">
        <v>121000</v>
      </c>
      <c r="J865" s="4" t="n"/>
      <c r="K865" s="4">
        <f>IF(AND(ISNUMBER(J865),ISNUMBER(I865)),J865-I865,"")</f>
        <v/>
      </c>
      <c r="L865" s="5">
        <f>IF(AND(ISNUMBER(J865),ISNUMBER(I865),I865&gt;0),(J865-I865)/I865,"")</f>
        <v/>
      </c>
      <c r="M865" s="2">
        <f>IF(L865="","",IF(L865&lt;-0.05,"Bán phá giá",IF(L865&gt;0.05,"Bán cao hơn","Đúng giá niêm yết")))</f>
        <v/>
      </c>
      <c r="N865" s="2" t="n"/>
      <c r="O865" s="3" t="n"/>
      <c r="P865" s="3" t="n"/>
    </row>
    <row r="866">
      <c r="A866" s="2" t="n">
        <v>865</v>
      </c>
      <c r="B866" s="2" t="inlineStr">
        <is>
          <t>KH005</t>
        </is>
      </c>
      <c r="C866" s="3" t="inlineStr">
        <is>
          <t>ThinkSafe HCM</t>
        </is>
      </c>
      <c r="D866" s="2" t="inlineStr">
        <is>
          <t>HCM</t>
        </is>
      </c>
      <c r="E866" s="2" t="inlineStr">
        <is>
          <t>XUÂN TRANG</t>
        </is>
      </c>
      <c r="F866" s="2" t="inlineStr">
        <is>
          <t>Shopee</t>
        </is>
      </c>
      <c r="G866" s="2" t="inlineStr">
        <is>
          <t>KB006-Q5</t>
        </is>
      </c>
      <c r="H866" s="3" t="inlineStr">
        <is>
          <t>Kéo KB006-Q5</t>
        </is>
      </c>
      <c r="I866" s="4" t="n">
        <v>122000</v>
      </c>
      <c r="J866" s="4" t="n"/>
      <c r="K866" s="4">
        <f>IF(AND(ISNUMBER(J866),ISNUMBER(I866)),J866-I866,"")</f>
        <v/>
      </c>
      <c r="L866" s="5">
        <f>IF(AND(ISNUMBER(J866),ISNUMBER(I866),I866&gt;0),(J866-I866)/I866,"")</f>
        <v/>
      </c>
      <c r="M866" s="2">
        <f>IF(L866="","",IF(L866&lt;-0.05,"Bán phá giá",IF(L866&gt;0.05,"Bán cao hơn","Đúng giá niêm yết")))</f>
        <v/>
      </c>
      <c r="N866" s="2" t="n"/>
      <c r="O866" s="3" t="n"/>
      <c r="P866" s="3" t="n"/>
    </row>
    <row r="867">
      <c r="A867" s="2" t="n">
        <v>866</v>
      </c>
      <c r="B867" s="2" t="inlineStr">
        <is>
          <t>KH005</t>
        </is>
      </c>
      <c r="C867" s="3" t="inlineStr">
        <is>
          <t>ThinkSafe HCM</t>
        </is>
      </c>
      <c r="D867" s="2" t="inlineStr">
        <is>
          <t>HCM</t>
        </is>
      </c>
      <c r="E867" s="2" t="inlineStr">
        <is>
          <t>XUÂN TRANG</t>
        </is>
      </c>
      <c r="F867" s="2" t="inlineStr">
        <is>
          <t>Shopee</t>
        </is>
      </c>
      <c r="G867" s="2" t="inlineStr">
        <is>
          <t>KB006-Q6</t>
        </is>
      </c>
      <c r="H867" s="3" t="inlineStr">
        <is>
          <t>Kéo KB006-Q6</t>
        </is>
      </c>
      <c r="I867" s="4" t="n">
        <v>134000</v>
      </c>
      <c r="J867" s="4" t="n"/>
      <c r="K867" s="4">
        <f>IF(AND(ISNUMBER(J867),ISNUMBER(I867)),J867-I867,"")</f>
        <v/>
      </c>
      <c r="L867" s="5">
        <f>IF(AND(ISNUMBER(J867),ISNUMBER(I867),I867&gt;0),(J867-I867)/I867,"")</f>
        <v/>
      </c>
      <c r="M867" s="2">
        <f>IF(L867="","",IF(L867&lt;-0.05,"Bán phá giá",IF(L867&gt;0.05,"Bán cao hơn","Đúng giá niêm yết")))</f>
        <v/>
      </c>
      <c r="N867" s="2" t="n"/>
      <c r="O867" s="3" t="n"/>
      <c r="P867" s="3" t="n"/>
    </row>
    <row r="868">
      <c r="A868" s="2" t="n">
        <v>867</v>
      </c>
      <c r="B868" s="2" t="inlineStr">
        <is>
          <t>KH005</t>
        </is>
      </c>
      <c r="C868" s="3" t="inlineStr">
        <is>
          <t>ThinkSafe HCM</t>
        </is>
      </c>
      <c r="D868" s="2" t="inlineStr">
        <is>
          <t>HCM</t>
        </is>
      </c>
      <c r="E868" s="2" t="inlineStr">
        <is>
          <t>XUÂN TRANG</t>
        </is>
      </c>
      <c r="F868" s="2" t="inlineStr">
        <is>
          <t>Shopee</t>
        </is>
      </c>
      <c r="G868" s="2" t="inlineStr">
        <is>
          <t>NG107</t>
        </is>
      </c>
      <c r="H868" s="3" t="inlineStr">
        <is>
          <t>Kích nâng gạch NG107</t>
        </is>
      </c>
      <c r="I868" s="4" t="n">
        <v>105000</v>
      </c>
      <c r="J868" s="4" t="n"/>
      <c r="K868" s="4">
        <f>IF(AND(ISNUMBER(J868),ISNUMBER(I868)),J868-I868,"")</f>
        <v/>
      </c>
      <c r="L868" s="5">
        <f>IF(AND(ISNUMBER(J868),ISNUMBER(I868),I868&gt;0),(J868-I868)/I868,"")</f>
        <v/>
      </c>
      <c r="M868" s="2">
        <f>IF(L868="","",IF(L868&lt;-0.05,"Bán phá giá",IF(L868&gt;0.05,"Bán cao hơn","Đúng giá niêm yết")))</f>
        <v/>
      </c>
      <c r="N868" s="2" t="n"/>
      <c r="O868" s="3" t="n"/>
      <c r="P868" s="3" t="n"/>
    </row>
    <row r="869">
      <c r="A869" s="2" t="n">
        <v>868</v>
      </c>
      <c r="B869" s="2" t="inlineStr">
        <is>
          <t>KH005</t>
        </is>
      </c>
      <c r="C869" s="3" t="inlineStr">
        <is>
          <t>ThinkSafe HCM</t>
        </is>
      </c>
      <c r="D869" s="2" t="inlineStr">
        <is>
          <t>HCM</t>
        </is>
      </c>
      <c r="E869" s="2" t="inlineStr">
        <is>
          <t>XUÂN TRANG</t>
        </is>
      </c>
      <c r="F869" s="2" t="inlineStr">
        <is>
          <t>Shopee</t>
        </is>
      </c>
      <c r="G869" s="2" t="inlineStr">
        <is>
          <t>KND185</t>
        </is>
      </c>
      <c r="H869" s="3" t="inlineStr">
        <is>
          <t>Kìm bấm Cos vuông KND185</t>
        </is>
      </c>
      <c r="I869" s="4" t="n">
        <v>227000</v>
      </c>
      <c r="J869" s="4" t="n"/>
      <c r="K869" s="4">
        <f>IF(AND(ISNUMBER(J869),ISNUMBER(I869)),J869-I869,"")</f>
        <v/>
      </c>
      <c r="L869" s="5">
        <f>IF(AND(ISNUMBER(J869),ISNUMBER(I869),I869&gt;0),(J869-I869)/I869,"")</f>
        <v/>
      </c>
      <c r="M869" s="2">
        <f>IF(L869="","",IF(L869&lt;-0.05,"Bán phá giá",IF(L869&gt;0.05,"Bán cao hơn","Đúng giá niêm yết")))</f>
        <v/>
      </c>
      <c r="N869" s="2" t="n"/>
      <c r="O869" s="3" t="n"/>
      <c r="P869" s="3" t="n"/>
    </row>
    <row r="870">
      <c r="A870" s="2" t="n">
        <v>869</v>
      </c>
      <c r="B870" s="2" t="inlineStr">
        <is>
          <t>KH005</t>
        </is>
      </c>
      <c r="C870" s="3" t="inlineStr">
        <is>
          <t>ThinkSafe HCM</t>
        </is>
      </c>
      <c r="D870" s="2" t="inlineStr">
        <is>
          <t>HCM</t>
        </is>
      </c>
      <c r="E870" s="2" t="inlineStr">
        <is>
          <t>XUÂN TRANG</t>
        </is>
      </c>
      <c r="F870" s="2" t="inlineStr">
        <is>
          <t>Shopee</t>
        </is>
      </c>
      <c r="G870" s="2" t="inlineStr">
        <is>
          <t>KND150</t>
        </is>
      </c>
      <c r="H870" s="3" t="inlineStr">
        <is>
          <t>Kìm cắt chân mạch đa năng KND150</t>
        </is>
      </c>
      <c r="I870" s="4" t="n">
        <v>80000</v>
      </c>
      <c r="J870" s="4" t="n"/>
      <c r="K870" s="4">
        <f>IF(AND(ISNUMBER(J870),ISNUMBER(I870)),J870-I870,"")</f>
        <v/>
      </c>
      <c r="L870" s="5">
        <f>IF(AND(ISNUMBER(J870),ISNUMBER(I870),I870&gt;0),(J870-I870)/I870,"")</f>
        <v/>
      </c>
      <c r="M870" s="2">
        <f>IF(L870="","",IF(L870&lt;-0.05,"Bán phá giá",IF(L870&gt;0.05,"Bán cao hơn","Đúng giá niêm yết")))</f>
        <v/>
      </c>
      <c r="N870" s="2" t="n"/>
      <c r="O870" s="3" t="n"/>
      <c r="P870" s="3" t="n"/>
    </row>
    <row r="871">
      <c r="A871" s="2" t="n">
        <v>870</v>
      </c>
      <c r="B871" s="2" t="inlineStr">
        <is>
          <t>KH005</t>
        </is>
      </c>
      <c r="C871" s="3" t="inlineStr">
        <is>
          <t>ThinkSafe HCM</t>
        </is>
      </c>
      <c r="D871" s="2" t="inlineStr">
        <is>
          <t>HCM</t>
        </is>
      </c>
      <c r="E871" s="2" t="inlineStr">
        <is>
          <t>XUÂN TRANG</t>
        </is>
      </c>
      <c r="F871" s="2" t="inlineStr">
        <is>
          <t>Shopee</t>
        </is>
      </c>
      <c r="G871" s="2" t="inlineStr">
        <is>
          <t>KC3-09</t>
        </is>
      </c>
      <c r="H871" s="3" t="inlineStr">
        <is>
          <t>Kìm cắt đa năng KC3-09</t>
        </is>
      </c>
      <c r="I871" s="4" t="n">
        <v>167000</v>
      </c>
      <c r="J871" s="4" t="n"/>
      <c r="K871" s="4">
        <f>IF(AND(ISNUMBER(J871),ISNUMBER(I871)),J871-I871,"")</f>
        <v/>
      </c>
      <c r="L871" s="5">
        <f>IF(AND(ISNUMBER(J871),ISNUMBER(I871),I871&gt;0),(J871-I871)/I871,"")</f>
        <v/>
      </c>
      <c r="M871" s="2">
        <f>IF(L871="","",IF(L871&lt;-0.05,"Bán phá giá",IF(L871&gt;0.05,"Bán cao hơn","Đúng giá niêm yết")))</f>
        <v/>
      </c>
      <c r="N871" s="2" t="n"/>
      <c r="O871" s="3" t="n"/>
      <c r="P871" s="3" t="n"/>
    </row>
    <row r="872">
      <c r="A872" s="2" t="n">
        <v>871</v>
      </c>
      <c r="B872" s="2" t="inlineStr">
        <is>
          <t>KH005</t>
        </is>
      </c>
      <c r="C872" s="3" t="inlineStr">
        <is>
          <t>ThinkSafe HCM</t>
        </is>
      </c>
      <c r="D872" s="2" t="inlineStr">
        <is>
          <t>HCM</t>
        </is>
      </c>
      <c r="E872" s="2" t="inlineStr">
        <is>
          <t>XUÂN TRANG</t>
        </is>
      </c>
      <c r="F872" s="2" t="inlineStr">
        <is>
          <t>Shopee</t>
        </is>
      </c>
      <c r="G872" s="2" t="inlineStr">
        <is>
          <t>KND200</t>
        </is>
      </c>
      <c r="H872" s="3" t="inlineStr">
        <is>
          <t>Kìm cắt tuốt đa năng 5 in1 KND200</t>
        </is>
      </c>
      <c r="I872" s="4" t="n">
        <v>72000</v>
      </c>
      <c r="J872" s="4" t="n"/>
      <c r="K872" s="4">
        <f>IF(AND(ISNUMBER(J872),ISNUMBER(I872)),J872-I872,"")</f>
        <v/>
      </c>
      <c r="L872" s="5">
        <f>IF(AND(ISNUMBER(J872),ISNUMBER(I872),I872&gt;0),(J872-I872)/I872,"")</f>
        <v/>
      </c>
      <c r="M872" s="2">
        <f>IF(L872="","",IF(L872&lt;-0.05,"Bán phá giá",IF(L872&gt;0.05,"Bán cao hơn","Đúng giá niêm yết")))</f>
        <v/>
      </c>
      <c r="N872" s="2" t="n"/>
      <c r="O872" s="3" t="n"/>
      <c r="P872" s="3" t="n"/>
    </row>
    <row r="873">
      <c r="A873" s="2" t="n">
        <v>872</v>
      </c>
      <c r="B873" s="2" t="inlineStr">
        <is>
          <t>KH005</t>
        </is>
      </c>
      <c r="C873" s="3" t="inlineStr">
        <is>
          <t>ThinkSafe HCM</t>
        </is>
      </c>
      <c r="D873" s="2" t="inlineStr">
        <is>
          <t>HCM</t>
        </is>
      </c>
      <c r="E873" s="2" t="inlineStr">
        <is>
          <t>XUÂN TRANG</t>
        </is>
      </c>
      <c r="F873" s="2" t="inlineStr">
        <is>
          <t>Shopee</t>
        </is>
      </c>
      <c r="G873" s="2" t="inlineStr">
        <is>
          <t>KCL-200</t>
        </is>
      </c>
      <c r="H873" s="3" t="inlineStr">
        <is>
          <t>Kìm cộng lực mini KCL-200</t>
        </is>
      </c>
      <c r="I873" s="4" t="n">
        <v>144000</v>
      </c>
      <c r="J873" s="4" t="n"/>
      <c r="K873" s="4">
        <f>IF(AND(ISNUMBER(J873),ISNUMBER(I873)),J873-I873,"")</f>
        <v/>
      </c>
      <c r="L873" s="5">
        <f>IF(AND(ISNUMBER(J873),ISNUMBER(I873),I873&gt;0),(J873-I873)/I873,"")</f>
        <v/>
      </c>
      <c r="M873" s="2">
        <f>IF(L873="","",IF(L873&lt;-0.05,"Bán phá giá",IF(L873&gt;0.05,"Bán cao hơn","Đúng giá niêm yết")))</f>
        <v/>
      </c>
      <c r="N873" s="2" t="n"/>
      <c r="O873" s="3" t="n"/>
      <c r="P873" s="3" t="n"/>
    </row>
    <row r="874">
      <c r="A874" s="2" t="n">
        <v>873</v>
      </c>
      <c r="B874" s="2" t="inlineStr">
        <is>
          <t>KH005</t>
        </is>
      </c>
      <c r="C874" s="3" t="inlineStr">
        <is>
          <t>ThinkSafe HCM</t>
        </is>
      </c>
      <c r="D874" s="2" t="inlineStr">
        <is>
          <t>HCM</t>
        </is>
      </c>
      <c r="E874" s="2" t="inlineStr">
        <is>
          <t>XUÂN TRANG</t>
        </is>
      </c>
      <c r="F874" s="2" t="inlineStr">
        <is>
          <t>Shopee</t>
        </is>
      </c>
      <c r="G874" s="2" t="inlineStr">
        <is>
          <t>KCL-200</t>
        </is>
      </c>
      <c r="H874" s="3" t="inlineStr">
        <is>
          <t>Kìm cộng lực mini KCL-200 pro</t>
        </is>
      </c>
      <c r="I874" s="4" t="n">
        <v>209000</v>
      </c>
      <c r="J874" s="4" t="n"/>
      <c r="K874" s="4">
        <f>IF(AND(ISNUMBER(J874),ISNUMBER(I874)),J874-I874,"")</f>
        <v/>
      </c>
      <c r="L874" s="5">
        <f>IF(AND(ISNUMBER(J874),ISNUMBER(I874),I874&gt;0),(J874-I874)/I874,"")</f>
        <v/>
      </c>
      <c r="M874" s="2">
        <f>IF(L874="","",IF(L874&lt;-0.05,"Bán phá giá",IF(L874&gt;0.05,"Bán cao hơn","Đúng giá niêm yết")))</f>
        <v/>
      </c>
      <c r="N874" s="2" t="n"/>
      <c r="O874" s="3" t="n"/>
      <c r="P874" s="3" t="n"/>
    </row>
    <row r="875">
      <c r="A875" s="2" t="n">
        <v>874</v>
      </c>
      <c r="B875" s="2" t="inlineStr">
        <is>
          <t>KH005</t>
        </is>
      </c>
      <c r="C875" s="3" t="inlineStr">
        <is>
          <t>ThinkSafe HCM</t>
        </is>
      </c>
      <c r="D875" s="2" t="inlineStr">
        <is>
          <t>HCM</t>
        </is>
      </c>
      <c r="E875" s="2" t="inlineStr">
        <is>
          <t>XUÂN TRANG</t>
        </is>
      </c>
      <c r="F875" s="2" t="inlineStr">
        <is>
          <t>Shopee</t>
        </is>
      </c>
      <c r="G875" s="2" t="inlineStr">
        <is>
          <t>KS1-250</t>
        </is>
      </c>
      <c r="H875" s="3" t="inlineStr">
        <is>
          <t>Kìm chết KS1-250</t>
        </is>
      </c>
      <c r="I875" s="4" t="n">
        <v>165000</v>
      </c>
      <c r="J875" s="4" t="n"/>
      <c r="K875" s="4">
        <f>IF(AND(ISNUMBER(J875),ISNUMBER(I875)),J875-I875,"")</f>
        <v/>
      </c>
      <c r="L875" s="5">
        <f>IF(AND(ISNUMBER(J875),ISNUMBER(I875),I875&gt;0),(J875-I875)/I875,"")</f>
        <v/>
      </c>
      <c r="M875" s="2">
        <f>IF(L875="","",IF(L875&lt;-0.05,"Bán phá giá",IF(L875&gt;0.05,"Bán cao hơn","Đúng giá niêm yết")))</f>
        <v/>
      </c>
      <c r="N875" s="2" t="n"/>
      <c r="O875" s="3" t="n"/>
      <c r="P875" s="3" t="n"/>
    </row>
    <row r="876">
      <c r="A876" s="2" t="n">
        <v>875</v>
      </c>
      <c r="B876" s="2" t="inlineStr">
        <is>
          <t>KH005</t>
        </is>
      </c>
      <c r="C876" s="3" t="inlineStr">
        <is>
          <t>ThinkSafe HCM</t>
        </is>
      </c>
      <c r="D876" s="2" t="inlineStr">
        <is>
          <t>HCM</t>
        </is>
      </c>
      <c r="E876" s="2" t="inlineStr">
        <is>
          <t>XUÂN TRANG</t>
        </is>
      </c>
      <c r="F876" s="2" t="inlineStr">
        <is>
          <t>Shopee</t>
        </is>
      </c>
      <c r="G876" s="2" t="inlineStr">
        <is>
          <t>KS2-250</t>
        </is>
      </c>
      <c r="H876" s="3" t="inlineStr">
        <is>
          <t>Kìm chết KS2-250</t>
        </is>
      </c>
      <c r="I876" s="4" t="n">
        <v>186000</v>
      </c>
      <c r="J876" s="4" t="n"/>
      <c r="K876" s="4">
        <f>IF(AND(ISNUMBER(J876),ISNUMBER(I876)),J876-I876,"")</f>
        <v/>
      </c>
      <c r="L876" s="5">
        <f>IF(AND(ISNUMBER(J876),ISNUMBER(I876),I876&gt;0),(J876-I876)/I876,"")</f>
        <v/>
      </c>
      <c r="M876" s="2">
        <f>IF(L876="","",IF(L876&lt;-0.05,"Bán phá giá",IF(L876&gt;0.05,"Bán cao hơn","Đúng giá niêm yết")))</f>
        <v/>
      </c>
      <c r="N876" s="2" t="n"/>
      <c r="O876" s="3" t="n"/>
      <c r="P876" s="3" t="n"/>
    </row>
    <row r="877">
      <c r="A877" s="2" t="n">
        <v>876</v>
      </c>
      <c r="B877" s="2" t="inlineStr">
        <is>
          <t>KH005</t>
        </is>
      </c>
      <c r="C877" s="3" t="inlineStr">
        <is>
          <t>ThinkSafe HCM</t>
        </is>
      </c>
      <c r="D877" s="2" t="inlineStr">
        <is>
          <t>HCM</t>
        </is>
      </c>
      <c r="E877" s="2" t="inlineStr">
        <is>
          <t>XUÂN TRANG</t>
        </is>
      </c>
      <c r="F877" s="2" t="inlineStr">
        <is>
          <t>Shopee</t>
        </is>
      </c>
      <c r="G877" s="2" t="inlineStr">
        <is>
          <t>KS4-260</t>
        </is>
      </c>
      <c r="H877" s="3" t="inlineStr">
        <is>
          <t>Kìm chết ngàm rộng 4 chế độ KS4-260</t>
        </is>
      </c>
      <c r="I877" s="4" t="n">
        <v>306000</v>
      </c>
      <c r="J877" s="4" t="n"/>
      <c r="K877" s="4">
        <f>IF(AND(ISNUMBER(J877),ISNUMBER(I877)),J877-I877,"")</f>
        <v/>
      </c>
      <c r="L877" s="5">
        <f>IF(AND(ISNUMBER(J877),ISNUMBER(I877),I877&gt;0),(J877-I877)/I877,"")</f>
        <v/>
      </c>
      <c r="M877" s="2">
        <f>IF(L877="","",IF(L877&lt;-0.05,"Bán phá giá",IF(L877&gt;0.05,"Bán cao hơn","Đúng giá niêm yết")))</f>
        <v/>
      </c>
      <c r="N877" s="2" t="n"/>
      <c r="O877" s="3" t="n"/>
      <c r="P877" s="3" t="n"/>
    </row>
    <row r="878">
      <c r="A878" s="2" t="n">
        <v>877</v>
      </c>
      <c r="B878" s="2" t="inlineStr">
        <is>
          <t>KH005</t>
        </is>
      </c>
      <c r="C878" s="3" t="inlineStr">
        <is>
          <t>ThinkSafe HCM</t>
        </is>
      </c>
      <c r="D878" s="2" t="inlineStr">
        <is>
          <t>HCM</t>
        </is>
      </c>
      <c r="E878" s="2" t="inlineStr">
        <is>
          <t>XUÂN TRANG</t>
        </is>
      </c>
      <c r="F878" s="2" t="inlineStr">
        <is>
          <t>Shopee</t>
        </is>
      </c>
      <c r="G878" s="2" t="inlineStr">
        <is>
          <t>KC1-09</t>
        </is>
      </c>
      <c r="H878" s="3" t="inlineStr">
        <is>
          <t>Kìm điện đa năng KC1-09</t>
        </is>
      </c>
      <c r="I878" s="4" t="n">
        <v>167000</v>
      </c>
      <c r="J878" s="4" t="n"/>
      <c r="K878" s="4">
        <f>IF(AND(ISNUMBER(J878),ISNUMBER(I878)),J878-I878,"")</f>
        <v/>
      </c>
      <c r="L878" s="5">
        <f>IF(AND(ISNUMBER(J878),ISNUMBER(I878),I878&gt;0),(J878-I878)/I878,"")</f>
        <v/>
      </c>
      <c r="M878" s="2">
        <f>IF(L878="","",IF(L878&lt;-0.05,"Bán phá giá",IF(L878&gt;0.05,"Bán cao hơn","Đúng giá niêm yết")))</f>
        <v/>
      </c>
      <c r="N878" s="2" t="n"/>
      <c r="O878" s="3" t="n"/>
      <c r="P878" s="3" t="n"/>
    </row>
    <row r="879">
      <c r="A879" s="2" t="n">
        <v>878</v>
      </c>
      <c r="B879" s="2" t="inlineStr">
        <is>
          <t>KH005</t>
        </is>
      </c>
      <c r="C879" s="3" t="inlineStr">
        <is>
          <t>ThinkSafe HCM</t>
        </is>
      </c>
      <c r="D879" s="2" t="inlineStr">
        <is>
          <t>HCM</t>
        </is>
      </c>
      <c r="E879" s="2" t="inlineStr">
        <is>
          <t>XUÂN TRANG</t>
        </is>
      </c>
      <c r="F879" s="2" t="inlineStr">
        <is>
          <t>Shopee</t>
        </is>
      </c>
      <c r="G879" s="2" t="inlineStr">
        <is>
          <t>KC1-06</t>
        </is>
      </c>
      <c r="H879" s="3" t="inlineStr">
        <is>
          <t>Kìm điện KC1-06</t>
        </is>
      </c>
      <c r="I879" s="4" t="n">
        <v>97000</v>
      </c>
      <c r="J879" s="4" t="n"/>
      <c r="K879" s="4">
        <f>IF(AND(ISNUMBER(J879),ISNUMBER(I879)),J879-I879,"")</f>
        <v/>
      </c>
      <c r="L879" s="5">
        <f>IF(AND(ISNUMBER(J879),ISNUMBER(I879),I879&gt;0),(J879-I879)/I879,"")</f>
        <v/>
      </c>
      <c r="M879" s="2">
        <f>IF(L879="","",IF(L879&lt;-0.05,"Bán phá giá",IF(L879&gt;0.05,"Bán cao hơn","Đúng giá niêm yết")))</f>
        <v/>
      </c>
      <c r="N879" s="2" t="n"/>
      <c r="O879" s="3" t="n"/>
      <c r="P879" s="3" t="n"/>
    </row>
    <row r="880">
      <c r="A880" s="2" t="n">
        <v>879</v>
      </c>
      <c r="B880" s="2" t="inlineStr">
        <is>
          <t>KH005</t>
        </is>
      </c>
      <c r="C880" s="3" t="inlineStr">
        <is>
          <t>ThinkSafe HCM</t>
        </is>
      </c>
      <c r="D880" s="2" t="inlineStr">
        <is>
          <t>HCM</t>
        </is>
      </c>
      <c r="E880" s="2" t="inlineStr">
        <is>
          <t>XUÂN TRANG</t>
        </is>
      </c>
      <c r="F880" s="2" t="inlineStr">
        <is>
          <t>Shopee</t>
        </is>
      </c>
      <c r="G880" s="2" t="inlineStr">
        <is>
          <t>800-1000A</t>
        </is>
      </c>
      <c r="H880" s="3" t="inlineStr">
        <is>
          <t>Kìm hàn  KCH-800  (800-1000A)</t>
        </is>
      </c>
      <c r="I880" s="4" t="n">
        <v>127000</v>
      </c>
      <c r="J880" s="4" t="n"/>
      <c r="K880" s="4">
        <f>IF(AND(ISNUMBER(J880),ISNUMBER(I880)),J880-I880,"")</f>
        <v/>
      </c>
      <c r="L880" s="5">
        <f>IF(AND(ISNUMBER(J880),ISNUMBER(I880),I880&gt;0),(J880-I880)/I880,"")</f>
        <v/>
      </c>
      <c r="M880" s="2">
        <f>IF(L880="","",IF(L880&lt;-0.05,"Bán phá giá",IF(L880&gt;0.05,"Bán cao hơn","Đúng giá niêm yết")))</f>
        <v/>
      </c>
      <c r="N880" s="2" t="n"/>
      <c r="O880" s="3" t="n"/>
      <c r="P880" s="3" t="n"/>
    </row>
    <row r="881">
      <c r="A881" s="2" t="n">
        <v>880</v>
      </c>
      <c r="B881" s="2" t="inlineStr">
        <is>
          <t>KH005</t>
        </is>
      </c>
      <c r="C881" s="3" t="inlineStr">
        <is>
          <t>ThinkSafe HCM</t>
        </is>
      </c>
      <c r="D881" s="2" t="inlineStr">
        <is>
          <t>HCM</t>
        </is>
      </c>
      <c r="E881" s="2" t="inlineStr">
        <is>
          <t>XUÂN TRANG</t>
        </is>
      </c>
      <c r="F881" s="2" t="inlineStr">
        <is>
          <t>Shopee</t>
        </is>
      </c>
      <c r="G881" s="2" t="inlineStr">
        <is>
          <t>KC2-09</t>
        </is>
      </c>
      <c r="H881" s="3" t="inlineStr">
        <is>
          <t>Kìm mỏ nhọn đa năng KC2-09</t>
        </is>
      </c>
      <c r="I881" s="4" t="n">
        <v>167000</v>
      </c>
      <c r="J881" s="4" t="n"/>
      <c r="K881" s="4">
        <f>IF(AND(ISNUMBER(J881),ISNUMBER(I881)),J881-I881,"")</f>
        <v/>
      </c>
      <c r="L881" s="5">
        <f>IF(AND(ISNUMBER(J881),ISNUMBER(I881),I881&gt;0),(J881-I881)/I881,"")</f>
        <v/>
      </c>
      <c r="M881" s="2">
        <f>IF(L881="","",IF(L881&lt;-0.05,"Bán phá giá",IF(L881&gt;0.05,"Bán cao hơn","Đúng giá niêm yết")))</f>
        <v/>
      </c>
      <c r="N881" s="2" t="n"/>
      <c r="O881" s="3" t="n"/>
      <c r="P881" s="3" t="n"/>
    </row>
    <row r="882">
      <c r="A882" s="2" t="n">
        <v>881</v>
      </c>
      <c r="B882" s="2" t="inlineStr">
        <is>
          <t>KH005</t>
        </is>
      </c>
      <c r="C882" s="3" t="inlineStr">
        <is>
          <t>ThinkSafe HCM</t>
        </is>
      </c>
      <c r="D882" s="2" t="inlineStr">
        <is>
          <t>HCM</t>
        </is>
      </c>
      <c r="E882" s="2" t="inlineStr">
        <is>
          <t>XUÂN TRANG</t>
        </is>
      </c>
      <c r="F882" s="2" t="inlineStr">
        <is>
          <t>Shopee</t>
        </is>
      </c>
      <c r="G882" s="2" t="inlineStr">
        <is>
          <t>KC4-250</t>
        </is>
      </c>
      <c r="H882" s="3" t="inlineStr">
        <is>
          <t>Kìm mỏ quạ KC4-250</t>
        </is>
      </c>
      <c r="I882" s="4" t="n">
        <v>190000</v>
      </c>
      <c r="J882" s="4" t="n"/>
      <c r="K882" s="4">
        <f>IF(AND(ISNUMBER(J882),ISNUMBER(I882)),J882-I882,"")</f>
        <v/>
      </c>
      <c r="L882" s="5">
        <f>IF(AND(ISNUMBER(J882),ISNUMBER(I882),I882&gt;0),(J882-I882)/I882,"")</f>
        <v/>
      </c>
      <c r="M882" s="2">
        <f>IF(L882="","",IF(L882&lt;-0.05,"Bán phá giá",IF(L882&gt;0.05,"Bán cao hơn","Đúng giá niêm yết")))</f>
        <v/>
      </c>
      <c r="N882" s="2" t="n"/>
      <c r="O882" s="3" t="n"/>
      <c r="P882" s="3" t="n"/>
    </row>
    <row r="883">
      <c r="A883" s="2" t="n">
        <v>882</v>
      </c>
      <c r="B883" s="2" t="inlineStr">
        <is>
          <t>KH005</t>
        </is>
      </c>
      <c r="C883" s="3" t="inlineStr">
        <is>
          <t>ThinkSafe HCM</t>
        </is>
      </c>
      <c r="D883" s="2" t="inlineStr">
        <is>
          <t>HCM</t>
        </is>
      </c>
      <c r="E883" s="2" t="inlineStr">
        <is>
          <t>XUÂN TRANG</t>
        </is>
      </c>
      <c r="F883" s="2" t="inlineStr">
        <is>
          <t>Shopee</t>
        </is>
      </c>
      <c r="G883" s="2" t="inlineStr">
        <is>
          <t>KC4-300</t>
        </is>
      </c>
      <c r="H883" s="3" t="inlineStr">
        <is>
          <t>Kìm mỏ quạ KC4-300</t>
        </is>
      </c>
      <c r="I883" s="4" t="n">
        <v>241000</v>
      </c>
      <c r="J883" s="4" t="n"/>
      <c r="K883" s="4">
        <f>IF(AND(ISNUMBER(J883),ISNUMBER(I883)),J883-I883,"")</f>
        <v/>
      </c>
      <c r="L883" s="5">
        <f>IF(AND(ISNUMBER(J883),ISNUMBER(I883),I883&gt;0),(J883-I883)/I883,"")</f>
        <v/>
      </c>
      <c r="M883" s="2">
        <f>IF(L883="","",IF(L883&lt;-0.05,"Bán phá giá",IF(L883&gt;0.05,"Bán cao hơn","Đúng giá niêm yết")))</f>
        <v/>
      </c>
      <c r="N883" s="2" t="n"/>
      <c r="O883" s="3" t="n"/>
      <c r="P883" s="3" t="n"/>
    </row>
    <row r="884">
      <c r="A884" s="2" t="n">
        <v>883</v>
      </c>
      <c r="B884" s="2" t="inlineStr">
        <is>
          <t>KH005</t>
        </is>
      </c>
      <c r="C884" s="3" t="inlineStr">
        <is>
          <t>ThinkSafe HCM</t>
        </is>
      </c>
      <c r="D884" s="2" t="inlineStr">
        <is>
          <t>HCM</t>
        </is>
      </c>
      <c r="E884" s="2" t="inlineStr">
        <is>
          <t>XUÂN TRANG</t>
        </is>
      </c>
      <c r="F884" s="2" t="inlineStr">
        <is>
          <t>Shopee</t>
        </is>
      </c>
      <c r="G884" s="2" t="inlineStr">
        <is>
          <t>KJ-230</t>
        </is>
      </c>
      <c r="H884" s="3" t="inlineStr">
        <is>
          <t>Kìm rút đinh công nghiệp KJ-230</t>
        </is>
      </c>
      <c r="I884" s="4" t="n">
        <v>311000</v>
      </c>
      <c r="J884" s="4" t="n"/>
      <c r="K884" s="4">
        <f>IF(AND(ISNUMBER(J884),ISNUMBER(I884)),J884-I884,"")</f>
        <v/>
      </c>
      <c r="L884" s="5">
        <f>IF(AND(ISNUMBER(J884),ISNUMBER(I884),I884&gt;0),(J884-I884)/I884,"")</f>
        <v/>
      </c>
      <c r="M884" s="2">
        <f>IF(L884="","",IF(L884&lt;-0.05,"Bán phá giá",IF(L884&gt;0.05,"Bán cao hơn","Đúng giá niêm yết")))</f>
        <v/>
      </c>
      <c r="N884" s="2" t="n"/>
      <c r="O884" s="3" t="n"/>
      <c r="P884" s="3" t="n"/>
    </row>
    <row r="885">
      <c r="A885" s="2" t="n">
        <v>884</v>
      </c>
      <c r="B885" s="2" t="inlineStr">
        <is>
          <t>KH005</t>
        </is>
      </c>
      <c r="C885" s="3" t="inlineStr">
        <is>
          <t>ThinkSafe HCM</t>
        </is>
      </c>
      <c r="D885" s="2" t="inlineStr">
        <is>
          <t>HCM</t>
        </is>
      </c>
      <c r="E885" s="2" t="inlineStr">
        <is>
          <t>XUÂN TRANG</t>
        </is>
      </c>
      <c r="F885" s="2" t="inlineStr">
        <is>
          <t>Shopee</t>
        </is>
      </c>
      <c r="G885" s="2" t="inlineStr">
        <is>
          <t>KJ-103</t>
        </is>
      </c>
      <c r="H885" s="3" t="inlineStr">
        <is>
          <t>Kìm rút đinh KJ-103</t>
        </is>
      </c>
      <c r="I885" s="4" t="n">
        <v>94000</v>
      </c>
      <c r="J885" s="4" t="n"/>
      <c r="K885" s="4">
        <f>IF(AND(ISNUMBER(J885),ISNUMBER(I885)),J885-I885,"")</f>
        <v/>
      </c>
      <c r="L885" s="5">
        <f>IF(AND(ISNUMBER(J885),ISNUMBER(I885),I885&gt;0),(J885-I885)/I885,"")</f>
        <v/>
      </c>
      <c r="M885" s="2">
        <f>IF(L885="","",IF(L885&lt;-0.05,"Bán phá giá",IF(L885&gt;0.05,"Bán cao hơn","Đúng giá niêm yết")))</f>
        <v/>
      </c>
      <c r="N885" s="2" t="n"/>
      <c r="O885" s="3" t="n"/>
      <c r="P885" s="3" t="n"/>
    </row>
    <row r="886">
      <c r="A886" s="2" t="n">
        <v>885</v>
      </c>
      <c r="B886" s="2" t="inlineStr">
        <is>
          <t>KH005</t>
        </is>
      </c>
      <c r="C886" s="3" t="inlineStr">
        <is>
          <t>ThinkSafe HCM</t>
        </is>
      </c>
      <c r="D886" s="2" t="inlineStr">
        <is>
          <t>HCM</t>
        </is>
      </c>
      <c r="E886" s="2" t="inlineStr">
        <is>
          <t>XUÂN TRANG</t>
        </is>
      </c>
      <c r="F886" s="2" t="inlineStr">
        <is>
          <t>Shopee</t>
        </is>
      </c>
      <c r="G886" s="2" t="inlineStr">
        <is>
          <t>KJ-105</t>
        </is>
      </c>
      <c r="H886" s="3" t="inlineStr">
        <is>
          <t>Kìm rút đinh rút KJ-105</t>
        </is>
      </c>
      <c r="I886" s="4" t="n">
        <v>154000</v>
      </c>
      <c r="J886" s="4" t="n"/>
      <c r="K886" s="4">
        <f>IF(AND(ISNUMBER(J886),ISNUMBER(I886)),J886-I886,"")</f>
        <v/>
      </c>
      <c r="L886" s="5">
        <f>IF(AND(ISNUMBER(J886),ISNUMBER(I886),I886&gt;0),(J886-I886)/I886,"")</f>
        <v/>
      </c>
      <c r="M886" s="2">
        <f>IF(L886="","",IF(L886&lt;-0.05,"Bán phá giá",IF(L886&gt;0.05,"Bán cao hơn","Đúng giá niêm yết")))</f>
        <v/>
      </c>
      <c r="N886" s="2" t="n"/>
      <c r="O886" s="3" t="n"/>
      <c r="P886" s="3" t="n"/>
    </row>
    <row r="887">
      <c r="A887" s="2" t="n">
        <v>886</v>
      </c>
      <c r="B887" s="2" t="inlineStr">
        <is>
          <t>KH005</t>
        </is>
      </c>
      <c r="C887" s="3" t="inlineStr">
        <is>
          <t>ThinkSafe HCM</t>
        </is>
      </c>
      <c r="D887" s="2" t="inlineStr">
        <is>
          <t>HCM</t>
        </is>
      </c>
      <c r="E887" s="2" t="inlineStr">
        <is>
          <t>XUÂN TRANG</t>
        </is>
      </c>
      <c r="F887" s="2" t="inlineStr">
        <is>
          <t>Shopee</t>
        </is>
      </c>
      <c r="G887" s="2" t="inlineStr">
        <is>
          <t>KND180</t>
        </is>
      </c>
      <c r="H887" s="3" t="inlineStr">
        <is>
          <t>Kìm tuốt dây điện đa năng KND180</t>
        </is>
      </c>
      <c r="I887" s="4" t="n">
        <v>158000</v>
      </c>
      <c r="J887" s="4" t="n"/>
      <c r="K887" s="4">
        <f>IF(AND(ISNUMBER(J887),ISNUMBER(I887)),J887-I887,"")</f>
        <v/>
      </c>
      <c r="L887" s="5">
        <f>IF(AND(ISNUMBER(J887),ISNUMBER(I887),I887&gt;0),(J887-I887)/I887,"")</f>
        <v/>
      </c>
      <c r="M887" s="2">
        <f>IF(L887="","",IF(L887&lt;-0.05,"Bán phá giá",IF(L887&gt;0.05,"Bán cao hơn","Đúng giá niêm yết")))</f>
        <v/>
      </c>
      <c r="N887" s="2" t="n"/>
      <c r="O887" s="3" t="n"/>
      <c r="P887" s="3" t="n"/>
    </row>
    <row r="888">
      <c r="A888" s="2" t="n">
        <v>887</v>
      </c>
      <c r="B888" s="2" t="inlineStr">
        <is>
          <t>KH005</t>
        </is>
      </c>
      <c r="C888" s="3" t="inlineStr">
        <is>
          <t>ThinkSafe HCM</t>
        </is>
      </c>
      <c r="D888" s="2" t="inlineStr">
        <is>
          <t>HCM</t>
        </is>
      </c>
      <c r="E888" s="2" t="inlineStr">
        <is>
          <t>XUÂN TRANG</t>
        </is>
      </c>
      <c r="F888" s="2" t="inlineStr">
        <is>
          <t>Shopee</t>
        </is>
      </c>
      <c r="G888" s="2" t="inlineStr">
        <is>
          <t>KND205</t>
        </is>
      </c>
      <c r="H888" s="3" t="inlineStr">
        <is>
          <t>Kìm tuốt dây điện đa năng KND205</t>
        </is>
      </c>
      <c r="I888" s="4" t="n">
        <v>199000</v>
      </c>
      <c r="J888" s="4" t="n"/>
      <c r="K888" s="4">
        <f>IF(AND(ISNUMBER(J888),ISNUMBER(I888)),J888-I888,"")</f>
        <v/>
      </c>
      <c r="L888" s="5">
        <f>IF(AND(ISNUMBER(J888),ISNUMBER(I888),I888&gt;0),(J888-I888)/I888,"")</f>
        <v/>
      </c>
      <c r="M888" s="2">
        <f>IF(L888="","",IF(L888&lt;-0.05,"Bán phá giá",IF(L888&gt;0.05,"Bán cao hơn","Đúng giá niêm yết")))</f>
        <v/>
      </c>
      <c r="N888" s="2" t="n"/>
      <c r="O888" s="3" t="n"/>
      <c r="P888" s="3" t="n"/>
    </row>
    <row r="889">
      <c r="A889" s="2" t="n">
        <v>888</v>
      </c>
      <c r="B889" s="2" t="inlineStr">
        <is>
          <t>KH005</t>
        </is>
      </c>
      <c r="C889" s="3" t="inlineStr">
        <is>
          <t>ThinkSafe HCM</t>
        </is>
      </c>
      <c r="D889" s="2" t="inlineStr">
        <is>
          <t>HCM</t>
        </is>
      </c>
      <c r="E889" s="2" t="inlineStr">
        <is>
          <t>XUÂN TRANG</t>
        </is>
      </c>
      <c r="F889" s="2" t="inlineStr">
        <is>
          <t>Shopee</t>
        </is>
      </c>
      <c r="G889" s="2" t="inlineStr"/>
      <c r="H889" s="3" t="inlineStr">
        <is>
          <t>Kìm thẳng phe trong KCA 180</t>
        </is>
      </c>
      <c r="I889" s="4" t="n">
        <v>61000</v>
      </c>
      <c r="J889" s="4" t="n"/>
      <c r="K889" s="4">
        <f>IF(AND(ISNUMBER(J889),ISNUMBER(I889)),J889-I889,"")</f>
        <v/>
      </c>
      <c r="L889" s="5">
        <f>IF(AND(ISNUMBER(J889),ISNUMBER(I889),I889&gt;0),(J889-I889)/I889,"")</f>
        <v/>
      </c>
      <c r="M889" s="2">
        <f>IF(L889="","",IF(L889&lt;-0.05,"Bán phá giá",IF(L889&gt;0.05,"Bán cao hơn","Đúng giá niêm yết")))</f>
        <v/>
      </c>
      <c r="N889" s="2" t="n"/>
      <c r="O889" s="3" t="n"/>
      <c r="P889" s="3" t="n"/>
    </row>
    <row r="890">
      <c r="A890" s="2" t="n">
        <v>889</v>
      </c>
      <c r="B890" s="2" t="inlineStr">
        <is>
          <t>KH005</t>
        </is>
      </c>
      <c r="C890" s="3" t="inlineStr">
        <is>
          <t>ThinkSafe HCM</t>
        </is>
      </c>
      <c r="D890" s="2" t="inlineStr">
        <is>
          <t>HCM</t>
        </is>
      </c>
      <c r="E890" s="2" t="inlineStr">
        <is>
          <t>XUÂN TRANG</t>
        </is>
      </c>
      <c r="F890" s="2" t="inlineStr">
        <is>
          <t>Shopee</t>
        </is>
      </c>
      <c r="G890" s="2" t="inlineStr">
        <is>
          <t>KBY3-030CO</t>
        </is>
      </c>
      <c r="H890" s="3" t="inlineStr">
        <is>
          <t>Khoan inox chuôi lục KBY3-030CO</t>
        </is>
      </c>
      <c r="I890" s="4" t="n">
        <v>28500</v>
      </c>
      <c r="J890" s="4" t="n"/>
      <c r="K890" s="4">
        <f>IF(AND(ISNUMBER(J890),ISNUMBER(I890)),J890-I890,"")</f>
        <v/>
      </c>
      <c r="L890" s="5">
        <f>IF(AND(ISNUMBER(J890),ISNUMBER(I890),I890&gt;0),(J890-I890)/I890,"")</f>
        <v/>
      </c>
      <c r="M890" s="2">
        <f>IF(L890="","",IF(L890&lt;-0.05,"Bán phá giá",IF(L890&gt;0.05,"Bán cao hơn","Đúng giá niêm yết")))</f>
        <v/>
      </c>
      <c r="N890" s="2" t="n"/>
      <c r="O890" s="3" t="n"/>
      <c r="P890" s="3" t="n"/>
    </row>
    <row r="891">
      <c r="A891" s="2" t="n">
        <v>890</v>
      </c>
      <c r="B891" s="2" t="inlineStr">
        <is>
          <t>KH005</t>
        </is>
      </c>
      <c r="C891" s="3" t="inlineStr">
        <is>
          <t>ThinkSafe HCM</t>
        </is>
      </c>
      <c r="D891" s="2" t="inlineStr">
        <is>
          <t>HCM</t>
        </is>
      </c>
      <c r="E891" s="2" t="inlineStr">
        <is>
          <t>XUÂN TRANG</t>
        </is>
      </c>
      <c r="F891" s="2" t="inlineStr">
        <is>
          <t>Shopee</t>
        </is>
      </c>
      <c r="G891" s="2" t="inlineStr">
        <is>
          <t>KBY3-042CO</t>
        </is>
      </c>
      <c r="H891" s="3" t="inlineStr">
        <is>
          <t>Khoan inox chuôi lục KBY3-042CO</t>
        </is>
      </c>
      <c r="I891" s="4" t="n">
        <v>41000</v>
      </c>
      <c r="J891" s="4" t="n"/>
      <c r="K891" s="4">
        <f>IF(AND(ISNUMBER(J891),ISNUMBER(I891)),J891-I891,"")</f>
        <v/>
      </c>
      <c r="L891" s="5">
        <f>IF(AND(ISNUMBER(J891),ISNUMBER(I891),I891&gt;0),(J891-I891)/I891,"")</f>
        <v/>
      </c>
      <c r="M891" s="2">
        <f>IF(L891="","",IF(L891&lt;-0.05,"Bán phá giá",IF(L891&gt;0.05,"Bán cao hơn","Đúng giá niêm yết")))</f>
        <v/>
      </c>
      <c r="N891" s="2" t="n"/>
      <c r="O891" s="3" t="n"/>
      <c r="P891" s="3" t="n"/>
    </row>
    <row r="892">
      <c r="A892" s="2" t="n">
        <v>891</v>
      </c>
      <c r="B892" s="2" t="inlineStr">
        <is>
          <t>KH005</t>
        </is>
      </c>
      <c r="C892" s="3" t="inlineStr">
        <is>
          <t>ThinkSafe HCM</t>
        </is>
      </c>
      <c r="D892" s="2" t="inlineStr">
        <is>
          <t>HCM</t>
        </is>
      </c>
      <c r="E892" s="2" t="inlineStr">
        <is>
          <t>XUÂN TRANG</t>
        </is>
      </c>
      <c r="F892" s="2" t="inlineStr">
        <is>
          <t>Shopee</t>
        </is>
      </c>
      <c r="G892" s="2" t="inlineStr">
        <is>
          <t>KBY3-055CO</t>
        </is>
      </c>
      <c r="H892" s="3" t="inlineStr">
        <is>
          <t>Khoan inox chuôi lục KBY3-055CO</t>
        </is>
      </c>
      <c r="I892" s="4" t="n">
        <v>46000</v>
      </c>
      <c r="J892" s="4" t="n"/>
      <c r="K892" s="4">
        <f>IF(AND(ISNUMBER(J892),ISNUMBER(I892)),J892-I892,"")</f>
        <v/>
      </c>
      <c r="L892" s="5">
        <f>IF(AND(ISNUMBER(J892),ISNUMBER(I892),I892&gt;0),(J892-I892)/I892,"")</f>
        <v/>
      </c>
      <c r="M892" s="2">
        <f>IF(L892="","",IF(L892&lt;-0.05,"Bán phá giá",IF(L892&gt;0.05,"Bán cao hơn","Đúng giá niêm yết")))</f>
        <v/>
      </c>
      <c r="N892" s="2" t="n"/>
      <c r="O892" s="3" t="n"/>
      <c r="P892" s="3" t="n"/>
    </row>
    <row r="893">
      <c r="A893" s="2" t="n">
        <v>892</v>
      </c>
      <c r="B893" s="2" t="inlineStr">
        <is>
          <t>KH005</t>
        </is>
      </c>
      <c r="C893" s="3" t="inlineStr">
        <is>
          <t>ThinkSafe HCM</t>
        </is>
      </c>
      <c r="D893" s="2" t="inlineStr">
        <is>
          <t>HCM</t>
        </is>
      </c>
      <c r="E893" s="2" t="inlineStr">
        <is>
          <t>XUÂN TRANG</t>
        </is>
      </c>
      <c r="F893" s="2" t="inlineStr">
        <is>
          <t>Shopee</t>
        </is>
      </c>
      <c r="G893" s="2" t="inlineStr">
        <is>
          <t>KBB-06MM</t>
        </is>
      </c>
      <c r="H893" s="3" t="inlineStr">
        <is>
          <t>Khoan Kính KingBlue KBB-06MM</t>
        </is>
      </c>
      <c r="I893" s="4" t="n">
        <v>6300</v>
      </c>
      <c r="J893" s="4" t="n"/>
      <c r="K893" s="4">
        <f>IF(AND(ISNUMBER(J893),ISNUMBER(I893)),J893-I893,"")</f>
        <v/>
      </c>
      <c r="L893" s="5">
        <f>IF(AND(ISNUMBER(J893),ISNUMBER(I893),I893&gt;0),(J893-I893)/I893,"")</f>
        <v/>
      </c>
      <c r="M893" s="2">
        <f>IF(L893="","",IF(L893&lt;-0.05,"Bán phá giá",IF(L893&gt;0.05,"Bán cao hơn","Đúng giá niêm yết")))</f>
        <v/>
      </c>
      <c r="N893" s="2" t="n"/>
      <c r="O893" s="3" t="n"/>
      <c r="P893" s="3" t="n"/>
    </row>
    <row r="894">
      <c r="A894" s="2" t="n">
        <v>893</v>
      </c>
      <c r="B894" s="2" t="inlineStr">
        <is>
          <t>KH005</t>
        </is>
      </c>
      <c r="C894" s="3" t="inlineStr">
        <is>
          <t>ThinkSafe HCM</t>
        </is>
      </c>
      <c r="D894" s="2" t="inlineStr">
        <is>
          <t>HCM</t>
        </is>
      </c>
      <c r="E894" s="2" t="inlineStr">
        <is>
          <t>XUÂN TRANG</t>
        </is>
      </c>
      <c r="F894" s="2" t="inlineStr">
        <is>
          <t>Shopee</t>
        </is>
      </c>
      <c r="G894" s="2" t="inlineStr">
        <is>
          <t>KKB-06MM</t>
        </is>
      </c>
      <c r="H894" s="3" t="inlineStr">
        <is>
          <t>Khoan Kính KingBlue KKB-06MM</t>
        </is>
      </c>
      <c r="I894" s="4" t="n">
        <v>8400</v>
      </c>
      <c r="J894" s="4" t="n"/>
      <c r="K894" s="4">
        <f>IF(AND(ISNUMBER(J894),ISNUMBER(I894)),J894-I894,"")</f>
        <v/>
      </c>
      <c r="L894" s="5">
        <f>IF(AND(ISNUMBER(J894),ISNUMBER(I894),I894&gt;0),(J894-I894)/I894,"")</f>
        <v/>
      </c>
      <c r="M894" s="2">
        <f>IF(L894="","",IF(L894&lt;-0.05,"Bán phá giá",IF(L894&gt;0.05,"Bán cao hơn","Đúng giá niêm yết")))</f>
        <v/>
      </c>
      <c r="N894" s="2" t="n"/>
      <c r="O894" s="3" t="n"/>
      <c r="P894" s="3" t="n"/>
    </row>
    <row r="895">
      <c r="A895" s="2" t="n">
        <v>894</v>
      </c>
      <c r="B895" s="2" t="inlineStr">
        <is>
          <t>KH005</t>
        </is>
      </c>
      <c r="C895" s="3" t="inlineStr">
        <is>
          <t>ThinkSafe HCM</t>
        </is>
      </c>
      <c r="D895" s="2" t="inlineStr">
        <is>
          <t>HCM</t>
        </is>
      </c>
      <c r="E895" s="2" t="inlineStr">
        <is>
          <t>XUÂN TRANG</t>
        </is>
      </c>
      <c r="F895" s="2" t="inlineStr">
        <is>
          <t>Shopee</t>
        </is>
      </c>
      <c r="G895" s="2" t="inlineStr">
        <is>
          <t>KKB-08MM</t>
        </is>
      </c>
      <c r="H895" s="3" t="inlineStr">
        <is>
          <t>Khoan Kính KingBlue KKB-08MM</t>
        </is>
      </c>
      <c r="I895" s="4" t="n">
        <v>100000</v>
      </c>
      <c r="J895" s="4" t="n"/>
      <c r="K895" s="4">
        <f>IF(AND(ISNUMBER(J895),ISNUMBER(I895)),J895-I895,"")</f>
        <v/>
      </c>
      <c r="L895" s="5">
        <f>IF(AND(ISNUMBER(J895),ISNUMBER(I895),I895&gt;0),(J895-I895)/I895,"")</f>
        <v/>
      </c>
      <c r="M895" s="2">
        <f>IF(L895="","",IF(L895&lt;-0.05,"Bán phá giá",IF(L895&gt;0.05,"Bán cao hơn","Đúng giá niêm yết")))</f>
        <v/>
      </c>
      <c r="N895" s="2" t="n"/>
      <c r="O895" s="3" t="n"/>
      <c r="P895" s="3" t="n"/>
    </row>
    <row r="896">
      <c r="A896" s="2" t="n">
        <v>895</v>
      </c>
      <c r="B896" s="2" t="inlineStr">
        <is>
          <t>KH005</t>
        </is>
      </c>
      <c r="C896" s="3" t="inlineStr">
        <is>
          <t>ThinkSafe HCM</t>
        </is>
      </c>
      <c r="D896" s="2" t="inlineStr">
        <is>
          <t>HCM</t>
        </is>
      </c>
      <c r="E896" s="2" t="inlineStr">
        <is>
          <t>XUÂN TRANG</t>
        </is>
      </c>
      <c r="F896" s="2" t="inlineStr">
        <is>
          <t>Shopee</t>
        </is>
      </c>
      <c r="G896" s="2" t="inlineStr">
        <is>
          <t>KKB-10MM</t>
        </is>
      </c>
      <c r="H896" s="3" t="inlineStr">
        <is>
          <t>Khoan Kính KingBlue KKB-10MM</t>
        </is>
      </c>
      <c r="I896" s="4" t="n">
        <v>130000</v>
      </c>
      <c r="J896" s="4" t="n"/>
      <c r="K896" s="4">
        <f>IF(AND(ISNUMBER(J896),ISNUMBER(I896)),J896-I896,"")</f>
        <v/>
      </c>
      <c r="L896" s="5">
        <f>IF(AND(ISNUMBER(J896),ISNUMBER(I896),I896&gt;0),(J896-I896)/I896,"")</f>
        <v/>
      </c>
      <c r="M896" s="2">
        <f>IF(L896="","",IF(L896&lt;-0.05,"Bán phá giá",IF(L896&gt;0.05,"Bán cao hơn","Đúng giá niêm yết")))</f>
        <v/>
      </c>
      <c r="N896" s="2" t="n"/>
      <c r="O896" s="3" t="n"/>
      <c r="P896" s="3" t="n"/>
    </row>
    <row r="897">
      <c r="A897" s="2" t="n">
        <v>896</v>
      </c>
      <c r="B897" s="2" t="inlineStr">
        <is>
          <t>KH005</t>
        </is>
      </c>
      <c r="C897" s="3" t="inlineStr">
        <is>
          <t>ThinkSafe HCM</t>
        </is>
      </c>
      <c r="D897" s="2" t="inlineStr">
        <is>
          <t>HCM</t>
        </is>
      </c>
      <c r="E897" s="2" t="inlineStr">
        <is>
          <t>XUÂN TRANG</t>
        </is>
      </c>
      <c r="F897" s="2" t="inlineStr">
        <is>
          <t>Shopee</t>
        </is>
      </c>
      <c r="G897" s="2" t="inlineStr">
        <is>
          <t>KRLK-27*370</t>
        </is>
      </c>
      <c r="H897" s="3" t="inlineStr">
        <is>
          <t>Khoan rút lõi bê tông nước + khô KRLK-27*370</t>
        </is>
      </c>
      <c r="I897" s="4" t="n">
        <v>189000</v>
      </c>
      <c r="J897" s="4" t="n"/>
      <c r="K897" s="4">
        <f>IF(AND(ISNUMBER(J897),ISNUMBER(I897)),J897-I897,"")</f>
        <v/>
      </c>
      <c r="L897" s="5">
        <f>IF(AND(ISNUMBER(J897),ISNUMBER(I897),I897&gt;0),(J897-I897)/I897,"")</f>
        <v/>
      </c>
      <c r="M897" s="2">
        <f>IF(L897="","",IF(L897&lt;-0.05,"Bán phá giá",IF(L897&gt;0.05,"Bán cao hơn","Đúng giá niêm yết")))</f>
        <v/>
      </c>
      <c r="N897" s="2" t="n"/>
      <c r="O897" s="3" t="n"/>
      <c r="P897" s="3" t="n"/>
    </row>
    <row r="898">
      <c r="A898" s="2" t="n">
        <v>897</v>
      </c>
      <c r="B898" s="2" t="inlineStr">
        <is>
          <t>KH005</t>
        </is>
      </c>
      <c r="C898" s="3" t="inlineStr">
        <is>
          <t>ThinkSafe HCM</t>
        </is>
      </c>
      <c r="D898" s="2" t="inlineStr">
        <is>
          <t>HCM</t>
        </is>
      </c>
      <c r="E898" s="2" t="inlineStr">
        <is>
          <t>XUÂN TRANG</t>
        </is>
      </c>
      <c r="F898" s="2" t="inlineStr">
        <is>
          <t>Shopee</t>
        </is>
      </c>
      <c r="G898" s="2" t="inlineStr">
        <is>
          <t>KRLK-32*370</t>
        </is>
      </c>
      <c r="H898" s="3" t="inlineStr">
        <is>
          <t>Khoan rút lõi bê tông nước + khô KRLK-32*370</t>
        </is>
      </c>
      <c r="I898" s="4" t="n">
        <v>200000</v>
      </c>
      <c r="J898" s="4" t="n"/>
      <c r="K898" s="4">
        <f>IF(AND(ISNUMBER(J898),ISNUMBER(I898)),J898-I898,"")</f>
        <v/>
      </c>
      <c r="L898" s="5">
        <f>IF(AND(ISNUMBER(J898),ISNUMBER(I898),I898&gt;0),(J898-I898)/I898,"")</f>
        <v/>
      </c>
      <c r="M898" s="2">
        <f>IF(L898="","",IF(L898&lt;-0.05,"Bán phá giá",IF(L898&gt;0.05,"Bán cao hơn","Đúng giá niêm yết")))</f>
        <v/>
      </c>
      <c r="N898" s="2" t="n"/>
      <c r="O898" s="3" t="n"/>
      <c r="P898" s="3" t="n"/>
    </row>
    <row r="899">
      <c r="A899" s="2" t="n">
        <v>898</v>
      </c>
      <c r="B899" s="2" t="inlineStr">
        <is>
          <t>KH005</t>
        </is>
      </c>
      <c r="C899" s="3" t="inlineStr">
        <is>
          <t>ThinkSafe HCM</t>
        </is>
      </c>
      <c r="D899" s="2" t="inlineStr">
        <is>
          <t>HCM</t>
        </is>
      </c>
      <c r="E899" s="2" t="inlineStr">
        <is>
          <t>XUÂN TRANG</t>
        </is>
      </c>
      <c r="F899" s="2" t="inlineStr">
        <is>
          <t>Shopee</t>
        </is>
      </c>
      <c r="G899" s="2" t="inlineStr">
        <is>
          <t>KRLK-36*370</t>
        </is>
      </c>
      <c r="H899" s="3" t="inlineStr">
        <is>
          <t>Khoan rút lõi bê tông nước + khô KRLK-36*370</t>
        </is>
      </c>
      <c r="I899" s="4" t="n">
        <v>224000</v>
      </c>
      <c r="J899" s="4" t="n"/>
      <c r="K899" s="4">
        <f>IF(AND(ISNUMBER(J899),ISNUMBER(I899)),J899-I899,"")</f>
        <v/>
      </c>
      <c r="L899" s="5">
        <f>IF(AND(ISNUMBER(J899),ISNUMBER(I899),I899&gt;0),(J899-I899)/I899,"")</f>
        <v/>
      </c>
      <c r="M899" s="2">
        <f>IF(L899="","",IF(L899&lt;-0.05,"Bán phá giá",IF(L899&gt;0.05,"Bán cao hơn","Đúng giá niêm yết")))</f>
        <v/>
      </c>
      <c r="N899" s="2" t="n"/>
      <c r="O899" s="3" t="n"/>
      <c r="P899" s="3" t="n"/>
    </row>
    <row r="900">
      <c r="A900" s="2" t="n">
        <v>899</v>
      </c>
      <c r="B900" s="2" t="inlineStr">
        <is>
          <t>KH005</t>
        </is>
      </c>
      <c r="C900" s="3" t="inlineStr">
        <is>
          <t>ThinkSafe HCM</t>
        </is>
      </c>
      <c r="D900" s="2" t="inlineStr">
        <is>
          <t>HCM</t>
        </is>
      </c>
      <c r="E900" s="2" t="inlineStr">
        <is>
          <t>XUÂN TRANG</t>
        </is>
      </c>
      <c r="F900" s="2" t="inlineStr">
        <is>
          <t>Shopee</t>
        </is>
      </c>
      <c r="G900" s="2" t="inlineStr">
        <is>
          <t>KRLK-40*370</t>
        </is>
      </c>
      <c r="H900" s="3" t="inlineStr">
        <is>
          <t>Khoan rút lõi bê tông nước + khô KRLK-40*370</t>
        </is>
      </c>
      <c r="I900" s="4" t="n">
        <v>251000</v>
      </c>
      <c r="J900" s="4" t="n"/>
      <c r="K900" s="4">
        <f>IF(AND(ISNUMBER(J900),ISNUMBER(I900)),J900-I900,"")</f>
        <v/>
      </c>
      <c r="L900" s="5">
        <f>IF(AND(ISNUMBER(J900),ISNUMBER(I900),I900&gt;0),(J900-I900)/I900,"")</f>
        <v/>
      </c>
      <c r="M900" s="2">
        <f>IF(L900="","",IF(L900&lt;-0.05,"Bán phá giá",IF(L900&gt;0.05,"Bán cao hơn","Đúng giá niêm yết")))</f>
        <v/>
      </c>
      <c r="N900" s="2" t="n"/>
      <c r="O900" s="3" t="n"/>
      <c r="P900" s="3" t="n"/>
    </row>
    <row r="901">
      <c r="A901" s="2" t="n">
        <v>900</v>
      </c>
      <c r="B901" s="2" t="inlineStr">
        <is>
          <t>KH005</t>
        </is>
      </c>
      <c r="C901" s="3" t="inlineStr">
        <is>
          <t>ThinkSafe HCM</t>
        </is>
      </c>
      <c r="D901" s="2" t="inlineStr">
        <is>
          <t>HCM</t>
        </is>
      </c>
      <c r="E901" s="2" t="inlineStr">
        <is>
          <t>XUÂN TRANG</t>
        </is>
      </c>
      <c r="F901" s="2" t="inlineStr">
        <is>
          <t>Shopee</t>
        </is>
      </c>
      <c r="G901" s="2" t="inlineStr">
        <is>
          <t>KRLK-44*370</t>
        </is>
      </c>
      <c r="H901" s="3" t="inlineStr">
        <is>
          <t>Khoan rút lõi bê tông nước + khô KRLK-44*370</t>
        </is>
      </c>
      <c r="I901" s="4" t="n">
        <v>276000</v>
      </c>
      <c r="J901" s="4" t="n"/>
      <c r="K901" s="4">
        <f>IF(AND(ISNUMBER(J901),ISNUMBER(I901)),J901-I901,"")</f>
        <v/>
      </c>
      <c r="L901" s="5">
        <f>IF(AND(ISNUMBER(J901),ISNUMBER(I901),I901&gt;0),(J901-I901)/I901,"")</f>
        <v/>
      </c>
      <c r="M901" s="2">
        <f>IF(L901="","",IF(L901&lt;-0.05,"Bán phá giá",IF(L901&gt;0.05,"Bán cao hơn","Đúng giá niêm yết")))</f>
        <v/>
      </c>
      <c r="N901" s="2" t="n"/>
      <c r="O901" s="3" t="n"/>
      <c r="P901" s="3" t="n"/>
    </row>
    <row r="902">
      <c r="A902" s="2" t="n">
        <v>901</v>
      </c>
      <c r="B902" s="2" t="inlineStr">
        <is>
          <t>KH005</t>
        </is>
      </c>
      <c r="C902" s="3" t="inlineStr">
        <is>
          <t>ThinkSafe HCM</t>
        </is>
      </c>
      <c r="D902" s="2" t="inlineStr">
        <is>
          <t>HCM</t>
        </is>
      </c>
      <c r="E902" s="2" t="inlineStr">
        <is>
          <t>XUÂN TRANG</t>
        </is>
      </c>
      <c r="F902" s="2" t="inlineStr">
        <is>
          <t>Shopee</t>
        </is>
      </c>
      <c r="G902" s="2" t="inlineStr">
        <is>
          <t>KRLK-51*370</t>
        </is>
      </c>
      <c r="H902" s="3" t="inlineStr">
        <is>
          <t>Khoan rút lõi bê tông nước + khô KRLK-51*370</t>
        </is>
      </c>
      <c r="I902" s="4" t="n">
        <v>300000</v>
      </c>
      <c r="J902" s="4" t="n"/>
      <c r="K902" s="4">
        <f>IF(AND(ISNUMBER(J902),ISNUMBER(I902)),J902-I902,"")</f>
        <v/>
      </c>
      <c r="L902" s="5">
        <f>IF(AND(ISNUMBER(J902),ISNUMBER(I902),I902&gt;0),(J902-I902)/I902,"")</f>
        <v/>
      </c>
      <c r="M902" s="2">
        <f>IF(L902="","",IF(L902&lt;-0.05,"Bán phá giá",IF(L902&gt;0.05,"Bán cao hơn","Đúng giá niêm yết")))</f>
        <v/>
      </c>
      <c r="N902" s="2" t="n"/>
      <c r="O902" s="3" t="n"/>
      <c r="P902" s="3" t="n"/>
    </row>
    <row r="903">
      <c r="A903" s="2" t="n">
        <v>902</v>
      </c>
      <c r="B903" s="2" t="inlineStr">
        <is>
          <t>KH005</t>
        </is>
      </c>
      <c r="C903" s="3" t="inlineStr">
        <is>
          <t>ThinkSafe HCM</t>
        </is>
      </c>
      <c r="D903" s="2" t="inlineStr">
        <is>
          <t>HCM</t>
        </is>
      </c>
      <c r="E903" s="2" t="inlineStr">
        <is>
          <t>XUÂN TRANG</t>
        </is>
      </c>
      <c r="F903" s="2" t="inlineStr">
        <is>
          <t>Shopee</t>
        </is>
      </c>
      <c r="G903" s="2" t="inlineStr">
        <is>
          <t>KRLK-56*370</t>
        </is>
      </c>
      <c r="H903" s="3" t="inlineStr">
        <is>
          <t>Khoan rút lõi bê tông nước + khô KRLK-56*370</t>
        </is>
      </c>
      <c r="I903" s="4" t="n">
        <v>319000</v>
      </c>
      <c r="J903" s="4" t="n"/>
      <c r="K903" s="4">
        <f>IF(AND(ISNUMBER(J903),ISNUMBER(I903)),J903-I903,"")</f>
        <v/>
      </c>
      <c r="L903" s="5">
        <f>IF(AND(ISNUMBER(J903),ISNUMBER(I903),I903&gt;0),(J903-I903)/I903,"")</f>
        <v/>
      </c>
      <c r="M903" s="2">
        <f>IF(L903="","",IF(L903&lt;-0.05,"Bán phá giá",IF(L903&gt;0.05,"Bán cao hơn","Đúng giá niêm yết")))</f>
        <v/>
      </c>
      <c r="N903" s="2" t="n"/>
      <c r="O903" s="3" t="n"/>
      <c r="P903" s="3" t="n"/>
    </row>
    <row r="904">
      <c r="A904" s="2" t="n">
        <v>903</v>
      </c>
      <c r="B904" s="2" t="inlineStr">
        <is>
          <t>KH005</t>
        </is>
      </c>
      <c r="C904" s="3" t="inlineStr">
        <is>
          <t>ThinkSafe HCM</t>
        </is>
      </c>
      <c r="D904" s="2" t="inlineStr">
        <is>
          <t>HCM</t>
        </is>
      </c>
      <c r="E904" s="2" t="inlineStr">
        <is>
          <t>XUÂN TRANG</t>
        </is>
      </c>
      <c r="F904" s="2" t="inlineStr">
        <is>
          <t>Shopee</t>
        </is>
      </c>
      <c r="G904" s="2" t="inlineStr">
        <is>
          <t>KRLK-63*370</t>
        </is>
      </c>
      <c r="H904" s="3" t="inlineStr">
        <is>
          <t>Khoan rút lõi bê tông nước + khô KRLK-63*370</t>
        </is>
      </c>
      <c r="I904" s="4" t="n">
        <v>366000</v>
      </c>
      <c r="J904" s="4" t="n"/>
      <c r="K904" s="4">
        <f>IF(AND(ISNUMBER(J904),ISNUMBER(I904)),J904-I904,"")</f>
        <v/>
      </c>
      <c r="L904" s="5">
        <f>IF(AND(ISNUMBER(J904),ISNUMBER(I904),I904&gt;0),(J904-I904)/I904,"")</f>
        <v/>
      </c>
      <c r="M904" s="2">
        <f>IF(L904="","",IF(L904&lt;-0.05,"Bán phá giá",IF(L904&gt;0.05,"Bán cao hơn","Đúng giá niêm yết")))</f>
        <v/>
      </c>
      <c r="N904" s="2" t="n"/>
      <c r="O904" s="3" t="n"/>
      <c r="P904" s="3" t="n"/>
    </row>
    <row r="905">
      <c r="A905" s="2" t="n">
        <v>904</v>
      </c>
      <c r="B905" s="2" t="inlineStr">
        <is>
          <t>KH005</t>
        </is>
      </c>
      <c r="C905" s="3" t="inlineStr">
        <is>
          <t>ThinkSafe HCM</t>
        </is>
      </c>
      <c r="D905" s="2" t="inlineStr">
        <is>
          <t>HCM</t>
        </is>
      </c>
      <c r="E905" s="2" t="inlineStr">
        <is>
          <t>XUÂN TRANG</t>
        </is>
      </c>
      <c r="F905" s="2" t="inlineStr">
        <is>
          <t>Shopee</t>
        </is>
      </c>
      <c r="G905" s="2" t="inlineStr">
        <is>
          <t>F1-180DN</t>
        </is>
      </c>
      <c r="H905" s="3" t="inlineStr">
        <is>
          <t>Lưỡi cắt BlueBird F1-180DN (vàng)</t>
        </is>
      </c>
      <c r="I905" s="4" t="n">
        <v>189000</v>
      </c>
      <c r="J905" s="4" t="n"/>
      <c r="K905" s="4">
        <f>IF(AND(ISNUMBER(J905),ISNUMBER(I905)),J905-I905,"")</f>
        <v/>
      </c>
      <c r="L905" s="5">
        <f>IF(AND(ISNUMBER(J905),ISNUMBER(I905),I905&gt;0),(J905-I905)/I905,"")</f>
        <v/>
      </c>
      <c r="M905" s="2">
        <f>IF(L905="","",IF(L905&lt;-0.05,"Bán phá giá",IF(L905&gt;0.05,"Bán cao hơn","Đúng giá niêm yết")))</f>
        <v/>
      </c>
      <c r="N905" s="2" t="n"/>
      <c r="O905" s="3" t="n"/>
      <c r="P905" s="3" t="n"/>
    </row>
    <row r="906">
      <c r="A906" s="2" t="n">
        <v>905</v>
      </c>
      <c r="B906" s="2" t="inlineStr">
        <is>
          <t>KH005</t>
        </is>
      </c>
      <c r="C906" s="3" t="inlineStr">
        <is>
          <t>ThinkSafe HCM</t>
        </is>
      </c>
      <c r="D906" s="2" t="inlineStr">
        <is>
          <t>HCM</t>
        </is>
      </c>
      <c r="E906" s="2" t="inlineStr">
        <is>
          <t>XUÂN TRANG</t>
        </is>
      </c>
      <c r="F906" s="2" t="inlineStr">
        <is>
          <t>Shopee</t>
        </is>
      </c>
      <c r="G906" s="2" t="inlineStr">
        <is>
          <t>S2-125</t>
        </is>
      </c>
      <c r="H906" s="3" t="inlineStr">
        <is>
          <t>Lưỡi cắt KingBlue ĐN S2-125 (New)</t>
        </is>
      </c>
      <c r="I906" s="4" t="n">
        <v>94000</v>
      </c>
      <c r="J906" s="4" t="n"/>
      <c r="K906" s="4">
        <f>IF(AND(ISNUMBER(J906),ISNUMBER(I906)),J906-I906,"")</f>
        <v/>
      </c>
      <c r="L906" s="5">
        <f>IF(AND(ISNUMBER(J906),ISNUMBER(I906),I906&gt;0),(J906-I906)/I906,"")</f>
        <v/>
      </c>
      <c r="M906" s="2">
        <f>IF(L906="","",IF(L906&lt;-0.05,"Bán phá giá",IF(L906&gt;0.05,"Bán cao hơn","Đúng giá niêm yết")))</f>
        <v/>
      </c>
      <c r="N906" s="2" t="n"/>
      <c r="O906" s="3" t="n"/>
      <c r="P906" s="3" t="n"/>
    </row>
    <row r="907">
      <c r="A907" s="2" t="n">
        <v>906</v>
      </c>
      <c r="B907" s="2" t="inlineStr">
        <is>
          <t>KH005</t>
        </is>
      </c>
      <c r="C907" s="3" t="inlineStr">
        <is>
          <t>ThinkSafe HCM</t>
        </is>
      </c>
      <c r="D907" s="2" t="inlineStr">
        <is>
          <t>HCM</t>
        </is>
      </c>
      <c r="E907" s="2" t="inlineStr">
        <is>
          <t>XUÂN TRANG</t>
        </is>
      </c>
      <c r="F907" s="2" t="inlineStr">
        <is>
          <t>Shopee</t>
        </is>
      </c>
      <c r="G907" s="2" t="inlineStr">
        <is>
          <t>E3-105DN</t>
        </is>
      </c>
      <c r="H907" s="3" t="inlineStr">
        <is>
          <t>Lưỡi cắt KingBlue E3-105DN</t>
        </is>
      </c>
      <c r="I907" s="4" t="n">
        <v>90000</v>
      </c>
      <c r="J907" s="4" t="n"/>
      <c r="K907" s="4">
        <f>IF(AND(ISNUMBER(J907),ISNUMBER(I907)),J907-I907,"")</f>
        <v/>
      </c>
      <c r="L907" s="5">
        <f>IF(AND(ISNUMBER(J907),ISNUMBER(I907),I907&gt;0),(J907-I907)/I907,"")</f>
        <v/>
      </c>
      <c r="M907" s="2">
        <f>IF(L907="","",IF(L907&lt;-0.05,"Bán phá giá",IF(L907&gt;0.05,"Bán cao hơn","Đúng giá niêm yết")))</f>
        <v/>
      </c>
      <c r="N907" s="2" t="n"/>
      <c r="O907" s="3" t="n"/>
      <c r="P907" s="3" t="n"/>
    </row>
    <row r="908">
      <c r="A908" s="2" t="n">
        <v>907</v>
      </c>
      <c r="B908" s="2" t="inlineStr">
        <is>
          <t>KH005</t>
        </is>
      </c>
      <c r="C908" s="3" t="inlineStr">
        <is>
          <t>ThinkSafe HCM</t>
        </is>
      </c>
      <c r="D908" s="2" t="inlineStr">
        <is>
          <t>HCM</t>
        </is>
      </c>
      <c r="E908" s="2" t="inlineStr">
        <is>
          <t>XUÂN TRANG</t>
        </is>
      </c>
      <c r="F908" s="2" t="inlineStr">
        <is>
          <t>Shopee</t>
        </is>
      </c>
      <c r="G908" s="2" t="inlineStr">
        <is>
          <t>E3-125DN</t>
        </is>
      </c>
      <c r="H908" s="3" t="inlineStr">
        <is>
          <t>Lưỡi cắt KingBlue E3-125DN</t>
        </is>
      </c>
      <c r="I908" s="4" t="n">
        <v>112000</v>
      </c>
      <c r="J908" s="4" t="n"/>
      <c r="K908" s="4">
        <f>IF(AND(ISNUMBER(J908),ISNUMBER(I908)),J908-I908,"")</f>
        <v/>
      </c>
      <c r="L908" s="5">
        <f>IF(AND(ISNUMBER(J908),ISNUMBER(I908),I908&gt;0),(J908-I908)/I908,"")</f>
        <v/>
      </c>
      <c r="M908" s="2">
        <f>IF(L908="","",IF(L908&lt;-0.05,"Bán phá giá",IF(L908&gt;0.05,"Bán cao hơn","Đúng giá niêm yết")))</f>
        <v/>
      </c>
      <c r="N908" s="2" t="n"/>
      <c r="O908" s="3" t="n"/>
      <c r="P908" s="3" t="n"/>
    </row>
    <row r="909">
      <c r="A909" s="2" t="n">
        <v>908</v>
      </c>
      <c r="B909" s="2" t="inlineStr">
        <is>
          <t>KH005</t>
        </is>
      </c>
      <c r="C909" s="3" t="inlineStr">
        <is>
          <t>ThinkSafe HCM</t>
        </is>
      </c>
      <c r="D909" s="2" t="inlineStr">
        <is>
          <t>HCM</t>
        </is>
      </c>
      <c r="E909" s="2" t="inlineStr">
        <is>
          <t>XUÂN TRANG</t>
        </is>
      </c>
      <c r="F909" s="2" t="inlineStr">
        <is>
          <t>Shopee</t>
        </is>
      </c>
      <c r="G909" s="2" t="inlineStr">
        <is>
          <t>F1</t>
        </is>
      </c>
      <c r="H909" s="3" t="inlineStr">
        <is>
          <t>Lưỡi cắt Kingblue F1 110DN (vàng)</t>
        </is>
      </c>
      <c r="I909" s="4" t="n">
        <v>123000</v>
      </c>
      <c r="J909" s="4" t="n"/>
      <c r="K909" s="4">
        <f>IF(AND(ISNUMBER(J909),ISNUMBER(I909)),J909-I909,"")</f>
        <v/>
      </c>
      <c r="L909" s="5">
        <f>IF(AND(ISNUMBER(J909),ISNUMBER(I909),I909&gt;0),(J909-I909)/I909,"")</f>
        <v/>
      </c>
      <c r="M909" s="2">
        <f>IF(L909="","",IF(L909&lt;-0.05,"Bán phá giá",IF(L909&gt;0.05,"Bán cao hơn","Đúng giá niêm yết")))</f>
        <v/>
      </c>
      <c r="N909" s="2" t="n"/>
      <c r="O909" s="3" t="n"/>
      <c r="P909" s="3" t="n"/>
    </row>
    <row r="910">
      <c r="A910" s="2" t="n">
        <v>909</v>
      </c>
      <c r="B910" s="2" t="inlineStr">
        <is>
          <t>KH005</t>
        </is>
      </c>
      <c r="C910" s="3" t="inlineStr">
        <is>
          <t>ThinkSafe HCM</t>
        </is>
      </c>
      <c r="D910" s="2" t="inlineStr">
        <is>
          <t>HCM</t>
        </is>
      </c>
      <c r="E910" s="2" t="inlineStr">
        <is>
          <t>XUÂN TRANG</t>
        </is>
      </c>
      <c r="F910" s="2" t="inlineStr">
        <is>
          <t>Shopee</t>
        </is>
      </c>
      <c r="G910" s="2" t="inlineStr">
        <is>
          <t>F1</t>
        </is>
      </c>
      <c r="H910" s="3" t="inlineStr">
        <is>
          <t>Lưỡi cắt Kingblue F1 150DN (vàng)</t>
        </is>
      </c>
      <c r="I910" s="4" t="n">
        <v>175000</v>
      </c>
      <c r="J910" s="4" t="n"/>
      <c r="K910" s="4">
        <f>IF(AND(ISNUMBER(J910),ISNUMBER(I910)),J910-I910,"")</f>
        <v/>
      </c>
      <c r="L910" s="5">
        <f>IF(AND(ISNUMBER(J910),ISNUMBER(I910),I910&gt;0),(J910-I910)/I910,"")</f>
        <v/>
      </c>
      <c r="M910" s="2">
        <f>IF(L910="","",IF(L910&lt;-0.05,"Bán phá giá",IF(L910&gt;0.05,"Bán cao hơn","Đúng giá niêm yết")))</f>
        <v/>
      </c>
      <c r="N910" s="2" t="n"/>
      <c r="O910" s="3" t="n"/>
      <c r="P910" s="3" t="n"/>
    </row>
    <row r="911">
      <c r="A911" s="2" t="n">
        <v>910</v>
      </c>
      <c r="B911" s="2" t="inlineStr">
        <is>
          <t>KH005</t>
        </is>
      </c>
      <c r="C911" s="3" t="inlineStr">
        <is>
          <t>ThinkSafe HCM</t>
        </is>
      </c>
      <c r="D911" s="2" t="inlineStr">
        <is>
          <t>HCM</t>
        </is>
      </c>
      <c r="E911" s="2" t="inlineStr">
        <is>
          <t>XUÂN TRANG</t>
        </is>
      </c>
      <c r="F911" s="2" t="inlineStr">
        <is>
          <t>Shopee</t>
        </is>
      </c>
      <c r="G911" s="2" t="inlineStr">
        <is>
          <t>F1-125DN</t>
        </is>
      </c>
      <c r="H911" s="3" t="inlineStr">
        <is>
          <t>Lưỡi cắt KingBlue F1-125DN (Vàng)</t>
        </is>
      </c>
      <c r="I911" s="4" t="n">
        <v>102000</v>
      </c>
      <c r="J911" s="4" t="n"/>
      <c r="K911" s="4">
        <f>IF(AND(ISNUMBER(J911),ISNUMBER(I911)),J911-I911,"")</f>
        <v/>
      </c>
      <c r="L911" s="5">
        <f>IF(AND(ISNUMBER(J911),ISNUMBER(I911),I911&gt;0),(J911-I911)/I911,"")</f>
        <v/>
      </c>
      <c r="M911" s="2">
        <f>IF(L911="","",IF(L911&lt;-0.05,"Bán phá giá",IF(L911&gt;0.05,"Bán cao hơn","Đúng giá niêm yết")))</f>
        <v/>
      </c>
      <c r="N911" s="2" t="n"/>
      <c r="O911" s="3" t="n"/>
      <c r="P911" s="3" t="n"/>
    </row>
    <row r="912">
      <c r="A912" s="2" t="n">
        <v>911</v>
      </c>
      <c r="B912" s="2" t="inlineStr">
        <is>
          <t>KH005</t>
        </is>
      </c>
      <c r="C912" s="3" t="inlineStr">
        <is>
          <t>ThinkSafe HCM</t>
        </is>
      </c>
      <c r="D912" s="2" t="inlineStr">
        <is>
          <t>HCM</t>
        </is>
      </c>
      <c r="E912" s="2" t="inlineStr">
        <is>
          <t>XUÂN TRANG</t>
        </is>
      </c>
      <c r="F912" s="2" t="inlineStr">
        <is>
          <t>Shopee</t>
        </is>
      </c>
      <c r="G912" s="2" t="inlineStr">
        <is>
          <t>S1-105DN</t>
        </is>
      </c>
      <c r="H912" s="3" t="inlineStr">
        <is>
          <t>Lưỡi cắt KingBlue S1-105DN</t>
        </is>
      </c>
      <c r="I912" s="4" t="n">
        <v>80000</v>
      </c>
      <c r="J912" s="4" t="n"/>
      <c r="K912" s="4">
        <f>IF(AND(ISNUMBER(J912),ISNUMBER(I912)),J912-I912,"")</f>
        <v/>
      </c>
      <c r="L912" s="5">
        <f>IF(AND(ISNUMBER(J912),ISNUMBER(I912),I912&gt;0),(J912-I912)/I912,"")</f>
        <v/>
      </c>
      <c r="M912" s="2">
        <f>IF(L912="","",IF(L912&lt;-0.05,"Bán phá giá",IF(L912&gt;0.05,"Bán cao hơn","Đúng giá niêm yết")))</f>
        <v/>
      </c>
      <c r="N912" s="2" t="n"/>
      <c r="O912" s="3" t="n"/>
      <c r="P912" s="3" t="n"/>
    </row>
    <row r="913">
      <c r="A913" s="2" t="n">
        <v>912</v>
      </c>
      <c r="B913" s="2" t="inlineStr">
        <is>
          <t>KH005</t>
        </is>
      </c>
      <c r="C913" s="3" t="inlineStr">
        <is>
          <t>ThinkSafe HCM</t>
        </is>
      </c>
      <c r="D913" s="2" t="inlineStr">
        <is>
          <t>HCM</t>
        </is>
      </c>
      <c r="E913" s="2" t="inlineStr">
        <is>
          <t>XUÂN TRANG</t>
        </is>
      </c>
      <c r="F913" s="2" t="inlineStr">
        <is>
          <t>Shopee</t>
        </is>
      </c>
      <c r="G913" s="2" t="inlineStr">
        <is>
          <t>S1-125DN</t>
        </is>
      </c>
      <c r="H913" s="3" t="inlineStr">
        <is>
          <t>Lưỡi cắt KingBlue S1-125DN</t>
        </is>
      </c>
      <c r="I913" s="4" t="n">
        <v>107000</v>
      </c>
      <c r="J913" s="4" t="n"/>
      <c r="K913" s="4">
        <f>IF(AND(ISNUMBER(J913),ISNUMBER(I913)),J913-I913,"")</f>
        <v/>
      </c>
      <c r="L913" s="5">
        <f>IF(AND(ISNUMBER(J913),ISNUMBER(I913),I913&gt;0),(J913-I913)/I913,"")</f>
        <v/>
      </c>
      <c r="M913" s="2">
        <f>IF(L913="","",IF(L913&lt;-0.05,"Bán phá giá",IF(L913&gt;0.05,"Bán cao hơn","Đúng giá niêm yết")))</f>
        <v/>
      </c>
      <c r="N913" s="2" t="n"/>
      <c r="O913" s="3" t="n"/>
      <c r="P913" s="3" t="n"/>
    </row>
    <row r="914">
      <c r="A914" s="2" t="n">
        <v>913</v>
      </c>
      <c r="B914" s="2" t="inlineStr">
        <is>
          <t>KH005</t>
        </is>
      </c>
      <c r="C914" s="3" t="inlineStr">
        <is>
          <t>ThinkSafe HCM</t>
        </is>
      </c>
      <c r="D914" s="2" t="inlineStr">
        <is>
          <t>HCM</t>
        </is>
      </c>
      <c r="E914" s="2" t="inlineStr">
        <is>
          <t>XUÂN TRANG</t>
        </is>
      </c>
      <c r="F914" s="2" t="inlineStr">
        <is>
          <t>Shopee</t>
        </is>
      </c>
      <c r="G914" s="2" t="inlineStr">
        <is>
          <t>S2</t>
        </is>
      </c>
      <c r="H914" s="3" t="inlineStr">
        <is>
          <t>Lưỡi cắt KingBlue S2 105DN</t>
        </is>
      </c>
      <c r="I914" s="4" t="n">
        <v>73000</v>
      </c>
      <c r="J914" s="4" t="n"/>
      <c r="K914" s="4">
        <f>IF(AND(ISNUMBER(J914),ISNUMBER(I914)),J914-I914,"")</f>
        <v/>
      </c>
      <c r="L914" s="5">
        <f>IF(AND(ISNUMBER(J914),ISNUMBER(I914),I914&gt;0),(J914-I914)/I914,"")</f>
        <v/>
      </c>
      <c r="M914" s="2">
        <f>IF(L914="","",IF(L914&lt;-0.05,"Bán phá giá",IF(L914&gt;0.05,"Bán cao hơn","Đúng giá niêm yết")))</f>
        <v/>
      </c>
      <c r="N914" s="2" t="n"/>
      <c r="O914" s="3" t="n"/>
      <c r="P914" s="3" t="n"/>
    </row>
    <row r="915">
      <c r="A915" s="2" t="n">
        <v>914</v>
      </c>
      <c r="B915" s="2" t="inlineStr">
        <is>
          <t>KH005</t>
        </is>
      </c>
      <c r="C915" s="3" t="inlineStr">
        <is>
          <t>ThinkSafe HCM</t>
        </is>
      </c>
      <c r="D915" s="2" t="inlineStr">
        <is>
          <t>HCM</t>
        </is>
      </c>
      <c r="E915" s="2" t="inlineStr">
        <is>
          <t>XUÂN TRANG</t>
        </is>
      </c>
      <c r="F915" s="2" t="inlineStr">
        <is>
          <t>Shopee</t>
        </is>
      </c>
      <c r="G915" s="2" t="inlineStr">
        <is>
          <t>S3</t>
        </is>
      </c>
      <c r="H915" s="3" t="inlineStr">
        <is>
          <t>Lưỡi cắt KingBlue S3 105DN (xanh dương) (NEW)</t>
        </is>
      </c>
      <c r="I915" s="4" t="n">
        <v>131000</v>
      </c>
      <c r="J915" s="4" t="n"/>
      <c r="K915" s="4">
        <f>IF(AND(ISNUMBER(J915),ISNUMBER(I915)),J915-I915,"")</f>
        <v/>
      </c>
      <c r="L915" s="5">
        <f>IF(AND(ISNUMBER(J915),ISNUMBER(I915),I915&gt;0),(J915-I915)/I915,"")</f>
        <v/>
      </c>
      <c r="M915" s="2">
        <f>IF(L915="","",IF(L915&lt;-0.05,"Bán phá giá",IF(L915&gt;0.05,"Bán cao hơn","Đúng giá niêm yết")))</f>
        <v/>
      </c>
      <c r="N915" s="2" t="n"/>
      <c r="O915" s="3" t="n"/>
      <c r="P915" s="3" t="n"/>
    </row>
    <row r="916">
      <c r="A916" s="2" t="n">
        <v>915</v>
      </c>
      <c r="B916" s="2" t="inlineStr">
        <is>
          <t>KH005</t>
        </is>
      </c>
      <c r="C916" s="3" t="inlineStr">
        <is>
          <t>ThinkSafe HCM</t>
        </is>
      </c>
      <c r="D916" s="2" t="inlineStr">
        <is>
          <t>HCM</t>
        </is>
      </c>
      <c r="E916" s="2" t="inlineStr">
        <is>
          <t>XUÂN TRANG</t>
        </is>
      </c>
      <c r="F916" s="2" t="inlineStr">
        <is>
          <t>Shopee</t>
        </is>
      </c>
      <c r="G916" s="2" t="inlineStr">
        <is>
          <t>S4-105DN</t>
        </is>
      </c>
      <c r="H916" s="3" t="inlineStr">
        <is>
          <t>Lưỡi cắt KingBlue S4-105DN</t>
        </is>
      </c>
      <c r="I916" s="4" t="n">
        <v>119000</v>
      </c>
      <c r="J916" s="4" t="n"/>
      <c r="K916" s="4">
        <f>IF(AND(ISNUMBER(J916),ISNUMBER(I916)),J916-I916,"")</f>
        <v/>
      </c>
      <c r="L916" s="5">
        <f>IF(AND(ISNUMBER(J916),ISNUMBER(I916),I916&gt;0),(J916-I916)/I916,"")</f>
        <v/>
      </c>
      <c r="M916" s="2">
        <f>IF(L916="","",IF(L916&lt;-0.05,"Bán phá giá",IF(L916&gt;0.05,"Bán cao hơn","Đúng giá niêm yết")))</f>
        <v/>
      </c>
      <c r="N916" s="2" t="n"/>
      <c r="O916" s="3" t="n"/>
      <c r="P916" s="3" t="n"/>
    </row>
    <row r="917">
      <c r="A917" s="2" t="n">
        <v>916</v>
      </c>
      <c r="B917" s="2" t="inlineStr">
        <is>
          <t>KH005</t>
        </is>
      </c>
      <c r="C917" s="3" t="inlineStr">
        <is>
          <t>ThinkSafe HCM</t>
        </is>
      </c>
      <c r="D917" s="2" t="inlineStr">
        <is>
          <t>HCM</t>
        </is>
      </c>
      <c r="E917" s="2" t="inlineStr">
        <is>
          <t>XUÂN TRANG</t>
        </is>
      </c>
      <c r="F917" s="2" t="inlineStr">
        <is>
          <t>Shopee</t>
        </is>
      </c>
      <c r="G917" s="2" t="inlineStr">
        <is>
          <t>S4-125DN</t>
        </is>
      </c>
      <c r="H917" s="3" t="inlineStr">
        <is>
          <t>Lưỡi cắt KingBlue S4-125DN</t>
        </is>
      </c>
      <c r="I917" s="4" t="n">
        <v>143000</v>
      </c>
      <c r="J917" s="4" t="n"/>
      <c r="K917" s="4">
        <f>IF(AND(ISNUMBER(J917),ISNUMBER(I917)),J917-I917,"")</f>
        <v/>
      </c>
      <c r="L917" s="5">
        <f>IF(AND(ISNUMBER(J917),ISNUMBER(I917),I917&gt;0),(J917-I917)/I917,"")</f>
        <v/>
      </c>
      <c r="M917" s="2">
        <f>IF(L917="","",IF(L917&lt;-0.05,"Bán phá giá",IF(L917&gt;0.05,"Bán cao hơn","Đúng giá niêm yết")))</f>
        <v/>
      </c>
      <c r="N917" s="2" t="n"/>
      <c r="O917" s="3" t="n"/>
      <c r="P917" s="3" t="n"/>
    </row>
    <row r="918">
      <c r="A918" s="2" t="n">
        <v>917</v>
      </c>
      <c r="B918" s="2" t="inlineStr">
        <is>
          <t>KH005</t>
        </is>
      </c>
      <c r="C918" s="3" t="inlineStr">
        <is>
          <t>ThinkSafe HCM</t>
        </is>
      </c>
      <c r="D918" s="2" t="inlineStr">
        <is>
          <t>HCM</t>
        </is>
      </c>
      <c r="E918" s="2" t="inlineStr">
        <is>
          <t>XUÂN TRANG</t>
        </is>
      </c>
      <c r="F918" s="2" t="inlineStr">
        <is>
          <t>Shopee</t>
        </is>
      </c>
      <c r="G918" s="2" t="inlineStr">
        <is>
          <t>T1-114L</t>
        </is>
      </c>
      <c r="H918" s="3" t="inlineStr">
        <is>
          <t>Lưỡi cắt Kingblue T1-114L</t>
        </is>
      </c>
      <c r="I918" s="4" t="n">
        <v>58000</v>
      </c>
      <c r="J918" s="4" t="n"/>
      <c r="K918" s="4">
        <f>IF(AND(ISNUMBER(J918),ISNUMBER(I918)),J918-I918,"")</f>
        <v/>
      </c>
      <c r="L918" s="5">
        <f>IF(AND(ISNUMBER(J918),ISNUMBER(I918),I918&gt;0),(J918-I918)/I918,"")</f>
        <v/>
      </c>
      <c r="M918" s="2">
        <f>IF(L918="","",IF(L918&lt;-0.05,"Bán phá giá",IF(L918&gt;0.05,"Bán cao hơn","Đúng giá niêm yết")))</f>
        <v/>
      </c>
      <c r="N918" s="2" t="n"/>
      <c r="O918" s="3" t="n"/>
      <c r="P918" s="3" t="n"/>
    </row>
    <row r="919">
      <c r="A919" s="2" t="n">
        <v>918</v>
      </c>
      <c r="B919" s="2" t="inlineStr">
        <is>
          <t>KH005</t>
        </is>
      </c>
      <c r="C919" s="3" t="inlineStr">
        <is>
          <t>ThinkSafe HCM</t>
        </is>
      </c>
      <c r="D919" s="2" t="inlineStr">
        <is>
          <t>HCM</t>
        </is>
      </c>
      <c r="E919" s="2" t="inlineStr">
        <is>
          <t>XUÂN TRANG</t>
        </is>
      </c>
      <c r="F919" s="2" t="inlineStr">
        <is>
          <t>Shopee</t>
        </is>
      </c>
      <c r="G919" s="2" t="inlineStr">
        <is>
          <t>T1-114R</t>
        </is>
      </c>
      <c r="H919" s="3" t="inlineStr">
        <is>
          <t>Lưỡi cắt Kingblue T1-114R</t>
        </is>
      </c>
      <c r="I919" s="4" t="n">
        <v>74000</v>
      </c>
      <c r="J919" s="4" t="n"/>
      <c r="K919" s="4">
        <f>IF(AND(ISNUMBER(J919),ISNUMBER(I919)),J919-I919,"")</f>
        <v/>
      </c>
      <c r="L919" s="5">
        <f>IF(AND(ISNUMBER(J919),ISNUMBER(I919),I919&gt;0),(J919-I919)/I919,"")</f>
        <v/>
      </c>
      <c r="M919" s="2">
        <f>IF(L919="","",IF(L919&lt;-0.05,"Bán phá giá",IF(L919&gt;0.05,"Bán cao hơn","Đúng giá niêm yết")))</f>
        <v/>
      </c>
      <c r="N919" s="2" t="n"/>
      <c r="O919" s="3" t="n"/>
      <c r="P919" s="3" t="n"/>
    </row>
    <row r="920">
      <c r="A920" s="2" t="n">
        <v>919</v>
      </c>
      <c r="B920" s="2" t="inlineStr">
        <is>
          <t>KH005</t>
        </is>
      </c>
      <c r="C920" s="3" t="inlineStr">
        <is>
          <t>ThinkSafe HCM</t>
        </is>
      </c>
      <c r="D920" s="2" t="inlineStr">
        <is>
          <t>HCM</t>
        </is>
      </c>
      <c r="E920" s="2" t="inlineStr">
        <is>
          <t>XUÂN TRANG</t>
        </is>
      </c>
      <c r="F920" s="2" t="inlineStr">
        <is>
          <t>Shopee</t>
        </is>
      </c>
      <c r="G920" s="2" t="inlineStr">
        <is>
          <t>V1</t>
        </is>
      </c>
      <c r="H920" s="3" t="inlineStr">
        <is>
          <t>Lưỡi cắt KingBlue V1 110ĐN</t>
        </is>
      </c>
      <c r="I920" s="4" t="n">
        <v>78000</v>
      </c>
      <c r="J920" s="4" t="n"/>
      <c r="K920" s="4">
        <f>IF(AND(ISNUMBER(J920),ISNUMBER(I920)),J920-I920,"")</f>
        <v/>
      </c>
      <c r="L920" s="5">
        <f>IF(AND(ISNUMBER(J920),ISNUMBER(I920),I920&gt;0),(J920-I920)/I920,"")</f>
        <v/>
      </c>
      <c r="M920" s="2">
        <f>IF(L920="","",IF(L920&lt;-0.05,"Bán phá giá",IF(L920&gt;0.05,"Bán cao hơn","Đúng giá niêm yết")))</f>
        <v/>
      </c>
      <c r="N920" s="2" t="n"/>
      <c r="O920" s="3" t="n"/>
      <c r="P920" s="3" t="n"/>
    </row>
    <row r="921">
      <c r="A921" s="2" t="n">
        <v>920</v>
      </c>
      <c r="B921" s="2" t="inlineStr">
        <is>
          <t>KH005</t>
        </is>
      </c>
      <c r="C921" s="3" t="inlineStr">
        <is>
          <t>ThinkSafe HCM</t>
        </is>
      </c>
      <c r="D921" s="2" t="inlineStr">
        <is>
          <t>HCM</t>
        </is>
      </c>
      <c r="E921" s="2" t="inlineStr">
        <is>
          <t>XUÂN TRANG</t>
        </is>
      </c>
      <c r="F921" s="2" t="inlineStr">
        <is>
          <t>Shopee</t>
        </is>
      </c>
      <c r="G921" s="2" t="inlineStr">
        <is>
          <t>V2-110DN</t>
        </is>
      </c>
      <c r="H921" s="3" t="inlineStr">
        <is>
          <t>Lưỡi cắt Kingblue V2-110DN (NEW)</t>
        </is>
      </c>
      <c r="I921" s="4" t="n">
        <v>81000</v>
      </c>
      <c r="J921" s="4" t="n"/>
      <c r="K921" s="4">
        <f>IF(AND(ISNUMBER(J921),ISNUMBER(I921)),J921-I921,"")</f>
        <v/>
      </c>
      <c r="L921" s="5">
        <f>IF(AND(ISNUMBER(J921),ISNUMBER(I921),I921&gt;0),(J921-I921)/I921,"")</f>
        <v/>
      </c>
      <c r="M921" s="2">
        <f>IF(L921="","",IF(L921&lt;-0.05,"Bán phá giá",IF(L921&gt;0.05,"Bán cao hơn","Đúng giá niêm yết")))</f>
        <v/>
      </c>
      <c r="N921" s="2" t="n"/>
      <c r="O921" s="3" t="n"/>
      <c r="P921" s="3" t="n"/>
    </row>
    <row r="922">
      <c r="A922" s="2" t="n">
        <v>921</v>
      </c>
      <c r="B922" s="2" t="inlineStr">
        <is>
          <t>KH005</t>
        </is>
      </c>
      <c r="C922" s="3" t="inlineStr">
        <is>
          <t>ThinkSafe HCM</t>
        </is>
      </c>
      <c r="D922" s="2" t="inlineStr">
        <is>
          <t>HCM</t>
        </is>
      </c>
      <c r="E922" s="2" t="inlineStr">
        <is>
          <t>XUÂN TRANG</t>
        </is>
      </c>
      <c r="F922" s="2" t="inlineStr">
        <is>
          <t>Shopee</t>
        </is>
      </c>
      <c r="G922" s="2" t="inlineStr">
        <is>
          <t>V3-110DN</t>
        </is>
      </c>
      <c r="H922" s="3" t="inlineStr">
        <is>
          <t>Lưỡi cắt KingBlue V3-110DN (NEW)</t>
        </is>
      </c>
      <c r="I922" s="4" t="n">
        <v>133000</v>
      </c>
      <c r="J922" s="4" t="n"/>
      <c r="K922" s="4">
        <f>IF(AND(ISNUMBER(J922),ISNUMBER(I922)),J922-I922,"")</f>
        <v/>
      </c>
      <c r="L922" s="5">
        <f>IF(AND(ISNUMBER(J922),ISNUMBER(I922),I922&gt;0),(J922-I922)/I922,"")</f>
        <v/>
      </c>
      <c r="M922" s="2">
        <f>IF(L922="","",IF(L922&lt;-0.05,"Bán phá giá",IF(L922&gt;0.05,"Bán cao hơn","Đúng giá niêm yết")))</f>
        <v/>
      </c>
      <c r="N922" s="2" t="n"/>
      <c r="O922" s="3" t="n"/>
      <c r="P922" s="3" t="n"/>
    </row>
    <row r="923">
      <c r="A923" s="2" t="n">
        <v>922</v>
      </c>
      <c r="B923" s="2" t="inlineStr">
        <is>
          <t>KH005</t>
        </is>
      </c>
      <c r="C923" s="3" t="inlineStr">
        <is>
          <t>ThinkSafe HCM</t>
        </is>
      </c>
      <c r="D923" s="2" t="inlineStr">
        <is>
          <t>HCM</t>
        </is>
      </c>
      <c r="E923" s="2" t="inlineStr">
        <is>
          <t>XUÂN TRANG</t>
        </is>
      </c>
      <c r="F923" s="2" t="inlineStr">
        <is>
          <t>Shopee</t>
        </is>
      </c>
      <c r="G923" s="2" t="inlineStr">
        <is>
          <t>V3-125ĐN</t>
        </is>
      </c>
      <c r="H923" s="3" t="inlineStr">
        <is>
          <t>Lưỡi cắt KingBlue V3-125ĐN</t>
        </is>
      </c>
      <c r="I923" s="4" t="n">
        <v>145000</v>
      </c>
      <c r="J923" s="4" t="n"/>
      <c r="K923" s="4">
        <f>IF(AND(ISNUMBER(J923),ISNUMBER(I923)),J923-I923,"")</f>
        <v/>
      </c>
      <c r="L923" s="5">
        <f>IF(AND(ISNUMBER(J923),ISNUMBER(I923),I923&gt;0),(J923-I923)/I923,"")</f>
        <v/>
      </c>
      <c r="M923" s="2">
        <f>IF(L923="","",IF(L923&lt;-0.05,"Bán phá giá",IF(L923&gt;0.05,"Bán cao hơn","Đúng giá niêm yết")))</f>
        <v/>
      </c>
      <c r="N923" s="2" t="n"/>
      <c r="O923" s="3" t="n"/>
      <c r="P923" s="3" t="n"/>
    </row>
    <row r="924">
      <c r="A924" s="2" t="n">
        <v>923</v>
      </c>
      <c r="B924" s="2" t="inlineStr">
        <is>
          <t>KH005</t>
        </is>
      </c>
      <c r="C924" s="3" t="inlineStr">
        <is>
          <t>ThinkSafe HCM</t>
        </is>
      </c>
      <c r="D924" s="2" t="inlineStr">
        <is>
          <t>HCM</t>
        </is>
      </c>
      <c r="E924" s="2" t="inlineStr">
        <is>
          <t>XUÂN TRANG</t>
        </is>
      </c>
      <c r="F924" s="2" t="inlineStr">
        <is>
          <t>Shopee</t>
        </is>
      </c>
      <c r="G924" s="2" t="inlineStr">
        <is>
          <t>V3-150ĐN</t>
        </is>
      </c>
      <c r="H924" s="3" t="inlineStr">
        <is>
          <t>Lưỡi cắt KingBlue V3-150ĐN</t>
        </is>
      </c>
      <c r="I924" s="4" t="n">
        <v>184000</v>
      </c>
      <c r="J924" s="4" t="n"/>
      <c r="K924" s="4">
        <f>IF(AND(ISNUMBER(J924),ISNUMBER(I924)),J924-I924,"")</f>
        <v/>
      </c>
      <c r="L924" s="5">
        <f>IF(AND(ISNUMBER(J924),ISNUMBER(I924),I924&gt;0),(J924-I924)/I924,"")</f>
        <v/>
      </c>
      <c r="M924" s="2">
        <f>IF(L924="","",IF(L924&lt;-0.05,"Bán phá giá",IF(L924&gt;0.05,"Bán cao hơn","Đúng giá niêm yết")))</f>
        <v/>
      </c>
      <c r="N924" s="2" t="n"/>
      <c r="O924" s="3" t="n"/>
      <c r="P924" s="3" t="n"/>
    </row>
    <row r="925">
      <c r="A925" s="2" t="n">
        <v>924</v>
      </c>
      <c r="B925" s="2" t="inlineStr">
        <is>
          <t>KH005</t>
        </is>
      </c>
      <c r="C925" s="3" t="inlineStr">
        <is>
          <t>ThinkSafe HCM</t>
        </is>
      </c>
      <c r="D925" s="2" t="inlineStr">
        <is>
          <t>HCM</t>
        </is>
      </c>
      <c r="E925" s="2" t="inlineStr">
        <is>
          <t>XUÂN TRANG</t>
        </is>
      </c>
      <c r="F925" s="2" t="inlineStr">
        <is>
          <t>Shopee</t>
        </is>
      </c>
      <c r="G925" s="2" t="inlineStr">
        <is>
          <t>V3-180ĐN</t>
        </is>
      </c>
      <c r="H925" s="3" t="inlineStr">
        <is>
          <t>Lưỡi cắt KingBlue V3-180ĐN</t>
        </is>
      </c>
      <c r="I925" s="4" t="n">
        <v>182000</v>
      </c>
      <c r="J925" s="4" t="n"/>
      <c r="K925" s="4">
        <f>IF(AND(ISNUMBER(J925),ISNUMBER(I925)),J925-I925,"")</f>
        <v/>
      </c>
      <c r="L925" s="5">
        <f>IF(AND(ISNUMBER(J925),ISNUMBER(I925),I925&gt;0),(J925-I925)/I925,"")</f>
        <v/>
      </c>
      <c r="M925" s="2">
        <f>IF(L925="","",IF(L925&lt;-0.05,"Bán phá giá",IF(L925&gt;0.05,"Bán cao hơn","Đúng giá niêm yết")))</f>
        <v/>
      </c>
      <c r="N925" s="2" t="n"/>
      <c r="O925" s="3" t="n"/>
      <c r="P925" s="3" t="n"/>
    </row>
    <row r="926">
      <c r="A926" s="2" t="n">
        <v>925</v>
      </c>
      <c r="B926" s="2" t="inlineStr">
        <is>
          <t>KH005</t>
        </is>
      </c>
      <c r="C926" s="3" t="inlineStr">
        <is>
          <t>ThinkSafe HCM</t>
        </is>
      </c>
      <c r="D926" s="2" t="inlineStr">
        <is>
          <t>HCM</t>
        </is>
      </c>
      <c r="E926" s="2" t="inlineStr">
        <is>
          <t>XUÂN TRANG</t>
        </is>
      </c>
      <c r="F926" s="2" t="inlineStr">
        <is>
          <t>Shopee</t>
        </is>
      </c>
      <c r="G926" s="2" t="inlineStr">
        <is>
          <t>V3-230ĐN</t>
        </is>
      </c>
      <c r="H926" s="3" t="inlineStr">
        <is>
          <t>Lưỡi cắt KingBlue V3-230ĐN</t>
        </is>
      </c>
      <c r="I926" s="4" t="n">
        <v>256000</v>
      </c>
      <c r="J926" s="4" t="n"/>
      <c r="K926" s="4">
        <f>IF(AND(ISNUMBER(J926),ISNUMBER(I926)),J926-I926,"")</f>
        <v/>
      </c>
      <c r="L926" s="5">
        <f>IF(AND(ISNUMBER(J926),ISNUMBER(I926),I926&gt;0),(J926-I926)/I926,"")</f>
        <v/>
      </c>
      <c r="M926" s="2">
        <f>IF(L926="","",IF(L926&lt;-0.05,"Bán phá giá",IF(L926&gt;0.05,"Bán cao hơn","Đúng giá niêm yết")))</f>
        <v/>
      </c>
      <c r="N926" s="2" t="n"/>
      <c r="O926" s="3" t="n"/>
      <c r="P926" s="3" t="n"/>
    </row>
    <row r="927">
      <c r="A927" s="2" t="n">
        <v>926</v>
      </c>
      <c r="B927" s="2" t="inlineStr">
        <is>
          <t>KH005</t>
        </is>
      </c>
      <c r="C927" s="3" t="inlineStr">
        <is>
          <t>ThinkSafe HCM</t>
        </is>
      </c>
      <c r="D927" s="2" t="inlineStr">
        <is>
          <t>HCM</t>
        </is>
      </c>
      <c r="E927" s="2" t="inlineStr">
        <is>
          <t>XUÂN TRANG</t>
        </is>
      </c>
      <c r="F927" s="2" t="inlineStr">
        <is>
          <t>Shopee</t>
        </is>
      </c>
      <c r="G927" s="2" t="inlineStr">
        <is>
          <t>K1-150*20*32T</t>
        </is>
      </c>
      <c r="H927" s="3" t="inlineStr">
        <is>
          <t>Lưỡi cưa hợp kim KingBlue K1-150*20*32T</t>
        </is>
      </c>
      <c r="I927" s="4" t="n">
        <v>298000</v>
      </c>
      <c r="J927" s="4" t="n"/>
      <c r="K927" s="4">
        <f>IF(AND(ISNUMBER(J927),ISNUMBER(I927)),J927-I927,"")</f>
        <v/>
      </c>
      <c r="L927" s="5">
        <f>IF(AND(ISNUMBER(J927),ISNUMBER(I927),I927&gt;0),(J927-I927)/I927,"")</f>
        <v/>
      </c>
      <c r="M927" s="2">
        <f>IF(L927="","",IF(L927&lt;-0.05,"Bán phá giá",IF(L927&gt;0.05,"Bán cao hơn","Đúng giá niêm yết")))</f>
        <v/>
      </c>
      <c r="N927" s="2" t="n"/>
      <c r="O927" s="3" t="n"/>
      <c r="P927" s="3" t="n"/>
    </row>
    <row r="928">
      <c r="A928" s="2" t="n">
        <v>927</v>
      </c>
      <c r="B928" s="2" t="inlineStr">
        <is>
          <t>KH005</t>
        </is>
      </c>
      <c r="C928" s="3" t="inlineStr">
        <is>
          <t>ThinkSafe HCM</t>
        </is>
      </c>
      <c r="D928" s="2" t="inlineStr">
        <is>
          <t>HCM</t>
        </is>
      </c>
      <c r="E928" s="2" t="inlineStr">
        <is>
          <t>XUÂN TRANG</t>
        </is>
      </c>
      <c r="F928" s="2" t="inlineStr">
        <is>
          <t>Shopee</t>
        </is>
      </c>
      <c r="G928" s="2" t="inlineStr">
        <is>
          <t>K1-185x32T</t>
        </is>
      </c>
      <c r="H928" s="3" t="inlineStr">
        <is>
          <t>Lưỡi cưa kim loại KingBlue K1-185x32T (Cưa sắt)</t>
        </is>
      </c>
      <c r="I928" s="4" t="n">
        <v>328000</v>
      </c>
      <c r="J928" s="4" t="n"/>
      <c r="K928" s="4">
        <f>IF(AND(ISNUMBER(J928),ISNUMBER(I928)),J928-I928,"")</f>
        <v/>
      </c>
      <c r="L928" s="5">
        <f>IF(AND(ISNUMBER(J928),ISNUMBER(I928),I928&gt;0),(J928-I928)/I928,"")</f>
        <v/>
      </c>
      <c r="M928" s="2">
        <f>IF(L928="","",IF(L928&lt;-0.05,"Bán phá giá",IF(L928&gt;0.05,"Bán cao hơn","Đúng giá niêm yết")))</f>
        <v/>
      </c>
      <c r="N928" s="2" t="n"/>
      <c r="O928" s="3" t="n"/>
      <c r="P928" s="3" t="n"/>
    </row>
    <row r="929">
      <c r="A929" s="2" t="n">
        <v>928</v>
      </c>
      <c r="B929" s="2" t="inlineStr">
        <is>
          <t>KH005</t>
        </is>
      </c>
      <c r="C929" s="3" t="inlineStr">
        <is>
          <t>ThinkSafe HCM</t>
        </is>
      </c>
      <c r="D929" s="2" t="inlineStr">
        <is>
          <t>HCM</t>
        </is>
      </c>
      <c r="E929" s="2" t="inlineStr">
        <is>
          <t>XUÂN TRANG</t>
        </is>
      </c>
      <c r="F929" s="2" t="inlineStr">
        <is>
          <t>Shopee</t>
        </is>
      </c>
      <c r="G929" s="2" t="inlineStr">
        <is>
          <t>KB-LE350</t>
        </is>
      </c>
      <c r="H929" s="3" t="inlineStr">
        <is>
          <t>Lưỡi Cưa KingBlue KB-LE350</t>
        </is>
      </c>
      <c r="I929" s="4" t="n">
        <v>179000</v>
      </c>
      <c r="J929" s="4" t="n"/>
      <c r="K929" s="4">
        <f>IF(AND(ISNUMBER(J929),ISNUMBER(I929)),J929-I929,"")</f>
        <v/>
      </c>
      <c r="L929" s="5">
        <f>IF(AND(ISNUMBER(J929),ISNUMBER(I929),I929&gt;0),(J929-I929)/I929,"")</f>
        <v/>
      </c>
      <c r="M929" s="2">
        <f>IF(L929="","",IF(L929&lt;-0.05,"Bán phá giá",IF(L929&gt;0.05,"Bán cao hơn","Đúng giá niêm yết")))</f>
        <v/>
      </c>
      <c r="N929" s="2" t="n"/>
      <c r="O929" s="3" t="n"/>
      <c r="P929" s="3" t="n"/>
    </row>
    <row r="930">
      <c r="A930" s="2" t="n">
        <v>929</v>
      </c>
      <c r="B930" s="2" t="inlineStr">
        <is>
          <t>KH005</t>
        </is>
      </c>
      <c r="C930" s="3" t="inlineStr">
        <is>
          <t>ThinkSafe HCM</t>
        </is>
      </c>
      <c r="D930" s="2" t="inlineStr">
        <is>
          <t>HCM</t>
        </is>
      </c>
      <c r="E930" s="2" t="inlineStr">
        <is>
          <t>XUÂN TRANG</t>
        </is>
      </c>
      <c r="F930" s="2" t="inlineStr">
        <is>
          <t>Shopee</t>
        </is>
      </c>
      <c r="G930" s="2" t="inlineStr">
        <is>
          <t>X1-110x40T</t>
        </is>
      </c>
      <c r="H930" s="3" t="inlineStr">
        <is>
          <t>Lưỡi cưa KingBlue X1-110x40T (Cưa gỗ)</t>
        </is>
      </c>
      <c r="I930" s="4" t="n">
        <v>107000</v>
      </c>
      <c r="J930" s="4" t="n"/>
      <c r="K930" s="4">
        <f>IF(AND(ISNUMBER(J930),ISNUMBER(I930)),J930-I930,"")</f>
        <v/>
      </c>
      <c r="L930" s="5">
        <f>IF(AND(ISNUMBER(J930),ISNUMBER(I930),I930&gt;0),(J930-I930)/I930,"")</f>
        <v/>
      </c>
      <c r="M930" s="2">
        <f>IF(L930="","",IF(L930&lt;-0.05,"Bán phá giá",IF(L930&gt;0.05,"Bán cao hơn","Đúng giá niêm yết")))</f>
        <v/>
      </c>
      <c r="N930" s="2" t="n"/>
      <c r="O930" s="3" t="n"/>
      <c r="P930" s="3" t="n"/>
    </row>
    <row r="931">
      <c r="A931" s="2" t="n">
        <v>930</v>
      </c>
      <c r="B931" s="2" t="inlineStr">
        <is>
          <t>KH005</t>
        </is>
      </c>
      <c r="C931" s="3" t="inlineStr">
        <is>
          <t>ThinkSafe HCM</t>
        </is>
      </c>
      <c r="D931" s="2" t="inlineStr">
        <is>
          <t>HCM</t>
        </is>
      </c>
      <c r="E931" s="2" t="inlineStr">
        <is>
          <t>XUÂN TRANG</t>
        </is>
      </c>
      <c r="F931" s="2" t="inlineStr">
        <is>
          <t>Shopee</t>
        </is>
      </c>
      <c r="G931" s="2" t="inlineStr">
        <is>
          <t>XS-110x30T</t>
        </is>
      </c>
      <c r="H931" s="3" t="inlineStr">
        <is>
          <t>Lưỡi cưa Kingblue XS-110x30T (Cưa gỗ)-NEW</t>
        </is>
      </c>
      <c r="I931" s="4" t="n">
        <v>60000</v>
      </c>
      <c r="J931" s="4" t="n"/>
      <c r="K931" s="4">
        <f>IF(AND(ISNUMBER(J931),ISNUMBER(I931)),J931-I931,"")</f>
        <v/>
      </c>
      <c r="L931" s="5">
        <f>IF(AND(ISNUMBER(J931),ISNUMBER(I931),I931&gt;0),(J931-I931)/I931,"")</f>
        <v/>
      </c>
      <c r="M931" s="2">
        <f>IF(L931="","",IF(L931&lt;-0.05,"Bán phá giá",IF(L931&gt;0.05,"Bán cao hơn","Đúng giá niêm yết")))</f>
        <v/>
      </c>
      <c r="N931" s="2" t="n"/>
      <c r="O931" s="3" t="n"/>
      <c r="P931" s="3" t="n"/>
    </row>
    <row r="932">
      <c r="A932" s="2" t="n">
        <v>931</v>
      </c>
      <c r="B932" s="2" t="inlineStr">
        <is>
          <t>KH005</t>
        </is>
      </c>
      <c r="C932" s="3" t="inlineStr">
        <is>
          <t>ThinkSafe HCM</t>
        </is>
      </c>
      <c r="D932" s="2" t="inlineStr">
        <is>
          <t>HCM</t>
        </is>
      </c>
      <c r="E932" s="2" t="inlineStr">
        <is>
          <t>XUÂN TRANG</t>
        </is>
      </c>
      <c r="F932" s="2" t="inlineStr">
        <is>
          <t>Shopee</t>
        </is>
      </c>
      <c r="G932" s="2" t="inlineStr">
        <is>
          <t>JH-06</t>
        </is>
      </c>
      <c r="H932" s="3" t="inlineStr">
        <is>
          <t>Lưỡi dao rọc cáp đa năng JH-06</t>
        </is>
      </c>
      <c r="I932" s="4" t="n">
        <v>400000</v>
      </c>
      <c r="J932" s="4" t="n"/>
      <c r="K932" s="4">
        <f>IF(AND(ISNUMBER(J932),ISNUMBER(I932)),J932-I932,"")</f>
        <v/>
      </c>
      <c r="L932" s="5">
        <f>IF(AND(ISNUMBER(J932),ISNUMBER(I932),I932&gt;0),(J932-I932)/I932,"")</f>
        <v/>
      </c>
      <c r="M932" s="2">
        <f>IF(L932="","",IF(L932&lt;-0.05,"Bán phá giá",IF(L932&gt;0.05,"Bán cao hơn","Đúng giá niêm yết")))</f>
        <v/>
      </c>
      <c r="N932" s="2" t="n"/>
      <c r="O932" s="3" t="n"/>
      <c r="P932" s="3" t="n"/>
    </row>
    <row r="933">
      <c r="A933" s="2" t="n">
        <v>932</v>
      </c>
      <c r="B933" s="2" t="inlineStr">
        <is>
          <t>KH005</t>
        </is>
      </c>
      <c r="C933" s="3" t="inlineStr">
        <is>
          <t>ThinkSafe HCM</t>
        </is>
      </c>
      <c r="D933" s="2" t="inlineStr">
        <is>
          <t>HCM</t>
        </is>
      </c>
      <c r="E933" s="2" t="inlineStr">
        <is>
          <t>XUÂN TRANG</t>
        </is>
      </c>
      <c r="F933" s="2" t="inlineStr">
        <is>
          <t>Shopee</t>
        </is>
      </c>
      <c r="G933" s="2" t="inlineStr">
        <is>
          <t>JH-59</t>
        </is>
      </c>
      <c r="H933" s="3" t="inlineStr">
        <is>
          <t>Lưỡi dao rọc giấy JH-59</t>
        </is>
      </c>
      <c r="I933" s="4" t="n">
        <v>20400</v>
      </c>
      <c r="J933" s="4" t="n"/>
      <c r="K933" s="4">
        <f>IF(AND(ISNUMBER(J933),ISNUMBER(I933)),J933-I933,"")</f>
        <v/>
      </c>
      <c r="L933" s="5">
        <f>IF(AND(ISNUMBER(J933),ISNUMBER(I933),I933&gt;0),(J933-I933)/I933,"")</f>
        <v/>
      </c>
      <c r="M933" s="2">
        <f>IF(L933="","",IF(L933&lt;-0.05,"Bán phá giá",IF(L933&gt;0.05,"Bán cao hơn","Đúng giá niêm yết")))</f>
        <v/>
      </c>
      <c r="N933" s="2" t="n"/>
      <c r="O933" s="3" t="n"/>
      <c r="P933" s="3" t="n"/>
    </row>
    <row r="934">
      <c r="A934" s="2" t="n">
        <v>933</v>
      </c>
      <c r="B934" s="2" t="inlineStr">
        <is>
          <t>KH005</t>
        </is>
      </c>
      <c r="C934" s="3" t="inlineStr">
        <is>
          <t>ThinkSafe HCM</t>
        </is>
      </c>
      <c r="D934" s="2" t="inlineStr">
        <is>
          <t>HCM</t>
        </is>
      </c>
      <c r="E934" s="2" t="inlineStr">
        <is>
          <t>XUÂN TRANG</t>
        </is>
      </c>
      <c r="F934" s="2" t="inlineStr">
        <is>
          <t>Shopee</t>
        </is>
      </c>
      <c r="G934" s="2" t="inlineStr">
        <is>
          <t>KB-02XS</t>
        </is>
      </c>
      <c r="H934" s="3" t="inlineStr">
        <is>
          <t>Máy cân bằng KB-02XS</t>
        </is>
      </c>
      <c r="I934" s="4" t="n">
        <v>950000</v>
      </c>
      <c r="J934" s="4" t="n"/>
      <c r="K934" s="4">
        <f>IF(AND(ISNUMBER(J934),ISNUMBER(I934)),J934-I934,"")</f>
        <v/>
      </c>
      <c r="L934" s="5">
        <f>IF(AND(ISNUMBER(J934),ISNUMBER(I934),I934&gt;0),(J934-I934)/I934,"")</f>
        <v/>
      </c>
      <c r="M934" s="2">
        <f>IF(L934="","",IF(L934&lt;-0.05,"Bán phá giá",IF(L934&gt;0.05,"Bán cao hơn","Đúng giá niêm yết")))</f>
        <v/>
      </c>
      <c r="N934" s="2" t="n"/>
      <c r="O934" s="3" t="n"/>
      <c r="P934" s="3" t="n"/>
    </row>
    <row r="935">
      <c r="A935" s="2" t="n">
        <v>934</v>
      </c>
      <c r="B935" s="2" t="inlineStr">
        <is>
          <t>KH005</t>
        </is>
      </c>
      <c r="C935" s="3" t="inlineStr">
        <is>
          <t>ThinkSafe HCM</t>
        </is>
      </c>
      <c r="D935" s="2" t="inlineStr">
        <is>
          <t>HCM</t>
        </is>
      </c>
      <c r="E935" s="2" t="inlineStr">
        <is>
          <t>XUÂN TRANG</t>
        </is>
      </c>
      <c r="F935" s="2" t="inlineStr">
        <is>
          <t>Shopee</t>
        </is>
      </c>
      <c r="G935" s="2" t="inlineStr">
        <is>
          <t>KB-05XS</t>
        </is>
      </c>
      <c r="H935" s="3" t="inlineStr">
        <is>
          <t>Máy cân bằng KB-05XS</t>
        </is>
      </c>
      <c r="I935" s="4" t="n">
        <v>2160000</v>
      </c>
      <c r="J935" s="4" t="n"/>
      <c r="K935" s="4">
        <f>IF(AND(ISNUMBER(J935),ISNUMBER(I935)),J935-I935,"")</f>
        <v/>
      </c>
      <c r="L935" s="5">
        <f>IF(AND(ISNUMBER(J935),ISNUMBER(I935),I935&gt;0),(J935-I935)/I935,"")</f>
        <v/>
      </c>
      <c r="M935" s="2">
        <f>IF(L935="","",IF(L935&lt;-0.05,"Bán phá giá",IF(L935&gt;0.05,"Bán cao hơn","Đúng giá niêm yết")))</f>
        <v/>
      </c>
      <c r="N935" s="2" t="n"/>
      <c r="O935" s="3" t="n"/>
      <c r="P935" s="3" t="n"/>
    </row>
    <row r="936">
      <c r="A936" s="2" t="n">
        <v>935</v>
      </c>
      <c r="B936" s="2" t="inlineStr">
        <is>
          <t>KH005</t>
        </is>
      </c>
      <c r="C936" s="3" t="inlineStr">
        <is>
          <t>ThinkSafe HCM</t>
        </is>
      </c>
      <c r="D936" s="2" t="inlineStr">
        <is>
          <t>HCM</t>
        </is>
      </c>
      <c r="E936" s="2" t="inlineStr">
        <is>
          <t>XUÂN TRANG</t>
        </is>
      </c>
      <c r="F936" s="2" t="inlineStr">
        <is>
          <t>Shopee</t>
        </is>
      </c>
      <c r="G936" s="2" t="inlineStr">
        <is>
          <t>KUC60</t>
        </is>
      </c>
      <c r="H936" s="3" t="inlineStr">
        <is>
          <t>Mỏ hàn thiếc KUC60</t>
        </is>
      </c>
      <c r="I936" s="4" t="n">
        <v>172000</v>
      </c>
      <c r="J936" s="4" t="n"/>
      <c r="K936" s="4">
        <f>IF(AND(ISNUMBER(J936),ISNUMBER(I936)),J936-I936,"")</f>
        <v/>
      </c>
      <c r="L936" s="5">
        <f>IF(AND(ISNUMBER(J936),ISNUMBER(I936),I936&gt;0),(J936-I936)/I936,"")</f>
        <v/>
      </c>
      <c r="M936" s="2">
        <f>IF(L936="","",IF(L936&lt;-0.05,"Bán phá giá",IF(L936&gt;0.05,"Bán cao hơn","Đúng giá niêm yết")))</f>
        <v/>
      </c>
      <c r="N936" s="2" t="n"/>
      <c r="O936" s="3" t="n"/>
      <c r="P936" s="3" t="n"/>
    </row>
    <row r="937">
      <c r="A937" s="2" t="n">
        <v>936</v>
      </c>
      <c r="B937" s="2" t="inlineStr">
        <is>
          <t>KH005</t>
        </is>
      </c>
      <c r="C937" s="3" t="inlineStr">
        <is>
          <t>ThinkSafe HCM</t>
        </is>
      </c>
      <c r="D937" s="2" t="inlineStr">
        <is>
          <t>HCM</t>
        </is>
      </c>
      <c r="E937" s="2" t="inlineStr">
        <is>
          <t>XUÂN TRANG</t>
        </is>
      </c>
      <c r="F937" s="2" t="inlineStr">
        <is>
          <t>Shopee</t>
        </is>
      </c>
      <c r="G937" s="2" t="inlineStr">
        <is>
          <t>KUC80</t>
        </is>
      </c>
      <c r="H937" s="3" t="inlineStr">
        <is>
          <t>Mỏ hàn thiếc KUC80</t>
        </is>
      </c>
      <c r="I937" s="4" t="n">
        <v>182000</v>
      </c>
      <c r="J937" s="4" t="n"/>
      <c r="K937" s="4">
        <f>IF(AND(ISNUMBER(J937),ISNUMBER(I937)),J937-I937,"")</f>
        <v/>
      </c>
      <c r="L937" s="5">
        <f>IF(AND(ISNUMBER(J937),ISNUMBER(I937),I937&gt;0),(J937-I937)/I937,"")</f>
        <v/>
      </c>
      <c r="M937" s="2">
        <f>IF(L937="","",IF(L937&lt;-0.05,"Bán phá giá",IF(L937&gt;0.05,"Bán cao hơn","Đúng giá niêm yết")))</f>
        <v/>
      </c>
      <c r="N937" s="2" t="n"/>
      <c r="O937" s="3" t="n"/>
      <c r="P937" s="3" t="n"/>
    </row>
    <row r="938">
      <c r="A938" s="2" t="n">
        <v>937</v>
      </c>
      <c r="B938" s="2" t="inlineStr">
        <is>
          <t>KH005</t>
        </is>
      </c>
      <c r="C938" s="3" t="inlineStr">
        <is>
          <t>ThinkSafe HCM</t>
        </is>
      </c>
      <c r="D938" s="2" t="inlineStr">
        <is>
          <t>HCM</t>
        </is>
      </c>
      <c r="E938" s="2" t="inlineStr">
        <is>
          <t>XUÂN TRANG</t>
        </is>
      </c>
      <c r="F938" s="2" t="inlineStr">
        <is>
          <t>Shopee</t>
        </is>
      </c>
      <c r="G938" s="2" t="inlineStr">
        <is>
          <t>KD1-200</t>
        </is>
      </c>
      <c r="H938" s="3" t="inlineStr">
        <is>
          <t>Mỏ lết KD1-200</t>
        </is>
      </c>
      <c r="I938" s="4" t="n">
        <v>98000</v>
      </c>
      <c r="J938" s="4" t="n"/>
      <c r="K938" s="4">
        <f>IF(AND(ISNUMBER(J938),ISNUMBER(I938)),J938-I938,"")</f>
        <v/>
      </c>
      <c r="L938" s="5">
        <f>IF(AND(ISNUMBER(J938),ISNUMBER(I938),I938&gt;0),(J938-I938)/I938,"")</f>
        <v/>
      </c>
      <c r="M938" s="2">
        <f>IF(L938="","",IF(L938&lt;-0.05,"Bán phá giá",IF(L938&gt;0.05,"Bán cao hơn","Đúng giá niêm yết")))</f>
        <v/>
      </c>
      <c r="N938" s="2" t="n"/>
      <c r="O938" s="3" t="n"/>
      <c r="P938" s="3" t="n"/>
    </row>
    <row r="939">
      <c r="A939" s="2" t="n">
        <v>938</v>
      </c>
      <c r="B939" s="2" t="inlineStr">
        <is>
          <t>KH005</t>
        </is>
      </c>
      <c r="C939" s="3" t="inlineStr">
        <is>
          <t>ThinkSafe HCM</t>
        </is>
      </c>
      <c r="D939" s="2" t="inlineStr">
        <is>
          <t>HCM</t>
        </is>
      </c>
      <c r="E939" s="2" t="inlineStr">
        <is>
          <t>XUÂN TRANG</t>
        </is>
      </c>
      <c r="F939" s="2" t="inlineStr">
        <is>
          <t>Shopee</t>
        </is>
      </c>
      <c r="G939" s="2" t="inlineStr">
        <is>
          <t>KD5-150</t>
        </is>
      </c>
      <c r="H939" s="3" t="inlineStr">
        <is>
          <t>Mỏ lết KD5-150</t>
        </is>
      </c>
      <c r="I939" s="4" t="n">
        <v>186000</v>
      </c>
      <c r="J939" s="4" t="n"/>
      <c r="K939" s="4">
        <f>IF(AND(ISNUMBER(J939),ISNUMBER(I939)),J939-I939,"")</f>
        <v/>
      </c>
      <c r="L939" s="5">
        <f>IF(AND(ISNUMBER(J939),ISNUMBER(I939),I939&gt;0),(J939-I939)/I939,"")</f>
        <v/>
      </c>
      <c r="M939" s="2">
        <f>IF(L939="","",IF(L939&lt;-0.05,"Bán phá giá",IF(L939&gt;0.05,"Bán cao hơn","Đúng giá niêm yết")))</f>
        <v/>
      </c>
      <c r="N939" s="2" t="n"/>
      <c r="O939" s="3" t="n"/>
      <c r="P939" s="3" t="n"/>
    </row>
    <row r="940">
      <c r="A940" s="2" t="n">
        <v>939</v>
      </c>
      <c r="B940" s="2" t="inlineStr">
        <is>
          <t>KH005</t>
        </is>
      </c>
      <c r="C940" s="3" t="inlineStr">
        <is>
          <t>ThinkSafe HCM</t>
        </is>
      </c>
      <c r="D940" s="2" t="inlineStr">
        <is>
          <t>HCM</t>
        </is>
      </c>
      <c r="E940" s="2" t="inlineStr">
        <is>
          <t>XUÂN TRANG</t>
        </is>
      </c>
      <c r="F940" s="2" t="inlineStr">
        <is>
          <t>Shopee</t>
        </is>
      </c>
      <c r="G940" s="2" t="inlineStr">
        <is>
          <t>KD5-200</t>
        </is>
      </c>
      <c r="H940" s="3" t="inlineStr">
        <is>
          <t>Mỏ lết KD5-200</t>
        </is>
      </c>
      <c r="I940" s="4" t="n">
        <v>241000</v>
      </c>
      <c r="J940" s="4" t="n"/>
      <c r="K940" s="4">
        <f>IF(AND(ISNUMBER(J940),ISNUMBER(I940)),J940-I940,"")</f>
        <v/>
      </c>
      <c r="L940" s="5">
        <f>IF(AND(ISNUMBER(J940),ISNUMBER(I940),I940&gt;0),(J940-I940)/I940,"")</f>
        <v/>
      </c>
      <c r="M940" s="2">
        <f>IF(L940="","",IF(L940&lt;-0.05,"Bán phá giá",IF(L940&gt;0.05,"Bán cao hơn","Đúng giá niêm yết")))</f>
        <v/>
      </c>
      <c r="N940" s="2" t="n"/>
      <c r="O940" s="3" t="n"/>
      <c r="P940" s="3" t="n"/>
    </row>
    <row r="941">
      <c r="A941" s="2" t="n">
        <v>940</v>
      </c>
      <c r="B941" s="2" t="inlineStr">
        <is>
          <t>KH005</t>
        </is>
      </c>
      <c r="C941" s="3" t="inlineStr">
        <is>
          <t>ThinkSafe HCM</t>
        </is>
      </c>
      <c r="D941" s="2" t="inlineStr">
        <is>
          <t>HCM</t>
        </is>
      </c>
      <c r="E941" s="2" t="inlineStr">
        <is>
          <t>XUÂN TRANG</t>
        </is>
      </c>
      <c r="F941" s="2" t="inlineStr">
        <is>
          <t>Shopee</t>
        </is>
      </c>
      <c r="G941" s="2" t="inlineStr">
        <is>
          <t>KD5-250</t>
        </is>
      </c>
      <c r="H941" s="3" t="inlineStr">
        <is>
          <t>Mỏ lết KD5-250</t>
        </is>
      </c>
      <c r="I941" s="4" t="n">
        <v>364000</v>
      </c>
      <c r="J941" s="4" t="n"/>
      <c r="K941" s="4">
        <f>IF(AND(ISNUMBER(J941),ISNUMBER(I941)),J941-I941,"")</f>
        <v/>
      </c>
      <c r="L941" s="5">
        <f>IF(AND(ISNUMBER(J941),ISNUMBER(I941),I941&gt;0),(J941-I941)/I941,"")</f>
        <v/>
      </c>
      <c r="M941" s="2">
        <f>IF(L941="","",IF(L941&lt;-0.05,"Bán phá giá",IF(L941&gt;0.05,"Bán cao hơn","Đúng giá niêm yết")))</f>
        <v/>
      </c>
      <c r="N941" s="2" t="n"/>
      <c r="O941" s="3" t="n"/>
      <c r="P941" s="3" t="n"/>
    </row>
    <row r="942">
      <c r="A942" s="2" t="n">
        <v>941</v>
      </c>
      <c r="B942" s="2" t="inlineStr">
        <is>
          <t>KH005</t>
        </is>
      </c>
      <c r="C942" s="3" t="inlineStr">
        <is>
          <t>ThinkSafe HCM</t>
        </is>
      </c>
      <c r="D942" s="2" t="inlineStr">
        <is>
          <t>HCM</t>
        </is>
      </c>
      <c r="E942" s="2" t="inlineStr">
        <is>
          <t>XUÂN TRANG</t>
        </is>
      </c>
      <c r="F942" s="2" t="inlineStr">
        <is>
          <t>Shopee</t>
        </is>
      </c>
      <c r="G942" s="2" t="inlineStr">
        <is>
          <t>KD5-300</t>
        </is>
      </c>
      <c r="H942" s="3" t="inlineStr">
        <is>
          <t>Mỏ lết KD5-300</t>
        </is>
      </c>
      <c r="I942" s="4" t="n">
        <v>516000</v>
      </c>
      <c r="J942" s="4" t="n"/>
      <c r="K942" s="4">
        <f>IF(AND(ISNUMBER(J942),ISNUMBER(I942)),J942-I942,"")</f>
        <v/>
      </c>
      <c r="L942" s="5">
        <f>IF(AND(ISNUMBER(J942),ISNUMBER(I942),I942&gt;0),(J942-I942)/I942,"")</f>
        <v/>
      </c>
      <c r="M942" s="2">
        <f>IF(L942="","",IF(L942&lt;-0.05,"Bán phá giá",IF(L942&gt;0.05,"Bán cao hơn","Đúng giá niêm yết")))</f>
        <v/>
      </c>
      <c r="N942" s="2" t="n"/>
      <c r="O942" s="3" t="n"/>
      <c r="P942" s="3" t="n"/>
    </row>
    <row r="943">
      <c r="A943" s="2" t="n">
        <v>942</v>
      </c>
      <c r="B943" s="2" t="inlineStr">
        <is>
          <t>KH005</t>
        </is>
      </c>
      <c r="C943" s="3" t="inlineStr">
        <is>
          <t>ThinkSafe HCM</t>
        </is>
      </c>
      <c r="D943" s="2" t="inlineStr">
        <is>
          <t>HCM</t>
        </is>
      </c>
      <c r="E943" s="2" t="inlineStr">
        <is>
          <t>XUÂN TRANG</t>
        </is>
      </c>
      <c r="F943" s="2" t="inlineStr">
        <is>
          <t>Shopee</t>
        </is>
      </c>
      <c r="G943" s="2" t="inlineStr">
        <is>
          <t>KW-300</t>
        </is>
      </c>
      <c r="H943" s="3" t="inlineStr">
        <is>
          <t>Mỏ lết răng KW-300</t>
        </is>
      </c>
      <c r="I943" s="4" t="n">
        <v>176000</v>
      </c>
      <c r="J943" s="4" t="n"/>
      <c r="K943" s="4">
        <f>IF(AND(ISNUMBER(J943),ISNUMBER(I943)),J943-I943,"")</f>
        <v/>
      </c>
      <c r="L943" s="5">
        <f>IF(AND(ISNUMBER(J943),ISNUMBER(I943),I943&gt;0),(J943-I943)/I943,"")</f>
        <v/>
      </c>
      <c r="M943" s="2">
        <f>IF(L943="","",IF(L943&lt;-0.05,"Bán phá giá",IF(L943&gt;0.05,"Bán cao hơn","Đúng giá niêm yết")))</f>
        <v/>
      </c>
      <c r="N943" s="2" t="n"/>
      <c r="O943" s="3" t="n"/>
      <c r="P943" s="3" t="n"/>
    </row>
    <row r="944">
      <c r="A944" s="2" t="n">
        <v>943</v>
      </c>
      <c r="B944" s="2" t="inlineStr">
        <is>
          <t>KH005</t>
        </is>
      </c>
      <c r="C944" s="3" t="inlineStr">
        <is>
          <t>ThinkSafe HCM</t>
        </is>
      </c>
      <c r="D944" s="2" t="inlineStr">
        <is>
          <t>HCM</t>
        </is>
      </c>
      <c r="E944" s="2" t="inlineStr">
        <is>
          <t>XUÂN TRANG</t>
        </is>
      </c>
      <c r="F944" s="2" t="inlineStr">
        <is>
          <t>Shopee</t>
        </is>
      </c>
      <c r="G944" s="2" t="inlineStr">
        <is>
          <t>KW-350</t>
        </is>
      </c>
      <c r="H944" s="3" t="inlineStr">
        <is>
          <t>Mỏ lết răng KW-350</t>
        </is>
      </c>
      <c r="I944" s="4" t="n">
        <v>198000</v>
      </c>
      <c r="J944" s="4" t="n"/>
      <c r="K944" s="4">
        <f>IF(AND(ISNUMBER(J944),ISNUMBER(I944)),J944-I944,"")</f>
        <v/>
      </c>
      <c r="L944" s="5">
        <f>IF(AND(ISNUMBER(J944),ISNUMBER(I944),I944&gt;0),(J944-I944)/I944,"")</f>
        <v/>
      </c>
      <c r="M944" s="2">
        <f>IF(L944="","",IF(L944&lt;-0.05,"Bán phá giá",IF(L944&gt;0.05,"Bán cao hơn","Đúng giá niêm yết")))</f>
        <v/>
      </c>
      <c r="N944" s="2" t="n"/>
      <c r="O944" s="3" t="n"/>
      <c r="P944" s="3" t="n"/>
    </row>
    <row r="945">
      <c r="A945" s="2" t="n">
        <v>944</v>
      </c>
      <c r="B945" s="2" t="inlineStr">
        <is>
          <t>KH005</t>
        </is>
      </c>
      <c r="C945" s="3" t="inlineStr">
        <is>
          <t>ThinkSafe HCM</t>
        </is>
      </c>
      <c r="D945" s="2" t="inlineStr">
        <is>
          <t>HCM</t>
        </is>
      </c>
      <c r="E945" s="2" t="inlineStr">
        <is>
          <t>XUÂN TRANG</t>
        </is>
      </c>
      <c r="F945" s="2" t="inlineStr">
        <is>
          <t>Shopee</t>
        </is>
      </c>
      <c r="G945" s="2" t="inlineStr">
        <is>
          <t>KW-450</t>
        </is>
      </c>
      <c r="H945" s="3" t="inlineStr">
        <is>
          <t>Mỏ lết răng KW-450</t>
        </is>
      </c>
      <c r="I945" s="4" t="n">
        <v>281000</v>
      </c>
      <c r="J945" s="4" t="n"/>
      <c r="K945" s="4">
        <f>IF(AND(ISNUMBER(J945),ISNUMBER(I945)),J945-I945,"")</f>
        <v/>
      </c>
      <c r="L945" s="5">
        <f>IF(AND(ISNUMBER(J945),ISNUMBER(I945),I945&gt;0),(J945-I945)/I945,"")</f>
        <v/>
      </c>
      <c r="M945" s="2">
        <f>IF(L945="","",IF(L945&lt;-0.05,"Bán phá giá",IF(L945&gt;0.05,"Bán cao hơn","Đúng giá niêm yết")))</f>
        <v/>
      </c>
      <c r="N945" s="2" t="n"/>
      <c r="O945" s="3" t="n"/>
      <c r="P945" s="3" t="n"/>
    </row>
    <row r="946">
      <c r="A946" s="2" t="n">
        <v>945</v>
      </c>
      <c r="B946" s="2" t="inlineStr">
        <is>
          <t>KH005</t>
        </is>
      </c>
      <c r="C946" s="3" t="inlineStr">
        <is>
          <t>ThinkSafe HCM</t>
        </is>
      </c>
      <c r="D946" s="2" t="inlineStr">
        <is>
          <t>HCM</t>
        </is>
      </c>
      <c r="E946" s="2" t="inlineStr">
        <is>
          <t>XUÂN TRANG</t>
        </is>
      </c>
      <c r="F946" s="2" t="inlineStr">
        <is>
          <t>Shopee</t>
        </is>
      </c>
      <c r="G946" s="2" t="inlineStr">
        <is>
          <t>KW-600</t>
        </is>
      </c>
      <c r="H946" s="3" t="inlineStr">
        <is>
          <t>Mỏ lết răng KW-600</t>
        </is>
      </c>
      <c r="I946" s="4" t="n">
        <v>440000</v>
      </c>
      <c r="J946" s="4" t="n"/>
      <c r="K946" s="4">
        <f>IF(AND(ISNUMBER(J946),ISNUMBER(I946)),J946-I946,"")</f>
        <v/>
      </c>
      <c r="L946" s="5">
        <f>IF(AND(ISNUMBER(J946),ISNUMBER(I946),I946&gt;0),(J946-I946)/I946,"")</f>
        <v/>
      </c>
      <c r="M946" s="2">
        <f>IF(L946="","",IF(L946&lt;-0.05,"Bán phá giá",IF(L946&gt;0.05,"Bán cao hơn","Đúng giá niêm yết")))</f>
        <v/>
      </c>
      <c r="N946" s="2" t="n"/>
      <c r="O946" s="3" t="n"/>
      <c r="P946" s="3" t="n"/>
    </row>
    <row r="947">
      <c r="A947" s="2" t="n">
        <v>946</v>
      </c>
      <c r="B947" s="2" t="inlineStr">
        <is>
          <t>KH005</t>
        </is>
      </c>
      <c r="C947" s="3" t="inlineStr">
        <is>
          <t>ThinkSafe HCM</t>
        </is>
      </c>
      <c r="D947" s="2" t="inlineStr">
        <is>
          <t>HCM</t>
        </is>
      </c>
      <c r="E947" s="2" t="inlineStr">
        <is>
          <t>XUÂN TRANG</t>
        </is>
      </c>
      <c r="F947" s="2" t="inlineStr">
        <is>
          <t>Shopee</t>
        </is>
      </c>
      <c r="G947" s="2" t="inlineStr">
        <is>
          <t>V100R</t>
        </is>
      </c>
      <c r="H947" s="3" t="inlineStr">
        <is>
          <t>Mũi bắn vít chống trượt KingBlue V100R</t>
        </is>
      </c>
      <c r="I947" s="4" t="n">
        <v>42000</v>
      </c>
      <c r="J947" s="4" t="n"/>
      <c r="K947" s="4">
        <f>IF(AND(ISNUMBER(J947),ISNUMBER(I947)),J947-I947,"")</f>
        <v/>
      </c>
      <c r="L947" s="5">
        <f>IF(AND(ISNUMBER(J947),ISNUMBER(I947),I947&gt;0),(J947-I947)/I947,"")</f>
        <v/>
      </c>
      <c r="M947" s="2">
        <f>IF(L947="","",IF(L947&lt;-0.05,"Bán phá giá",IF(L947&gt;0.05,"Bán cao hơn","Đúng giá niêm yết")))</f>
        <v/>
      </c>
      <c r="N947" s="2" t="n"/>
      <c r="O947" s="3" t="n"/>
      <c r="P947" s="3" t="n"/>
    </row>
    <row r="948">
      <c r="A948" s="2" t="n">
        <v>947</v>
      </c>
      <c r="B948" s="2" t="inlineStr">
        <is>
          <t>KH005</t>
        </is>
      </c>
      <c r="C948" s="3" t="inlineStr">
        <is>
          <t>ThinkSafe HCM</t>
        </is>
      </c>
      <c r="D948" s="2" t="inlineStr">
        <is>
          <t>HCM</t>
        </is>
      </c>
      <c r="E948" s="2" t="inlineStr">
        <is>
          <t>XUÂN TRANG</t>
        </is>
      </c>
      <c r="F948" s="2" t="inlineStr">
        <is>
          <t>Shopee</t>
        </is>
      </c>
      <c r="G948" s="2" t="inlineStr">
        <is>
          <t>V150R</t>
        </is>
      </c>
      <c r="H948" s="3" t="inlineStr">
        <is>
          <t>Mũi bắn vít chống trượt KingBlue V150R</t>
        </is>
      </c>
      <c r="I948" s="4" t="n">
        <v>40000</v>
      </c>
      <c r="J948" s="4" t="n"/>
      <c r="K948" s="4">
        <f>IF(AND(ISNUMBER(J948),ISNUMBER(I948)),J948-I948,"")</f>
        <v/>
      </c>
      <c r="L948" s="5">
        <f>IF(AND(ISNUMBER(J948),ISNUMBER(I948),I948&gt;0),(J948-I948)/I948,"")</f>
        <v/>
      </c>
      <c r="M948" s="2">
        <f>IF(L948="","",IF(L948&lt;-0.05,"Bán phá giá",IF(L948&gt;0.05,"Bán cao hơn","Đúng giá niêm yết")))</f>
        <v/>
      </c>
      <c r="N948" s="2" t="n"/>
      <c r="O948" s="3" t="n"/>
      <c r="P948" s="3" t="n"/>
    </row>
    <row r="949">
      <c r="A949" s="2" t="n">
        <v>948</v>
      </c>
      <c r="B949" s="2" t="inlineStr">
        <is>
          <t>KH005</t>
        </is>
      </c>
      <c r="C949" s="3" t="inlineStr">
        <is>
          <t>ThinkSafe HCM</t>
        </is>
      </c>
      <c r="D949" s="2" t="inlineStr">
        <is>
          <t>HCM</t>
        </is>
      </c>
      <c r="E949" s="2" t="inlineStr">
        <is>
          <t>XUÂN TRANG</t>
        </is>
      </c>
      <c r="F949" s="2" t="inlineStr">
        <is>
          <t>Shopee</t>
        </is>
      </c>
      <c r="G949" s="2" t="inlineStr">
        <is>
          <t>V65R</t>
        </is>
      </c>
      <c r="H949" s="3" t="inlineStr">
        <is>
          <t>Mũi bắn vít chống trượt KingBlue V65R</t>
        </is>
      </c>
      <c r="I949" s="4" t="n">
        <v>31000</v>
      </c>
      <c r="J949" s="4" t="n"/>
      <c r="K949" s="4">
        <f>IF(AND(ISNUMBER(J949),ISNUMBER(I949)),J949-I949,"")</f>
        <v/>
      </c>
      <c r="L949" s="5">
        <f>IF(AND(ISNUMBER(J949),ISNUMBER(I949),I949&gt;0),(J949-I949)/I949,"")</f>
        <v/>
      </c>
      <c r="M949" s="2">
        <f>IF(L949="","",IF(L949&lt;-0.05,"Bán phá giá",IF(L949&gt;0.05,"Bán cao hơn","Đúng giá niêm yết")))</f>
        <v/>
      </c>
      <c r="N949" s="2" t="n"/>
      <c r="O949" s="3" t="n"/>
      <c r="P949" s="3" t="n"/>
    </row>
    <row r="950">
      <c r="A950" s="2" t="n">
        <v>949</v>
      </c>
      <c r="B950" s="2" t="inlineStr">
        <is>
          <t>KH005</t>
        </is>
      </c>
      <c r="C950" s="3" t="inlineStr">
        <is>
          <t>ThinkSafe HCM</t>
        </is>
      </c>
      <c r="D950" s="2" t="inlineStr">
        <is>
          <t>HCM</t>
        </is>
      </c>
      <c r="E950" s="2" t="inlineStr">
        <is>
          <t>XUÂN TRANG</t>
        </is>
      </c>
      <c r="F950" s="2" t="inlineStr">
        <is>
          <t>Shopee</t>
        </is>
      </c>
      <c r="G950" s="2" t="inlineStr">
        <is>
          <t>V100S</t>
        </is>
      </c>
      <c r="H950" s="3" t="inlineStr">
        <is>
          <t>Mũi bắn vít PH2 V100S</t>
        </is>
      </c>
      <c r="I950" s="4" t="n">
        <v>69000</v>
      </c>
      <c r="J950" s="4" t="n"/>
      <c r="K950" s="4">
        <f>IF(AND(ISNUMBER(J950),ISNUMBER(I950)),J950-I950,"")</f>
        <v/>
      </c>
      <c r="L950" s="5">
        <f>IF(AND(ISNUMBER(J950),ISNUMBER(I950),I950&gt;0),(J950-I950)/I950,"")</f>
        <v/>
      </c>
      <c r="M950" s="2">
        <f>IF(L950="","",IF(L950&lt;-0.05,"Bán phá giá",IF(L950&gt;0.05,"Bán cao hơn","Đúng giá niêm yết")))</f>
        <v/>
      </c>
      <c r="N950" s="2" t="n"/>
      <c r="O950" s="3" t="n"/>
      <c r="P950" s="3" t="n"/>
    </row>
    <row r="951">
      <c r="A951" s="2" t="n">
        <v>950</v>
      </c>
      <c r="B951" s="2" t="inlineStr">
        <is>
          <t>KH005</t>
        </is>
      </c>
      <c r="C951" s="3" t="inlineStr">
        <is>
          <t>ThinkSafe HCM</t>
        </is>
      </c>
      <c r="D951" s="2" t="inlineStr">
        <is>
          <t>HCM</t>
        </is>
      </c>
      <c r="E951" s="2" t="inlineStr">
        <is>
          <t>XUÂN TRANG</t>
        </is>
      </c>
      <c r="F951" s="2" t="inlineStr">
        <is>
          <t>Shopee</t>
        </is>
      </c>
      <c r="G951" s="2" t="inlineStr">
        <is>
          <t>V50S</t>
        </is>
      </c>
      <c r="H951" s="3" t="inlineStr">
        <is>
          <t>Mũi bắn vít PH2 V50S</t>
        </is>
      </c>
      <c r="I951" s="4" t="n">
        <v>28000</v>
      </c>
      <c r="J951" s="4" t="n"/>
      <c r="K951" s="4">
        <f>IF(AND(ISNUMBER(J951),ISNUMBER(I951)),J951-I951,"")</f>
        <v/>
      </c>
      <c r="L951" s="5">
        <f>IF(AND(ISNUMBER(J951),ISNUMBER(I951),I951&gt;0),(J951-I951)/I951,"")</f>
        <v/>
      </c>
      <c r="M951" s="2">
        <f>IF(L951="","",IF(L951&lt;-0.05,"Bán phá giá",IF(L951&gt;0.05,"Bán cao hơn","Đúng giá niêm yết")))</f>
        <v/>
      </c>
      <c r="N951" s="2" t="n"/>
      <c r="O951" s="3" t="n"/>
      <c r="P951" s="3" t="n"/>
    </row>
    <row r="952">
      <c r="A952" s="2" t="n">
        <v>951</v>
      </c>
      <c r="B952" s="2" t="inlineStr">
        <is>
          <t>KH005</t>
        </is>
      </c>
      <c r="C952" s="3" t="inlineStr">
        <is>
          <t>ThinkSafe HCM</t>
        </is>
      </c>
      <c r="D952" s="2" t="inlineStr">
        <is>
          <t>HCM</t>
        </is>
      </c>
      <c r="E952" s="2" t="inlineStr">
        <is>
          <t>XUÂN TRANG</t>
        </is>
      </c>
      <c r="F952" s="2" t="inlineStr">
        <is>
          <t>Shopee</t>
        </is>
      </c>
      <c r="G952" s="2" t="inlineStr"/>
      <c r="H952" s="3" t="inlineStr">
        <is>
          <t>Mũi định tâm</t>
        </is>
      </c>
      <c r="I952" s="4" t="n">
        <v>100000</v>
      </c>
      <c r="J952" s="4" t="n"/>
      <c r="K952" s="4">
        <f>IF(AND(ISNUMBER(J952),ISNUMBER(I952)),J952-I952,"")</f>
        <v/>
      </c>
      <c r="L952" s="5">
        <f>IF(AND(ISNUMBER(J952),ISNUMBER(I952),I952&gt;0),(J952-I952)/I952,"")</f>
        <v/>
      </c>
      <c r="M952" s="2">
        <f>IF(L952="","",IF(L952&lt;-0.05,"Bán phá giá",IF(L952&gt;0.05,"Bán cao hơn","Đúng giá niêm yết")))</f>
        <v/>
      </c>
      <c r="N952" s="2" t="n"/>
      <c r="O952" s="3" t="n"/>
      <c r="P952" s="3" t="n"/>
    </row>
    <row r="953">
      <c r="A953" s="2" t="n">
        <v>952</v>
      </c>
      <c r="B953" s="2" t="inlineStr">
        <is>
          <t>KH005</t>
        </is>
      </c>
      <c r="C953" s="3" t="inlineStr">
        <is>
          <t>ThinkSafe HCM</t>
        </is>
      </c>
      <c r="D953" s="2" t="inlineStr">
        <is>
          <t>HCM</t>
        </is>
      </c>
      <c r="E953" s="2" t="inlineStr">
        <is>
          <t>XUÂN TRANG</t>
        </is>
      </c>
      <c r="F953" s="2" t="inlineStr">
        <is>
          <t>Shopee</t>
        </is>
      </c>
      <c r="G953" s="2" t="inlineStr"/>
      <c r="H953" s="3" t="inlineStr">
        <is>
          <t>Mũi định tâm chuôi dài</t>
        </is>
      </c>
      <c r="I953" s="4" t="n">
        <v>100000</v>
      </c>
      <c r="J953" s="4" t="n"/>
      <c r="K953" s="4">
        <f>IF(AND(ISNUMBER(J953),ISNUMBER(I953)),J953-I953,"")</f>
        <v/>
      </c>
      <c r="L953" s="5">
        <f>IF(AND(ISNUMBER(J953),ISNUMBER(I953),I953&gt;0),(J953-I953)/I953,"")</f>
        <v/>
      </c>
      <c r="M953" s="2">
        <f>IF(L953="","",IF(L953&lt;-0.05,"Bán phá giá",IF(L953&gt;0.05,"Bán cao hơn","Đúng giá niêm yết")))</f>
        <v/>
      </c>
      <c r="N953" s="2" t="n"/>
      <c r="O953" s="3" t="n"/>
      <c r="P953" s="3" t="n"/>
    </row>
    <row r="954">
      <c r="A954" s="2" t="n">
        <v>953</v>
      </c>
      <c r="B954" s="2" t="inlineStr">
        <is>
          <t>KH005</t>
        </is>
      </c>
      <c r="C954" s="3" t="inlineStr">
        <is>
          <t>ThinkSafe HCM</t>
        </is>
      </c>
      <c r="D954" s="2" t="inlineStr">
        <is>
          <t>HCM</t>
        </is>
      </c>
      <c r="E954" s="2" t="inlineStr">
        <is>
          <t>XUÂN TRANG</t>
        </is>
      </c>
      <c r="F954" s="2" t="inlineStr">
        <is>
          <t>Shopee</t>
        </is>
      </c>
      <c r="G954" s="2" t="inlineStr"/>
      <c r="H954" s="3" t="inlineStr">
        <is>
          <t>Mũi định tâm chuôi ngắn kẹp</t>
        </is>
      </c>
      <c r="I954" s="4" t="n"/>
      <c r="J954" s="4" t="n"/>
      <c r="K954" s="4">
        <f>IF(AND(ISNUMBER(J954),ISNUMBER(I954)),J954-I954,"")</f>
        <v/>
      </c>
      <c r="L954" s="5">
        <f>IF(AND(ISNUMBER(J954),ISNUMBER(I954),I954&gt;0),(J954-I954)/I954,"")</f>
        <v/>
      </c>
      <c r="M954" s="2">
        <f>IF(L954="","",IF(L954&lt;-0.05,"Bán phá giá",IF(L954&gt;0.05,"Bán cao hơn","Đúng giá niêm yết")))</f>
        <v/>
      </c>
      <c r="N954" s="2" t="n"/>
      <c r="O954" s="3" t="n"/>
      <c r="P954" s="3" t="n"/>
    </row>
    <row r="955">
      <c r="A955" s="2" t="n">
        <v>954</v>
      </c>
      <c r="B955" s="2" t="inlineStr">
        <is>
          <t>KH005</t>
        </is>
      </c>
      <c r="C955" s="3" t="inlineStr">
        <is>
          <t>ThinkSafe HCM</t>
        </is>
      </c>
      <c r="D955" s="2" t="inlineStr">
        <is>
          <t>HCM</t>
        </is>
      </c>
      <c r="E955" s="2" t="inlineStr">
        <is>
          <t>XUÂN TRANG</t>
        </is>
      </c>
      <c r="F955" s="2" t="inlineStr">
        <is>
          <t>Shopee</t>
        </is>
      </c>
      <c r="G955" s="2" t="inlineStr"/>
      <c r="H955" s="3" t="inlineStr">
        <is>
          <t>Mũi đục bê tông KBVd-14*250*22</t>
        </is>
      </c>
      <c r="I955" s="4" t="n">
        <v>63000</v>
      </c>
      <c r="J955" s="4" t="n"/>
      <c r="K955" s="4">
        <f>IF(AND(ISNUMBER(J955),ISNUMBER(I955)),J955-I955,"")</f>
        <v/>
      </c>
      <c r="L955" s="5">
        <f>IF(AND(ISNUMBER(J955),ISNUMBER(I955),I955&gt;0),(J955-I955)/I955,"")</f>
        <v/>
      </c>
      <c r="M955" s="2">
        <f>IF(L955="","",IF(L955&lt;-0.05,"Bán phá giá",IF(L955&gt;0.05,"Bán cao hơn","Đúng giá niêm yết")))</f>
        <v/>
      </c>
      <c r="N955" s="2" t="n"/>
      <c r="O955" s="3" t="n"/>
      <c r="P955" s="3" t="n"/>
    </row>
    <row r="956">
      <c r="A956" s="2" t="n">
        <v>955</v>
      </c>
      <c r="B956" s="2" t="inlineStr">
        <is>
          <t>KH005</t>
        </is>
      </c>
      <c r="C956" s="3" t="inlineStr">
        <is>
          <t>ThinkSafe HCM</t>
        </is>
      </c>
      <c r="D956" s="2" t="inlineStr">
        <is>
          <t>HCM</t>
        </is>
      </c>
      <c r="E956" s="2" t="inlineStr">
        <is>
          <t>XUÂN TRANG</t>
        </is>
      </c>
      <c r="F956" s="2" t="inlineStr">
        <is>
          <t>Shopee</t>
        </is>
      </c>
      <c r="G956" s="2" t="inlineStr"/>
      <c r="H956" s="3" t="inlineStr">
        <is>
          <t>Mũi đục bê tông KBVd-17*280*25</t>
        </is>
      </c>
      <c r="I956" s="4" t="n">
        <v>82000</v>
      </c>
      <c r="J956" s="4" t="n"/>
      <c r="K956" s="4">
        <f>IF(AND(ISNUMBER(J956),ISNUMBER(I956)),J956-I956,"")</f>
        <v/>
      </c>
      <c r="L956" s="5">
        <f>IF(AND(ISNUMBER(J956),ISNUMBER(I956),I956&gt;0),(J956-I956)/I956,"")</f>
        <v/>
      </c>
      <c r="M956" s="2">
        <f>IF(L956="","",IF(L956&lt;-0.05,"Bán phá giá",IF(L956&gt;0.05,"Bán cao hơn","Đúng giá niêm yết")))</f>
        <v/>
      </c>
      <c r="N956" s="2" t="n"/>
      <c r="O956" s="3" t="n"/>
      <c r="P956" s="3" t="n"/>
    </row>
    <row r="957">
      <c r="A957" s="2" t="n">
        <v>956</v>
      </c>
      <c r="B957" s="2" t="inlineStr">
        <is>
          <t>KH005</t>
        </is>
      </c>
      <c r="C957" s="3" t="inlineStr">
        <is>
          <t>ThinkSafe HCM</t>
        </is>
      </c>
      <c r="D957" s="2" t="inlineStr">
        <is>
          <t>HCM</t>
        </is>
      </c>
      <c r="E957" s="2" t="inlineStr">
        <is>
          <t>XUÂN TRANG</t>
        </is>
      </c>
      <c r="F957" s="2" t="inlineStr">
        <is>
          <t>Shopee</t>
        </is>
      </c>
      <c r="G957" s="2" t="inlineStr"/>
      <c r="H957" s="3" t="inlineStr">
        <is>
          <t>Mũi đục bê tông KBVn-14*250</t>
        </is>
      </c>
      <c r="I957" s="4" t="n">
        <v>63000</v>
      </c>
      <c r="J957" s="4" t="n"/>
      <c r="K957" s="4">
        <f>IF(AND(ISNUMBER(J957),ISNUMBER(I957)),J957-I957,"")</f>
        <v/>
      </c>
      <c r="L957" s="5">
        <f>IF(AND(ISNUMBER(J957),ISNUMBER(I957),I957&gt;0),(J957-I957)/I957,"")</f>
        <v/>
      </c>
      <c r="M957" s="2">
        <f>IF(L957="","",IF(L957&lt;-0.05,"Bán phá giá",IF(L957&gt;0.05,"Bán cao hơn","Đúng giá niêm yết")))</f>
        <v/>
      </c>
      <c r="N957" s="2" t="n"/>
      <c r="O957" s="3" t="n"/>
      <c r="P957" s="3" t="n"/>
    </row>
    <row r="958">
      <c r="A958" s="2" t="n">
        <v>957</v>
      </c>
      <c r="B958" s="2" t="inlineStr">
        <is>
          <t>KH005</t>
        </is>
      </c>
      <c r="C958" s="3" t="inlineStr">
        <is>
          <t>ThinkSafe HCM</t>
        </is>
      </c>
      <c r="D958" s="2" t="inlineStr">
        <is>
          <t>HCM</t>
        </is>
      </c>
      <c r="E958" s="2" t="inlineStr">
        <is>
          <t>XUÂN TRANG</t>
        </is>
      </c>
      <c r="F958" s="2" t="inlineStr">
        <is>
          <t>Shopee</t>
        </is>
      </c>
      <c r="G958" s="2" t="inlineStr"/>
      <c r="H958" s="3" t="inlineStr">
        <is>
          <t>Mũi đục bê tông KBVn-17*280</t>
        </is>
      </c>
      <c r="I958" s="4" t="n">
        <v>82000</v>
      </c>
      <c r="J958" s="4" t="n"/>
      <c r="K958" s="4">
        <f>IF(AND(ISNUMBER(J958),ISNUMBER(I958)),J958-I958,"")</f>
        <v/>
      </c>
      <c r="L958" s="5">
        <f>IF(AND(ISNUMBER(J958),ISNUMBER(I958),I958&gt;0),(J958-I958)/I958,"")</f>
        <v/>
      </c>
      <c r="M958" s="2">
        <f>IF(L958="","",IF(L958&lt;-0.05,"Bán phá giá",IF(L958&gt;0.05,"Bán cao hơn","Đúng giá niêm yết")))</f>
        <v/>
      </c>
      <c r="N958" s="2" t="n"/>
      <c r="O958" s="3" t="n"/>
      <c r="P958" s="3" t="n"/>
    </row>
    <row r="959">
      <c r="A959" s="2" t="n">
        <v>958</v>
      </c>
      <c r="B959" s="2" t="inlineStr">
        <is>
          <t>KH005</t>
        </is>
      </c>
      <c r="C959" s="3" t="inlineStr">
        <is>
          <t>ThinkSafe HCM</t>
        </is>
      </c>
      <c r="D959" s="2" t="inlineStr">
        <is>
          <t>HCM</t>
        </is>
      </c>
      <c r="E959" s="2" t="inlineStr">
        <is>
          <t>XUÂN TRANG</t>
        </is>
      </c>
      <c r="F959" s="2" t="inlineStr">
        <is>
          <t>Shopee</t>
        </is>
      </c>
      <c r="G959" s="2" t="inlineStr">
        <is>
          <t>KBL2-06*160</t>
        </is>
      </c>
      <c r="H959" s="3" t="inlineStr">
        <is>
          <t>Mũi khoan bê tông gài 2 cạnh KBL2-06*160</t>
        </is>
      </c>
      <c r="I959" s="4" t="n">
        <v>27500</v>
      </c>
      <c r="J959" s="4" t="n"/>
      <c r="K959" s="4">
        <f>IF(AND(ISNUMBER(J959),ISNUMBER(I959)),J959-I959,"")</f>
        <v/>
      </c>
      <c r="L959" s="5">
        <f>IF(AND(ISNUMBER(J959),ISNUMBER(I959),I959&gt;0),(J959-I959)/I959,"")</f>
        <v/>
      </c>
      <c r="M959" s="2">
        <f>IF(L959="","",IF(L959&lt;-0.05,"Bán phá giá",IF(L959&gt;0.05,"Bán cao hơn","Đúng giá niêm yết")))</f>
        <v/>
      </c>
      <c r="N959" s="2" t="n"/>
      <c r="O959" s="3" t="n"/>
      <c r="P959" s="3" t="n"/>
    </row>
    <row r="960">
      <c r="A960" s="2" t="n">
        <v>959</v>
      </c>
      <c r="B960" s="2" t="inlineStr">
        <is>
          <t>KH005</t>
        </is>
      </c>
      <c r="C960" s="3" t="inlineStr">
        <is>
          <t>ThinkSafe HCM</t>
        </is>
      </c>
      <c r="D960" s="2" t="inlineStr">
        <is>
          <t>HCM</t>
        </is>
      </c>
      <c r="E960" s="2" t="inlineStr">
        <is>
          <t>XUÂN TRANG</t>
        </is>
      </c>
      <c r="F960" s="2" t="inlineStr">
        <is>
          <t>Shopee</t>
        </is>
      </c>
      <c r="G960" s="2" t="inlineStr">
        <is>
          <t>KBL2-08*160</t>
        </is>
      </c>
      <c r="H960" s="3" t="inlineStr">
        <is>
          <t>Mũi khoan bê tông gài 2 cạnh KBL2-08*160</t>
        </is>
      </c>
      <c r="I960" s="4" t="n">
        <v>29000</v>
      </c>
      <c r="J960" s="4" t="n"/>
      <c r="K960" s="4">
        <f>IF(AND(ISNUMBER(J960),ISNUMBER(I960)),J960-I960,"")</f>
        <v/>
      </c>
      <c r="L960" s="5">
        <f>IF(AND(ISNUMBER(J960),ISNUMBER(I960),I960&gt;0),(J960-I960)/I960,"")</f>
        <v/>
      </c>
      <c r="M960" s="2">
        <f>IF(L960="","",IF(L960&lt;-0.05,"Bán phá giá",IF(L960&gt;0.05,"Bán cao hơn","Đúng giá niêm yết")))</f>
        <v/>
      </c>
      <c r="N960" s="2" t="n"/>
      <c r="O960" s="3" t="n"/>
      <c r="P960" s="3" t="n"/>
    </row>
    <row r="961">
      <c r="A961" s="2" t="n">
        <v>960</v>
      </c>
      <c r="B961" s="2" t="inlineStr">
        <is>
          <t>KH005</t>
        </is>
      </c>
      <c r="C961" s="3" t="inlineStr">
        <is>
          <t>ThinkSafe HCM</t>
        </is>
      </c>
      <c r="D961" s="2" t="inlineStr">
        <is>
          <t>HCM</t>
        </is>
      </c>
      <c r="E961" s="2" t="inlineStr">
        <is>
          <t>XUÂN TRANG</t>
        </is>
      </c>
      <c r="F961" s="2" t="inlineStr">
        <is>
          <t>Shopee</t>
        </is>
      </c>
      <c r="G961" s="2" t="inlineStr">
        <is>
          <t>KBL2-3.2*110</t>
        </is>
      </c>
      <c r="H961" s="3" t="inlineStr">
        <is>
          <t>Mũi khoan bê tông không tắc kê KBL2-3.2*110</t>
        </is>
      </c>
      <c r="I961" s="4" t="n"/>
      <c r="J961" s="4" t="n"/>
      <c r="K961" s="4">
        <f>IF(AND(ISNUMBER(J961),ISNUMBER(I961)),J961-I961,"")</f>
        <v/>
      </c>
      <c r="L961" s="5">
        <f>IF(AND(ISNUMBER(J961),ISNUMBER(I961),I961&gt;0),(J961-I961)/I961,"")</f>
        <v/>
      </c>
      <c r="M961" s="2">
        <f>IF(L961="","",IF(L961&lt;-0.05,"Bán phá giá",IF(L961&gt;0.05,"Bán cao hơn","Đúng giá niêm yết")))</f>
        <v/>
      </c>
      <c r="N961" s="2" t="n"/>
      <c r="O961" s="3" t="n"/>
      <c r="P961" s="3" t="n"/>
    </row>
    <row r="962">
      <c r="A962" s="2" t="n">
        <v>961</v>
      </c>
      <c r="B962" s="2" t="inlineStr">
        <is>
          <t>KH005</t>
        </is>
      </c>
      <c r="C962" s="3" t="inlineStr">
        <is>
          <t>ThinkSafe HCM</t>
        </is>
      </c>
      <c r="D962" s="2" t="inlineStr">
        <is>
          <t>HCM</t>
        </is>
      </c>
      <c r="E962" s="2" t="inlineStr">
        <is>
          <t>XUÂN TRANG</t>
        </is>
      </c>
      <c r="F962" s="2" t="inlineStr">
        <is>
          <t>Shopee</t>
        </is>
      </c>
      <c r="G962" s="2" t="inlineStr">
        <is>
          <t>KBL2-3.2*90</t>
        </is>
      </c>
      <c r="H962" s="3" t="inlineStr">
        <is>
          <t>Mũi khoan bê tông không tắc kê KBL2-3.2*90</t>
        </is>
      </c>
      <c r="I962" s="4" t="n">
        <v>66000</v>
      </c>
      <c r="J962" s="4" t="n"/>
      <c r="K962" s="4">
        <f>IF(AND(ISNUMBER(J962),ISNUMBER(I962)),J962-I962,"")</f>
        <v/>
      </c>
      <c r="L962" s="5">
        <f>IF(AND(ISNUMBER(J962),ISNUMBER(I962),I962&gt;0),(J962-I962)/I962,"")</f>
        <v/>
      </c>
      <c r="M962" s="2">
        <f>IF(L962="","",IF(L962&lt;-0.05,"Bán phá giá",IF(L962&gt;0.05,"Bán cao hơn","Đúng giá niêm yết")))</f>
        <v/>
      </c>
      <c r="N962" s="2" t="n"/>
      <c r="O962" s="3" t="n"/>
      <c r="P962" s="3" t="n"/>
    </row>
    <row r="963">
      <c r="A963" s="2" t="n">
        <v>962</v>
      </c>
      <c r="B963" s="2" t="inlineStr">
        <is>
          <t>KH005</t>
        </is>
      </c>
      <c r="C963" s="3" t="inlineStr">
        <is>
          <t>ThinkSafe HCM</t>
        </is>
      </c>
      <c r="D963" s="2" t="inlineStr">
        <is>
          <t>HCM</t>
        </is>
      </c>
      <c r="E963" s="2" t="inlineStr">
        <is>
          <t>XUÂN TRANG</t>
        </is>
      </c>
      <c r="F963" s="2" t="inlineStr">
        <is>
          <t>Shopee</t>
        </is>
      </c>
      <c r="G963" s="2" t="inlineStr">
        <is>
          <t>KBL2-3.5*110</t>
        </is>
      </c>
      <c r="H963" s="3" t="inlineStr">
        <is>
          <t>Mũi khoan bê tông không tắc kê KBL2-3.5*110</t>
        </is>
      </c>
      <c r="I963" s="4" t="n">
        <v>33000</v>
      </c>
      <c r="J963" s="4" t="n"/>
      <c r="K963" s="4">
        <f>IF(AND(ISNUMBER(J963),ISNUMBER(I963)),J963-I963,"")</f>
        <v/>
      </c>
      <c r="L963" s="5">
        <f>IF(AND(ISNUMBER(J963),ISNUMBER(I963),I963&gt;0),(J963-I963)/I963,"")</f>
        <v/>
      </c>
      <c r="M963" s="2">
        <f>IF(L963="","",IF(L963&lt;-0.05,"Bán phá giá",IF(L963&gt;0.05,"Bán cao hơn","Đúng giá niêm yết")))</f>
        <v/>
      </c>
      <c r="N963" s="2" t="n"/>
      <c r="O963" s="3" t="n"/>
      <c r="P963" s="3" t="n"/>
    </row>
    <row r="964">
      <c r="A964" s="2" t="n">
        <v>963</v>
      </c>
      <c r="B964" s="2" t="inlineStr">
        <is>
          <t>KH005</t>
        </is>
      </c>
      <c r="C964" s="3" t="inlineStr">
        <is>
          <t>ThinkSafe HCM</t>
        </is>
      </c>
      <c r="D964" s="2" t="inlineStr">
        <is>
          <t>HCM</t>
        </is>
      </c>
      <c r="E964" s="2" t="inlineStr">
        <is>
          <t>XUÂN TRANG</t>
        </is>
      </c>
      <c r="F964" s="2" t="inlineStr">
        <is>
          <t>Shopee</t>
        </is>
      </c>
      <c r="G964" s="2" t="inlineStr">
        <is>
          <t>KBL2-4.2*110</t>
        </is>
      </c>
      <c r="H964" s="3" t="inlineStr">
        <is>
          <t>Mũi khoan bê tông không tắc kê KBL2-4.2*110</t>
        </is>
      </c>
      <c r="I964" s="4" t="n">
        <v>66000</v>
      </c>
      <c r="J964" s="4" t="n"/>
      <c r="K964" s="4">
        <f>IF(AND(ISNUMBER(J964),ISNUMBER(I964)),J964-I964,"")</f>
        <v/>
      </c>
      <c r="L964" s="5">
        <f>IF(AND(ISNUMBER(J964),ISNUMBER(I964),I964&gt;0),(J964-I964)/I964,"")</f>
        <v/>
      </c>
      <c r="M964" s="2">
        <f>IF(L964="","",IF(L964&lt;-0.05,"Bán phá giá",IF(L964&gt;0.05,"Bán cao hơn","Đúng giá niêm yết")))</f>
        <v/>
      </c>
      <c r="N964" s="2" t="n"/>
      <c r="O964" s="3" t="n"/>
      <c r="P964" s="3" t="n"/>
    </row>
    <row r="965">
      <c r="A965" s="2" t="n">
        <v>964</v>
      </c>
      <c r="B965" s="2" t="inlineStr">
        <is>
          <t>KH005</t>
        </is>
      </c>
      <c r="C965" s="3" t="inlineStr">
        <is>
          <t>ThinkSafe HCM</t>
        </is>
      </c>
      <c r="D965" s="2" t="inlineStr">
        <is>
          <t>HCM</t>
        </is>
      </c>
      <c r="E965" s="2" t="inlineStr">
        <is>
          <t>XUÂN TRANG</t>
        </is>
      </c>
      <c r="F965" s="2" t="inlineStr">
        <is>
          <t>Shopee</t>
        </is>
      </c>
      <c r="G965" s="2" t="inlineStr">
        <is>
          <t>KBK-06</t>
        </is>
      </c>
      <c r="H965" s="3" t="inlineStr">
        <is>
          <t>Mũi khoan đá KBK-06</t>
        </is>
      </c>
      <c r="I965" s="4" t="n">
        <v>28000</v>
      </c>
      <c r="J965" s="4" t="n"/>
      <c r="K965" s="4">
        <f>IF(AND(ISNUMBER(J965),ISNUMBER(I965)),J965-I965,"")</f>
        <v/>
      </c>
      <c r="L965" s="5">
        <f>IF(AND(ISNUMBER(J965),ISNUMBER(I965),I965&gt;0),(J965-I965)/I965,"")</f>
        <v/>
      </c>
      <c r="M965" s="2">
        <f>IF(L965="","",IF(L965&lt;-0.05,"Bán phá giá",IF(L965&gt;0.05,"Bán cao hơn","Đúng giá niêm yết")))</f>
        <v/>
      </c>
      <c r="N965" s="2" t="n"/>
      <c r="O965" s="3" t="n"/>
      <c r="P965" s="3" t="n"/>
    </row>
    <row r="966">
      <c r="A966" s="2" t="n">
        <v>965</v>
      </c>
      <c r="B966" s="2" t="inlineStr">
        <is>
          <t>KH005</t>
        </is>
      </c>
      <c r="C966" s="3" t="inlineStr">
        <is>
          <t>ThinkSafe HCM</t>
        </is>
      </c>
      <c r="D966" s="2" t="inlineStr">
        <is>
          <t>HCM</t>
        </is>
      </c>
      <c r="E966" s="2" t="inlineStr">
        <is>
          <t>XUÂN TRANG</t>
        </is>
      </c>
      <c r="F966" s="2" t="inlineStr">
        <is>
          <t>Shopee</t>
        </is>
      </c>
      <c r="G966" s="2" t="inlineStr">
        <is>
          <t>KBK-08</t>
        </is>
      </c>
      <c r="H966" s="3" t="inlineStr">
        <is>
          <t>Mũi khoan đá KBK-08</t>
        </is>
      </c>
      <c r="I966" s="4" t="n">
        <v>31000</v>
      </c>
      <c r="J966" s="4" t="n"/>
      <c r="K966" s="4">
        <f>IF(AND(ISNUMBER(J966),ISNUMBER(I966)),J966-I966,"")</f>
        <v/>
      </c>
      <c r="L966" s="5">
        <f>IF(AND(ISNUMBER(J966),ISNUMBER(I966),I966&gt;0),(J966-I966)/I966,"")</f>
        <v/>
      </c>
      <c r="M966" s="2">
        <f>IF(L966="","",IF(L966&lt;-0.05,"Bán phá giá",IF(L966&gt;0.05,"Bán cao hơn","Đúng giá niêm yết")))</f>
        <v/>
      </c>
      <c r="N966" s="2" t="n"/>
      <c r="O966" s="3" t="n"/>
      <c r="P966" s="3" t="n"/>
    </row>
    <row r="967">
      <c r="A967" s="2" t="n">
        <v>966</v>
      </c>
      <c r="B967" s="2" t="inlineStr">
        <is>
          <t>KH005</t>
        </is>
      </c>
      <c r="C967" s="3" t="inlineStr">
        <is>
          <t>ThinkSafe HCM</t>
        </is>
      </c>
      <c r="D967" s="2" t="inlineStr">
        <is>
          <t>HCM</t>
        </is>
      </c>
      <c r="E967" s="2" t="inlineStr">
        <is>
          <t>XUÂN TRANG</t>
        </is>
      </c>
      <c r="F967" s="2" t="inlineStr">
        <is>
          <t>Shopee</t>
        </is>
      </c>
      <c r="G967" s="2" t="inlineStr">
        <is>
          <t>KBH2E-3*120</t>
        </is>
      </c>
      <c r="H967" s="3" t="inlineStr">
        <is>
          <t>Mũi khoan đa năng lục giác 2 cạnh KBH2E-3*120</t>
        </is>
      </c>
      <c r="I967" s="4" t="n">
        <v>37000</v>
      </c>
      <c r="J967" s="4" t="n"/>
      <c r="K967" s="4">
        <f>IF(AND(ISNUMBER(J967),ISNUMBER(I967)),J967-I967,"")</f>
        <v/>
      </c>
      <c r="L967" s="5">
        <f>IF(AND(ISNUMBER(J967),ISNUMBER(I967),I967&gt;0),(J967-I967)/I967,"")</f>
        <v/>
      </c>
      <c r="M967" s="2">
        <f>IF(L967="","",IF(L967&lt;-0.05,"Bán phá giá",IF(L967&gt;0.05,"Bán cao hơn","Đúng giá niêm yết")))</f>
        <v/>
      </c>
      <c r="N967" s="2" t="n"/>
      <c r="O967" s="3" t="n"/>
      <c r="P967" s="3" t="n"/>
    </row>
    <row r="968">
      <c r="A968" s="2" t="n">
        <v>967</v>
      </c>
      <c r="B968" s="2" t="inlineStr">
        <is>
          <t>KH005</t>
        </is>
      </c>
      <c r="C968" s="3" t="inlineStr">
        <is>
          <t>ThinkSafe HCM</t>
        </is>
      </c>
      <c r="D968" s="2" t="inlineStr">
        <is>
          <t>HCM</t>
        </is>
      </c>
      <c r="E968" s="2" t="inlineStr">
        <is>
          <t>XUÂN TRANG</t>
        </is>
      </c>
      <c r="F968" s="2" t="inlineStr">
        <is>
          <t>Shopee</t>
        </is>
      </c>
      <c r="G968" s="2" t="inlineStr">
        <is>
          <t>KBH2E-3.2*120</t>
        </is>
      </c>
      <c r="H968" s="3" t="inlineStr">
        <is>
          <t>Mũi khoan đa năng lục giác 2 cạnh KBH2E-3.2*120</t>
        </is>
      </c>
      <c r="I968" s="4" t="n">
        <v>37000</v>
      </c>
      <c r="J968" s="4" t="n"/>
      <c r="K968" s="4">
        <f>IF(AND(ISNUMBER(J968),ISNUMBER(I968)),J968-I968,"")</f>
        <v/>
      </c>
      <c r="L968" s="5">
        <f>IF(AND(ISNUMBER(J968),ISNUMBER(I968),I968&gt;0),(J968-I968)/I968,"")</f>
        <v/>
      </c>
      <c r="M968" s="2">
        <f>IF(L968="","",IF(L968&lt;-0.05,"Bán phá giá",IF(L968&gt;0.05,"Bán cao hơn","Đúng giá niêm yết")))</f>
        <v/>
      </c>
      <c r="N968" s="2" t="n"/>
      <c r="O968" s="3" t="n"/>
      <c r="P968" s="3" t="n"/>
    </row>
    <row r="969">
      <c r="A969" s="2" t="n">
        <v>968</v>
      </c>
      <c r="B969" s="2" t="inlineStr">
        <is>
          <t>KH005</t>
        </is>
      </c>
      <c r="C969" s="3" t="inlineStr">
        <is>
          <t>ThinkSafe HCM</t>
        </is>
      </c>
      <c r="D969" s="2" t="inlineStr">
        <is>
          <t>HCM</t>
        </is>
      </c>
      <c r="E969" s="2" t="inlineStr">
        <is>
          <t>XUÂN TRANG</t>
        </is>
      </c>
      <c r="F969" s="2" t="inlineStr">
        <is>
          <t>Shopee</t>
        </is>
      </c>
      <c r="G969" s="2" t="inlineStr">
        <is>
          <t>KBH2E-04*150</t>
        </is>
      </c>
      <c r="H969" s="3" t="inlineStr">
        <is>
          <t>Mũi khoan ĐN lục giác 2 cạnh KBH2E-04*150</t>
        </is>
      </c>
      <c r="I969" s="4" t="n">
        <v>37000</v>
      </c>
      <c r="J969" s="4" t="n"/>
      <c r="K969" s="4">
        <f>IF(AND(ISNUMBER(J969),ISNUMBER(I969)),J969-I969,"")</f>
        <v/>
      </c>
      <c r="L969" s="5">
        <f>IF(AND(ISNUMBER(J969),ISNUMBER(I969),I969&gt;0),(J969-I969)/I969,"")</f>
        <v/>
      </c>
      <c r="M969" s="2">
        <f>IF(L969="","",IF(L969&lt;-0.05,"Bán phá giá",IF(L969&gt;0.05,"Bán cao hơn","Đúng giá niêm yết")))</f>
        <v/>
      </c>
      <c r="N969" s="2" t="n"/>
      <c r="O969" s="3" t="n"/>
      <c r="P969" s="3" t="n"/>
    </row>
    <row r="970">
      <c r="A970" s="2" t="n">
        <v>969</v>
      </c>
      <c r="B970" s="2" t="inlineStr">
        <is>
          <t>KH005</t>
        </is>
      </c>
      <c r="C970" s="3" t="inlineStr">
        <is>
          <t>ThinkSafe HCM</t>
        </is>
      </c>
      <c r="D970" s="2" t="inlineStr">
        <is>
          <t>HCM</t>
        </is>
      </c>
      <c r="E970" s="2" t="inlineStr">
        <is>
          <t>XUÂN TRANG</t>
        </is>
      </c>
      <c r="F970" s="2" t="inlineStr">
        <is>
          <t>Shopee</t>
        </is>
      </c>
      <c r="G970" s="2" t="inlineStr">
        <is>
          <t>KBH2E-06*150</t>
        </is>
      </c>
      <c r="H970" s="3" t="inlineStr">
        <is>
          <t>Mũi khoan ĐN lục giác 2 cạnh KBH2E-06*150</t>
        </is>
      </c>
      <c r="I970" s="4" t="n">
        <v>40000</v>
      </c>
      <c r="J970" s="4" t="n"/>
      <c r="K970" s="4">
        <f>IF(AND(ISNUMBER(J970),ISNUMBER(I970)),J970-I970,"")</f>
        <v/>
      </c>
      <c r="L970" s="5">
        <f>IF(AND(ISNUMBER(J970),ISNUMBER(I970),I970&gt;0),(J970-I970)/I970,"")</f>
        <v/>
      </c>
      <c r="M970" s="2">
        <f>IF(L970="","",IF(L970&lt;-0.05,"Bán phá giá",IF(L970&gt;0.05,"Bán cao hơn","Đúng giá niêm yết")))</f>
        <v/>
      </c>
      <c r="N970" s="2" t="n"/>
      <c r="O970" s="3" t="n"/>
      <c r="P970" s="3" t="n"/>
    </row>
    <row r="971">
      <c r="A971" s="2" t="n">
        <v>970</v>
      </c>
      <c r="B971" s="2" t="inlineStr">
        <is>
          <t>KH005</t>
        </is>
      </c>
      <c r="C971" s="3" t="inlineStr">
        <is>
          <t>ThinkSafe HCM</t>
        </is>
      </c>
      <c r="D971" s="2" t="inlineStr">
        <is>
          <t>HCM</t>
        </is>
      </c>
      <c r="E971" s="2" t="inlineStr">
        <is>
          <t>XUÂN TRANG</t>
        </is>
      </c>
      <c r="F971" s="2" t="inlineStr">
        <is>
          <t>Shopee</t>
        </is>
      </c>
      <c r="G971" s="2" t="inlineStr">
        <is>
          <t>KBH2E-08*150</t>
        </is>
      </c>
      <c r="H971" s="3" t="inlineStr">
        <is>
          <t>Mũi khoan ĐN lục giác 2 cạnh KBH2E-08*150</t>
        </is>
      </c>
      <c r="I971" s="4" t="n">
        <v>52000</v>
      </c>
      <c r="J971" s="4" t="n"/>
      <c r="K971" s="4">
        <f>IF(AND(ISNUMBER(J971),ISNUMBER(I971)),J971-I971,"")</f>
        <v/>
      </c>
      <c r="L971" s="5">
        <f>IF(AND(ISNUMBER(J971),ISNUMBER(I971),I971&gt;0),(J971-I971)/I971,"")</f>
        <v/>
      </c>
      <c r="M971" s="2">
        <f>IF(L971="","",IF(L971&lt;-0.05,"Bán phá giá",IF(L971&gt;0.05,"Bán cao hơn","Đúng giá niêm yết")))</f>
        <v/>
      </c>
      <c r="N971" s="2" t="n"/>
      <c r="O971" s="3" t="n"/>
      <c r="P971" s="3" t="n"/>
    </row>
    <row r="972">
      <c r="A972" s="2" t="n">
        <v>971</v>
      </c>
      <c r="B972" s="2" t="inlineStr">
        <is>
          <t>KH005</t>
        </is>
      </c>
      <c r="C972" s="3" t="inlineStr">
        <is>
          <t>ThinkSafe HCM</t>
        </is>
      </c>
      <c r="D972" s="2" t="inlineStr">
        <is>
          <t>HCM</t>
        </is>
      </c>
      <c r="E972" s="2" t="inlineStr">
        <is>
          <t>XUÂN TRANG</t>
        </is>
      </c>
      <c r="F972" s="2" t="inlineStr">
        <is>
          <t>Shopee</t>
        </is>
      </c>
      <c r="G972" s="2" t="inlineStr">
        <is>
          <t>KBH2E-10*150</t>
        </is>
      </c>
      <c r="H972" s="3" t="inlineStr">
        <is>
          <t>Mũi khoan ĐN lục giác 2 cạnh KBH2E-10*150</t>
        </is>
      </c>
      <c r="I972" s="4" t="n">
        <v>62000</v>
      </c>
      <c r="J972" s="4" t="n"/>
      <c r="K972" s="4">
        <f>IF(AND(ISNUMBER(J972),ISNUMBER(I972)),J972-I972,"")</f>
        <v/>
      </c>
      <c r="L972" s="5">
        <f>IF(AND(ISNUMBER(J972),ISNUMBER(I972),I972&gt;0),(J972-I972)/I972,"")</f>
        <v/>
      </c>
      <c r="M972" s="2">
        <f>IF(L972="","",IF(L972&lt;-0.05,"Bán phá giá",IF(L972&gt;0.05,"Bán cao hơn","Đúng giá niêm yết")))</f>
        <v/>
      </c>
      <c r="N972" s="2" t="n"/>
      <c r="O972" s="3" t="n"/>
      <c r="P972" s="3" t="n"/>
    </row>
    <row r="973">
      <c r="A973" s="2" t="n">
        <v>972</v>
      </c>
      <c r="B973" s="2" t="inlineStr">
        <is>
          <t>KH005</t>
        </is>
      </c>
      <c r="C973" s="3" t="inlineStr">
        <is>
          <t>ThinkSafe HCM</t>
        </is>
      </c>
      <c r="D973" s="2" t="inlineStr">
        <is>
          <t>HCM</t>
        </is>
      </c>
      <c r="E973" s="2" t="inlineStr">
        <is>
          <t>XUÂN TRANG</t>
        </is>
      </c>
      <c r="F973" s="2" t="inlineStr">
        <is>
          <t>Shopee</t>
        </is>
      </c>
      <c r="G973" s="2" t="inlineStr">
        <is>
          <t>KBH2E-12*150</t>
        </is>
      </c>
      <c r="H973" s="3" t="inlineStr">
        <is>
          <t>Mũi khoan ĐN lục giác 2 cạnh KBH2E-12*150</t>
        </is>
      </c>
      <c r="I973" s="4" t="n">
        <v>80000</v>
      </c>
      <c r="J973" s="4" t="n"/>
      <c r="K973" s="4">
        <f>IF(AND(ISNUMBER(J973),ISNUMBER(I973)),J973-I973,"")</f>
        <v/>
      </c>
      <c r="L973" s="5">
        <f>IF(AND(ISNUMBER(J973),ISNUMBER(I973),I973&gt;0),(J973-I973)/I973,"")</f>
        <v/>
      </c>
      <c r="M973" s="2">
        <f>IF(L973="","",IF(L973&lt;-0.05,"Bán phá giá",IF(L973&gt;0.05,"Bán cao hơn","Đúng giá niêm yết")))</f>
        <v/>
      </c>
      <c r="N973" s="2" t="n"/>
      <c r="O973" s="3" t="n"/>
      <c r="P973" s="3" t="n"/>
    </row>
    <row r="974">
      <c r="A974" s="2" t="n">
        <v>973</v>
      </c>
      <c r="B974" s="2" t="inlineStr">
        <is>
          <t>KH005</t>
        </is>
      </c>
      <c r="C974" s="3" t="inlineStr">
        <is>
          <t>ThinkSafe HCM</t>
        </is>
      </c>
      <c r="D974" s="2" t="inlineStr">
        <is>
          <t>HCM</t>
        </is>
      </c>
      <c r="E974" s="2" t="inlineStr">
        <is>
          <t>XUÂN TRANG</t>
        </is>
      </c>
      <c r="F974" s="2" t="inlineStr">
        <is>
          <t>Shopee</t>
        </is>
      </c>
      <c r="G974" s="2" t="inlineStr">
        <is>
          <t>KBH2F-03*95</t>
        </is>
      </c>
      <c r="H974" s="3" t="inlineStr">
        <is>
          <t>Mũi khoan ĐN lục giác 2 cạnh KBH2F-03*95</t>
        </is>
      </c>
      <c r="I974" s="4" t="n">
        <v>35000</v>
      </c>
      <c r="J974" s="4" t="n"/>
      <c r="K974" s="4">
        <f>IF(AND(ISNUMBER(J974),ISNUMBER(I974)),J974-I974,"")</f>
        <v/>
      </c>
      <c r="L974" s="5">
        <f>IF(AND(ISNUMBER(J974),ISNUMBER(I974),I974&gt;0),(J974-I974)/I974,"")</f>
        <v/>
      </c>
      <c r="M974" s="2">
        <f>IF(L974="","",IF(L974&lt;-0.05,"Bán phá giá",IF(L974&gt;0.05,"Bán cao hơn","Đúng giá niêm yết")))</f>
        <v/>
      </c>
      <c r="N974" s="2" t="n"/>
      <c r="O974" s="3" t="n"/>
      <c r="P974" s="3" t="n"/>
    </row>
    <row r="975">
      <c r="A975" s="2" t="n">
        <v>974</v>
      </c>
      <c r="B975" s="2" t="inlineStr">
        <is>
          <t>KH005</t>
        </is>
      </c>
      <c r="C975" s="3" t="inlineStr">
        <is>
          <t>ThinkSafe HCM</t>
        </is>
      </c>
      <c r="D975" s="2" t="inlineStr">
        <is>
          <t>HCM</t>
        </is>
      </c>
      <c r="E975" s="2" t="inlineStr">
        <is>
          <t>XUÂN TRANG</t>
        </is>
      </c>
      <c r="F975" s="2" t="inlineStr">
        <is>
          <t>Shopee</t>
        </is>
      </c>
      <c r="G975" s="2" t="inlineStr">
        <is>
          <t>KBH2F-04*95</t>
        </is>
      </c>
      <c r="H975" s="3" t="inlineStr">
        <is>
          <t>Mũi khoan ĐN lục giác 2 cạnh KBH2F-04*95</t>
        </is>
      </c>
      <c r="I975" s="4" t="n">
        <v>35000</v>
      </c>
      <c r="J975" s="4" t="n"/>
      <c r="K975" s="4">
        <f>IF(AND(ISNUMBER(J975),ISNUMBER(I975)),J975-I975,"")</f>
        <v/>
      </c>
      <c r="L975" s="5">
        <f>IF(AND(ISNUMBER(J975),ISNUMBER(I975),I975&gt;0),(J975-I975)/I975,"")</f>
        <v/>
      </c>
      <c r="M975" s="2">
        <f>IF(L975="","",IF(L975&lt;-0.05,"Bán phá giá",IF(L975&gt;0.05,"Bán cao hơn","Đúng giá niêm yết")))</f>
        <v/>
      </c>
      <c r="N975" s="2" t="n"/>
      <c r="O975" s="3" t="n"/>
      <c r="P975" s="3" t="n"/>
    </row>
    <row r="976">
      <c r="A976" s="2" t="n">
        <v>975</v>
      </c>
      <c r="B976" s="2" t="inlineStr">
        <is>
          <t>KH005</t>
        </is>
      </c>
      <c r="C976" s="3" t="inlineStr">
        <is>
          <t>ThinkSafe HCM</t>
        </is>
      </c>
      <c r="D976" s="2" t="inlineStr">
        <is>
          <t>HCM</t>
        </is>
      </c>
      <c r="E976" s="2" t="inlineStr">
        <is>
          <t>XUÂN TRANG</t>
        </is>
      </c>
      <c r="F976" s="2" t="inlineStr">
        <is>
          <t>Shopee</t>
        </is>
      </c>
      <c r="G976" s="2" t="inlineStr">
        <is>
          <t>KBH2F-05*95</t>
        </is>
      </c>
      <c r="H976" s="3" t="inlineStr">
        <is>
          <t>Mũi khoan ĐN lục giác 2 cạnh KBH2F-05*95</t>
        </is>
      </c>
      <c r="I976" s="4" t="n">
        <v>35000</v>
      </c>
      <c r="J976" s="4" t="n"/>
      <c r="K976" s="4">
        <f>IF(AND(ISNUMBER(J976),ISNUMBER(I976)),J976-I976,"")</f>
        <v/>
      </c>
      <c r="L976" s="5">
        <f>IF(AND(ISNUMBER(J976),ISNUMBER(I976),I976&gt;0),(J976-I976)/I976,"")</f>
        <v/>
      </c>
      <c r="M976" s="2">
        <f>IF(L976="","",IF(L976&lt;-0.05,"Bán phá giá",IF(L976&gt;0.05,"Bán cao hơn","Đúng giá niêm yết")))</f>
        <v/>
      </c>
      <c r="N976" s="2" t="n"/>
      <c r="O976" s="3" t="n"/>
      <c r="P976" s="3" t="n"/>
    </row>
    <row r="977">
      <c r="A977" s="2" t="n">
        <v>976</v>
      </c>
      <c r="B977" s="2" t="inlineStr">
        <is>
          <t>KH005</t>
        </is>
      </c>
      <c r="C977" s="3" t="inlineStr">
        <is>
          <t>ThinkSafe HCM</t>
        </is>
      </c>
      <c r="D977" s="2" t="inlineStr">
        <is>
          <t>HCM</t>
        </is>
      </c>
      <c r="E977" s="2" t="inlineStr">
        <is>
          <t>XUÂN TRANG</t>
        </is>
      </c>
      <c r="F977" s="2" t="inlineStr">
        <is>
          <t>Shopee</t>
        </is>
      </c>
      <c r="G977" s="2" t="inlineStr">
        <is>
          <t>KBH2F-06*95</t>
        </is>
      </c>
      <c r="H977" s="3" t="inlineStr">
        <is>
          <t>Mũi khoan ĐN lục giác 2 cạnh KBH2F-06*95</t>
        </is>
      </c>
      <c r="I977" s="4" t="n">
        <v>35000</v>
      </c>
      <c r="J977" s="4" t="n"/>
      <c r="K977" s="4">
        <f>IF(AND(ISNUMBER(J977),ISNUMBER(I977)),J977-I977,"")</f>
        <v/>
      </c>
      <c r="L977" s="5">
        <f>IF(AND(ISNUMBER(J977),ISNUMBER(I977),I977&gt;0),(J977-I977)/I977,"")</f>
        <v/>
      </c>
      <c r="M977" s="2">
        <f>IF(L977="","",IF(L977&lt;-0.05,"Bán phá giá",IF(L977&gt;0.05,"Bán cao hơn","Đúng giá niêm yết")))</f>
        <v/>
      </c>
      <c r="N977" s="2" t="n"/>
      <c r="O977" s="3" t="n"/>
      <c r="P977" s="3" t="n"/>
    </row>
    <row r="978">
      <c r="A978" s="2" t="n">
        <v>977</v>
      </c>
      <c r="B978" s="2" t="inlineStr">
        <is>
          <t>KH005</t>
        </is>
      </c>
      <c r="C978" s="3" t="inlineStr">
        <is>
          <t>ThinkSafe HCM</t>
        </is>
      </c>
      <c r="D978" s="2" t="inlineStr">
        <is>
          <t>HCM</t>
        </is>
      </c>
      <c r="E978" s="2" t="inlineStr">
        <is>
          <t>XUÂN TRANG</t>
        </is>
      </c>
      <c r="F978" s="2" t="inlineStr">
        <is>
          <t>Shopee</t>
        </is>
      </c>
      <c r="G978" s="2" t="inlineStr">
        <is>
          <t>KBH2F-08*95</t>
        </is>
      </c>
      <c r="H978" s="3" t="inlineStr">
        <is>
          <t>Mũi khoan ĐN lục giác 2 cạnh KBH2F-08*95</t>
        </is>
      </c>
      <c r="I978" s="4" t="n">
        <v>43000</v>
      </c>
      <c r="J978" s="4" t="n"/>
      <c r="K978" s="4">
        <f>IF(AND(ISNUMBER(J978),ISNUMBER(I978)),J978-I978,"")</f>
        <v/>
      </c>
      <c r="L978" s="5">
        <f>IF(AND(ISNUMBER(J978),ISNUMBER(I978),I978&gt;0),(J978-I978)/I978,"")</f>
        <v/>
      </c>
      <c r="M978" s="2">
        <f>IF(L978="","",IF(L978&lt;-0.05,"Bán phá giá",IF(L978&gt;0.05,"Bán cao hơn","Đúng giá niêm yết")))</f>
        <v/>
      </c>
      <c r="N978" s="2" t="n"/>
      <c r="O978" s="3" t="n"/>
      <c r="P978" s="3" t="n"/>
    </row>
    <row r="979">
      <c r="A979" s="2" t="n">
        <v>978</v>
      </c>
      <c r="B979" s="2" t="inlineStr">
        <is>
          <t>KH005</t>
        </is>
      </c>
      <c r="C979" s="3" t="inlineStr">
        <is>
          <t>ThinkSafe HCM</t>
        </is>
      </c>
      <c r="D979" s="2" t="inlineStr">
        <is>
          <t>HCM</t>
        </is>
      </c>
      <c r="E979" s="2" t="inlineStr">
        <is>
          <t>XUÂN TRANG</t>
        </is>
      </c>
      <c r="F979" s="2" t="inlineStr">
        <is>
          <t>Shopee</t>
        </is>
      </c>
      <c r="G979" s="2" t="inlineStr">
        <is>
          <t>KBH2F-10*95</t>
        </is>
      </c>
      <c r="H979" s="3" t="inlineStr">
        <is>
          <t>Mũi khoan ĐN lục giác 2 cạnh KBH2F-10*95</t>
        </is>
      </c>
      <c r="I979" s="4" t="n">
        <v>53000</v>
      </c>
      <c r="J979" s="4" t="n"/>
      <c r="K979" s="4">
        <f>IF(AND(ISNUMBER(J979),ISNUMBER(I979)),J979-I979,"")</f>
        <v/>
      </c>
      <c r="L979" s="5">
        <f>IF(AND(ISNUMBER(J979),ISNUMBER(I979),I979&gt;0),(J979-I979)/I979,"")</f>
        <v/>
      </c>
      <c r="M979" s="2">
        <f>IF(L979="","",IF(L979&lt;-0.05,"Bán phá giá",IF(L979&gt;0.05,"Bán cao hơn","Đúng giá niêm yết")))</f>
        <v/>
      </c>
      <c r="N979" s="2" t="n"/>
      <c r="O979" s="3" t="n"/>
      <c r="P979" s="3" t="n"/>
    </row>
    <row r="980">
      <c r="A980" s="2" t="n">
        <v>979</v>
      </c>
      <c r="B980" s="2" t="inlineStr">
        <is>
          <t>KH005</t>
        </is>
      </c>
      <c r="C980" s="3" t="inlineStr">
        <is>
          <t>ThinkSafe HCM</t>
        </is>
      </c>
      <c r="D980" s="2" t="inlineStr">
        <is>
          <t>HCM</t>
        </is>
      </c>
      <c r="E980" s="2" t="inlineStr">
        <is>
          <t>XUÂN TRANG</t>
        </is>
      </c>
      <c r="F980" s="2" t="inlineStr">
        <is>
          <t>Shopee</t>
        </is>
      </c>
      <c r="G980" s="2" t="inlineStr">
        <is>
          <t>KBH2F-12*95</t>
        </is>
      </c>
      <c r="H980" s="3" t="inlineStr">
        <is>
          <t>Mũi khoan ĐN lục giác 2 cạnh KBH2F-12*95</t>
        </is>
      </c>
      <c r="I980" s="4" t="n">
        <v>59000</v>
      </c>
      <c r="J980" s="4" t="n"/>
      <c r="K980" s="4">
        <f>IF(AND(ISNUMBER(J980),ISNUMBER(I980)),J980-I980,"")</f>
        <v/>
      </c>
      <c r="L980" s="5">
        <f>IF(AND(ISNUMBER(J980),ISNUMBER(I980),I980&gt;0),(J980-I980)/I980,"")</f>
        <v/>
      </c>
      <c r="M980" s="2">
        <f>IF(L980="","",IF(L980&lt;-0.05,"Bán phá giá",IF(L980&gt;0.05,"Bán cao hơn","Đúng giá niêm yết")))</f>
        <v/>
      </c>
      <c r="N980" s="2" t="n"/>
      <c r="O980" s="3" t="n"/>
      <c r="P980" s="3" t="n"/>
    </row>
    <row r="981">
      <c r="A981" s="2" t="n">
        <v>980</v>
      </c>
      <c r="B981" s="2" t="inlineStr">
        <is>
          <t>KH005</t>
        </is>
      </c>
      <c r="C981" s="3" t="inlineStr">
        <is>
          <t>ThinkSafe HCM</t>
        </is>
      </c>
      <c r="D981" s="2" t="inlineStr">
        <is>
          <t>HCM</t>
        </is>
      </c>
      <c r="E981" s="2" t="inlineStr">
        <is>
          <t>XUÂN TRANG</t>
        </is>
      </c>
      <c r="F981" s="2" t="inlineStr">
        <is>
          <t>Shopee</t>
        </is>
      </c>
      <c r="G981" s="2" t="inlineStr">
        <is>
          <t>KBH4S-06*100</t>
        </is>
      </c>
      <c r="H981" s="3" t="inlineStr">
        <is>
          <t>Mũi khoan ĐN lục giác 4 cạnh KBH4S-06*100</t>
        </is>
      </c>
      <c r="I981" s="4" t="n">
        <v>32000</v>
      </c>
      <c r="J981" s="4" t="n"/>
      <c r="K981" s="4">
        <f>IF(AND(ISNUMBER(J981),ISNUMBER(I981)),J981-I981,"")</f>
        <v/>
      </c>
      <c r="L981" s="5">
        <f>IF(AND(ISNUMBER(J981),ISNUMBER(I981),I981&gt;0),(J981-I981)/I981,"")</f>
        <v/>
      </c>
      <c r="M981" s="2">
        <f>IF(L981="","",IF(L981&lt;-0.05,"Bán phá giá",IF(L981&gt;0.05,"Bán cao hơn","Đúng giá niêm yết")))</f>
        <v/>
      </c>
      <c r="N981" s="2" t="n"/>
      <c r="O981" s="3" t="n"/>
      <c r="P981" s="3" t="n"/>
    </row>
    <row r="982">
      <c r="A982" s="2" t="n">
        <v>981</v>
      </c>
      <c r="B982" s="2" t="inlineStr">
        <is>
          <t>KH005</t>
        </is>
      </c>
      <c r="C982" s="3" t="inlineStr">
        <is>
          <t>ThinkSafe HCM</t>
        </is>
      </c>
      <c r="D982" s="2" t="inlineStr">
        <is>
          <t>HCM</t>
        </is>
      </c>
      <c r="E982" s="2" t="inlineStr">
        <is>
          <t>XUÂN TRANG</t>
        </is>
      </c>
      <c r="F982" s="2" t="inlineStr">
        <is>
          <t>Shopee</t>
        </is>
      </c>
      <c r="G982" s="2" t="inlineStr">
        <is>
          <t>KBH4S-08*117</t>
        </is>
      </c>
      <c r="H982" s="3" t="inlineStr">
        <is>
          <t>Mũi khoan ĐN lục giác 4 cạnh KBH4S-08*117</t>
        </is>
      </c>
      <c r="I982" s="4" t="n">
        <v>41000</v>
      </c>
      <c r="J982" s="4" t="n"/>
      <c r="K982" s="4">
        <f>IF(AND(ISNUMBER(J982),ISNUMBER(I982)),J982-I982,"")</f>
        <v/>
      </c>
      <c r="L982" s="5">
        <f>IF(AND(ISNUMBER(J982),ISNUMBER(I982),I982&gt;0),(J982-I982)/I982,"")</f>
        <v/>
      </c>
      <c r="M982" s="2">
        <f>IF(L982="","",IF(L982&lt;-0.05,"Bán phá giá",IF(L982&gt;0.05,"Bán cao hơn","Đúng giá niêm yết")))</f>
        <v/>
      </c>
      <c r="N982" s="2" t="n"/>
      <c r="O982" s="3" t="n"/>
      <c r="P982" s="3" t="n"/>
    </row>
    <row r="983">
      <c r="A983" s="2" t="n">
        <v>982</v>
      </c>
      <c r="B983" s="2" t="inlineStr">
        <is>
          <t>KH005</t>
        </is>
      </c>
      <c r="C983" s="3" t="inlineStr">
        <is>
          <t>ThinkSafe HCM</t>
        </is>
      </c>
      <c r="D983" s="2" t="inlineStr">
        <is>
          <t>HCM</t>
        </is>
      </c>
      <c r="E983" s="2" t="inlineStr">
        <is>
          <t>XUÂN TRANG</t>
        </is>
      </c>
      <c r="F983" s="2" t="inlineStr">
        <is>
          <t>Shopee</t>
        </is>
      </c>
      <c r="G983" s="2" t="inlineStr">
        <is>
          <t>KBH4S-10*123</t>
        </is>
      </c>
      <c r="H983" s="3" t="inlineStr">
        <is>
          <t>Mũi khoan ĐN lục giác 4 cạnh KBH4S-10*123</t>
        </is>
      </c>
      <c r="I983" s="4" t="n">
        <v>51000</v>
      </c>
      <c r="J983" s="4" t="n"/>
      <c r="K983" s="4">
        <f>IF(AND(ISNUMBER(J983),ISNUMBER(I983)),J983-I983,"")</f>
        <v/>
      </c>
      <c r="L983" s="5">
        <f>IF(AND(ISNUMBER(J983),ISNUMBER(I983),I983&gt;0),(J983-I983)/I983,"")</f>
        <v/>
      </c>
      <c r="M983" s="2">
        <f>IF(L983="","",IF(L983&lt;-0.05,"Bán phá giá",IF(L983&gt;0.05,"Bán cao hơn","Đúng giá niêm yết")))</f>
        <v/>
      </c>
      <c r="N983" s="2" t="n"/>
      <c r="O983" s="3" t="n"/>
      <c r="P983" s="3" t="n"/>
    </row>
    <row r="984">
      <c r="A984" s="2" t="n">
        <v>983</v>
      </c>
      <c r="B984" s="2" t="inlineStr">
        <is>
          <t>KH005</t>
        </is>
      </c>
      <c r="C984" s="3" t="inlineStr">
        <is>
          <t>ThinkSafe HCM</t>
        </is>
      </c>
      <c r="D984" s="2" t="inlineStr">
        <is>
          <t>HCM</t>
        </is>
      </c>
      <c r="E984" s="2" t="inlineStr">
        <is>
          <t>XUÂN TRANG</t>
        </is>
      </c>
      <c r="F984" s="2" t="inlineStr">
        <is>
          <t>Shopee</t>
        </is>
      </c>
      <c r="G984" s="2" t="inlineStr">
        <is>
          <t>KBH4S-12*123</t>
        </is>
      </c>
      <c r="H984" s="3" t="inlineStr">
        <is>
          <t>Mũi khoan ĐN lục giác 4 cạnh KBH4S-12*123</t>
        </is>
      </c>
      <c r="I984" s="4" t="n">
        <v>62000</v>
      </c>
      <c r="J984" s="4" t="n"/>
      <c r="K984" s="4">
        <f>IF(AND(ISNUMBER(J984),ISNUMBER(I984)),J984-I984,"")</f>
        <v/>
      </c>
      <c r="L984" s="5">
        <f>IF(AND(ISNUMBER(J984),ISNUMBER(I984),I984&gt;0),(J984-I984)/I984,"")</f>
        <v/>
      </c>
      <c r="M984" s="2">
        <f>IF(L984="","",IF(L984&lt;-0.05,"Bán phá giá",IF(L984&gt;0.05,"Bán cao hơn","Đúng giá niêm yết")))</f>
        <v/>
      </c>
      <c r="N984" s="2" t="n"/>
      <c r="O984" s="3" t="n"/>
      <c r="P984" s="3" t="n"/>
    </row>
    <row r="985">
      <c r="A985" s="2" t="n">
        <v>984</v>
      </c>
      <c r="B985" s="2" t="inlineStr">
        <is>
          <t>KH005</t>
        </is>
      </c>
      <c r="C985" s="3" t="inlineStr">
        <is>
          <t>ThinkSafe HCM</t>
        </is>
      </c>
      <c r="D985" s="2" t="inlineStr">
        <is>
          <t>HCM</t>
        </is>
      </c>
      <c r="E985" s="2" t="inlineStr">
        <is>
          <t>XUÂN TRANG</t>
        </is>
      </c>
      <c r="F985" s="2" t="inlineStr">
        <is>
          <t>Shopee</t>
        </is>
      </c>
      <c r="G985" s="2" t="inlineStr">
        <is>
          <t>KBH4S-3.5*92</t>
        </is>
      </c>
      <c r="H985" s="3" t="inlineStr">
        <is>
          <t>Mũi khoan ĐN lục giác 4 cạnh KBH4S-3.5*92</t>
        </is>
      </c>
      <c r="I985" s="4" t="n">
        <v>32000</v>
      </c>
      <c r="J985" s="4" t="n"/>
      <c r="K985" s="4">
        <f>IF(AND(ISNUMBER(J985),ISNUMBER(I985)),J985-I985,"")</f>
        <v/>
      </c>
      <c r="L985" s="5">
        <f>IF(AND(ISNUMBER(J985),ISNUMBER(I985),I985&gt;0),(J985-I985)/I985,"")</f>
        <v/>
      </c>
      <c r="M985" s="2">
        <f>IF(L985="","",IF(L985&lt;-0.05,"Bán phá giá",IF(L985&gt;0.05,"Bán cao hơn","Đúng giá niêm yết")))</f>
        <v/>
      </c>
      <c r="N985" s="2" t="n"/>
      <c r="O985" s="3" t="n"/>
      <c r="P985" s="3" t="n"/>
    </row>
    <row r="986">
      <c r="A986" s="2" t="n">
        <v>985</v>
      </c>
      <c r="B986" s="2" t="inlineStr">
        <is>
          <t>KH005</t>
        </is>
      </c>
      <c r="C986" s="3" t="inlineStr">
        <is>
          <t>ThinkSafe HCM</t>
        </is>
      </c>
      <c r="D986" s="2" t="inlineStr">
        <is>
          <t>HCM</t>
        </is>
      </c>
      <c r="E986" s="2" t="inlineStr">
        <is>
          <t>XUÂN TRANG</t>
        </is>
      </c>
      <c r="F986" s="2" t="inlineStr">
        <is>
          <t>Shopee</t>
        </is>
      </c>
      <c r="G986" s="2" t="inlineStr">
        <is>
          <t>KBX1-06*200</t>
        </is>
      </c>
      <c r="H986" s="3" t="inlineStr">
        <is>
          <t>Mũi khoan gỗ chuôi lục KBX1-06*200</t>
        </is>
      </c>
      <c r="I986" s="4" t="n">
        <v>38000</v>
      </c>
      <c r="J986" s="4" t="n"/>
      <c r="K986" s="4">
        <f>IF(AND(ISNUMBER(J986),ISNUMBER(I986)),J986-I986,"")</f>
        <v/>
      </c>
      <c r="L986" s="5">
        <f>IF(AND(ISNUMBER(J986),ISNUMBER(I986),I986&gt;0),(J986-I986)/I986,"")</f>
        <v/>
      </c>
      <c r="M986" s="2">
        <f>IF(L986="","",IF(L986&lt;-0.05,"Bán phá giá",IF(L986&gt;0.05,"Bán cao hơn","Đúng giá niêm yết")))</f>
        <v/>
      </c>
      <c r="N986" s="2" t="n"/>
      <c r="O986" s="3" t="n"/>
      <c r="P986" s="3" t="n"/>
    </row>
    <row r="987">
      <c r="A987" s="2" t="n">
        <v>986</v>
      </c>
      <c r="B987" s="2" t="inlineStr">
        <is>
          <t>KH005</t>
        </is>
      </c>
      <c r="C987" s="3" t="inlineStr">
        <is>
          <t>ThinkSafe HCM</t>
        </is>
      </c>
      <c r="D987" s="2" t="inlineStr">
        <is>
          <t>HCM</t>
        </is>
      </c>
      <c r="E987" s="2" t="inlineStr">
        <is>
          <t>XUÂN TRANG</t>
        </is>
      </c>
      <c r="F987" s="2" t="inlineStr">
        <is>
          <t>Shopee</t>
        </is>
      </c>
      <c r="G987" s="2" t="inlineStr">
        <is>
          <t>KBX1-08*200</t>
        </is>
      </c>
      <c r="H987" s="3" t="inlineStr">
        <is>
          <t>Mũi khoan gỗ chuôi lục KBX1-08*200</t>
        </is>
      </c>
      <c r="I987" s="4" t="n">
        <v>52000</v>
      </c>
      <c r="J987" s="4" t="n"/>
      <c r="K987" s="4">
        <f>IF(AND(ISNUMBER(J987),ISNUMBER(I987)),J987-I987,"")</f>
        <v/>
      </c>
      <c r="L987" s="5">
        <f>IF(AND(ISNUMBER(J987),ISNUMBER(I987),I987&gt;0),(J987-I987)/I987,"")</f>
        <v/>
      </c>
      <c r="M987" s="2">
        <f>IF(L987="","",IF(L987&lt;-0.05,"Bán phá giá",IF(L987&gt;0.05,"Bán cao hơn","Đúng giá niêm yết")))</f>
        <v/>
      </c>
      <c r="N987" s="2" t="n"/>
      <c r="O987" s="3" t="n"/>
      <c r="P987" s="3" t="n"/>
    </row>
    <row r="988">
      <c r="A988" s="2" t="n">
        <v>987</v>
      </c>
      <c r="B988" s="2" t="inlineStr">
        <is>
          <t>KH005</t>
        </is>
      </c>
      <c r="C988" s="3" t="inlineStr">
        <is>
          <t>ThinkSafe HCM</t>
        </is>
      </c>
      <c r="D988" s="2" t="inlineStr">
        <is>
          <t>HCM</t>
        </is>
      </c>
      <c r="E988" s="2" t="inlineStr">
        <is>
          <t>XUÂN TRANG</t>
        </is>
      </c>
      <c r="F988" s="2" t="inlineStr">
        <is>
          <t>Shopee</t>
        </is>
      </c>
      <c r="G988" s="2" t="inlineStr">
        <is>
          <t>KRS-55*155</t>
        </is>
      </c>
      <c r="H988" s="3" t="inlineStr">
        <is>
          <t>Mũi khoan rút lõi khô KRS-55*155 (new)</t>
        </is>
      </c>
      <c r="I988" s="4" t="n">
        <v>1390000</v>
      </c>
      <c r="J988" s="4" t="n"/>
      <c r="K988" s="4">
        <f>IF(AND(ISNUMBER(J988),ISNUMBER(I988)),J988-I988,"")</f>
        <v/>
      </c>
      <c r="L988" s="5">
        <f>IF(AND(ISNUMBER(J988),ISNUMBER(I988),I988&gt;0),(J988-I988)/I988,"")</f>
        <v/>
      </c>
      <c r="M988" s="2">
        <f>IF(L988="","",IF(L988&lt;-0.05,"Bán phá giá",IF(L988&gt;0.05,"Bán cao hơn","Đúng giá niêm yết")))</f>
        <v/>
      </c>
      <c r="N988" s="2" t="n"/>
      <c r="O988" s="3" t="n"/>
      <c r="P988" s="3" t="n"/>
    </row>
    <row r="989">
      <c r="A989" s="2" t="n">
        <v>988</v>
      </c>
      <c r="B989" s="2" t="inlineStr">
        <is>
          <t>KH005</t>
        </is>
      </c>
      <c r="C989" s="3" t="inlineStr">
        <is>
          <t>ThinkSafe HCM</t>
        </is>
      </c>
      <c r="D989" s="2" t="inlineStr">
        <is>
          <t>HCM</t>
        </is>
      </c>
      <c r="E989" s="2" t="inlineStr">
        <is>
          <t>XUÂN TRANG</t>
        </is>
      </c>
      <c r="F989" s="2" t="inlineStr">
        <is>
          <t>Shopee</t>
        </is>
      </c>
      <c r="G989" s="2" t="inlineStr">
        <is>
          <t>KRS-60*155</t>
        </is>
      </c>
      <c r="H989" s="3" t="inlineStr">
        <is>
          <t>Mũi khoan rút lõi khô KRS-60*155</t>
        </is>
      </c>
      <c r="I989" s="4" t="n">
        <v>1490000</v>
      </c>
      <c r="J989" s="4" t="n"/>
      <c r="K989" s="4">
        <f>IF(AND(ISNUMBER(J989),ISNUMBER(I989)),J989-I989,"")</f>
        <v/>
      </c>
      <c r="L989" s="5">
        <f>IF(AND(ISNUMBER(J989),ISNUMBER(I989),I989&gt;0),(J989-I989)/I989,"")</f>
        <v/>
      </c>
      <c r="M989" s="2">
        <f>IF(L989="","",IF(L989&lt;-0.05,"Bán phá giá",IF(L989&gt;0.05,"Bán cao hơn","Đúng giá niêm yết")))</f>
        <v/>
      </c>
      <c r="N989" s="2" t="n"/>
      <c r="O989" s="3" t="n"/>
      <c r="P989" s="3" t="n"/>
    </row>
    <row r="990">
      <c r="A990" s="2" t="n">
        <v>989</v>
      </c>
      <c r="B990" s="2" t="inlineStr">
        <is>
          <t>KH005</t>
        </is>
      </c>
      <c r="C990" s="3" t="inlineStr">
        <is>
          <t>ThinkSafe HCM</t>
        </is>
      </c>
      <c r="D990" s="2" t="inlineStr">
        <is>
          <t>HCM</t>
        </is>
      </c>
      <c r="E990" s="2" t="inlineStr">
        <is>
          <t>XUÂN TRANG</t>
        </is>
      </c>
      <c r="F990" s="2" t="inlineStr">
        <is>
          <t>Shopee</t>
        </is>
      </c>
      <c r="G990" s="2" t="inlineStr">
        <is>
          <t>KRS-60*155</t>
        </is>
      </c>
      <c r="H990" s="3" t="inlineStr">
        <is>
          <t>Mũi khoan rút lõi khô KRS-60*155 (New)</t>
        </is>
      </c>
      <c r="I990" s="4" t="n">
        <v>1490000</v>
      </c>
      <c r="J990" s="4" t="n"/>
      <c r="K990" s="4">
        <f>IF(AND(ISNUMBER(J990),ISNUMBER(I990)),J990-I990,"")</f>
        <v/>
      </c>
      <c r="L990" s="5">
        <f>IF(AND(ISNUMBER(J990),ISNUMBER(I990),I990&gt;0),(J990-I990)/I990,"")</f>
        <v/>
      </c>
      <c r="M990" s="2">
        <f>IF(L990="","",IF(L990&lt;-0.05,"Bán phá giá",IF(L990&gt;0.05,"Bán cao hơn","Đúng giá niêm yết")))</f>
        <v/>
      </c>
      <c r="N990" s="2" t="n"/>
      <c r="O990" s="3" t="n"/>
      <c r="P990" s="3" t="n"/>
    </row>
    <row r="991">
      <c r="A991" s="2" t="n">
        <v>990</v>
      </c>
      <c r="B991" s="2" t="inlineStr">
        <is>
          <t>KH005</t>
        </is>
      </c>
      <c r="C991" s="3" t="inlineStr">
        <is>
          <t>ThinkSafe HCM</t>
        </is>
      </c>
      <c r="D991" s="2" t="inlineStr">
        <is>
          <t>HCM</t>
        </is>
      </c>
      <c r="E991" s="2" t="inlineStr">
        <is>
          <t>XUÂN TRANG</t>
        </is>
      </c>
      <c r="F991" s="2" t="inlineStr">
        <is>
          <t>Shopee</t>
        </is>
      </c>
      <c r="G991" s="2" t="inlineStr">
        <is>
          <t>KRS-63*155</t>
        </is>
      </c>
      <c r="H991" s="3" t="inlineStr">
        <is>
          <t>Mũi khoan rút lõi khô KRS-63*155</t>
        </is>
      </c>
      <c r="I991" s="4" t="n">
        <v>1350000</v>
      </c>
      <c r="J991" s="4" t="n"/>
      <c r="K991" s="4">
        <f>IF(AND(ISNUMBER(J991),ISNUMBER(I991)),J991-I991,"")</f>
        <v/>
      </c>
      <c r="L991" s="5">
        <f>IF(AND(ISNUMBER(J991),ISNUMBER(I991),I991&gt;0),(J991-I991)/I991,"")</f>
        <v/>
      </c>
      <c r="M991" s="2">
        <f>IF(L991="","",IF(L991&lt;-0.05,"Bán phá giá",IF(L991&gt;0.05,"Bán cao hơn","Đúng giá niêm yết")))</f>
        <v/>
      </c>
      <c r="N991" s="2" t="n"/>
      <c r="O991" s="3" t="n"/>
      <c r="P991" s="3" t="n"/>
    </row>
    <row r="992">
      <c r="A992" s="2" t="n">
        <v>991</v>
      </c>
      <c r="B992" s="2" t="inlineStr">
        <is>
          <t>KH005</t>
        </is>
      </c>
      <c r="C992" s="3" t="inlineStr">
        <is>
          <t>ThinkSafe HCM</t>
        </is>
      </c>
      <c r="D992" s="2" t="inlineStr">
        <is>
          <t>HCM</t>
        </is>
      </c>
      <c r="E992" s="2" t="inlineStr">
        <is>
          <t>XUÂN TRANG</t>
        </is>
      </c>
      <c r="F992" s="2" t="inlineStr">
        <is>
          <t>Shopee</t>
        </is>
      </c>
      <c r="G992" s="2" t="inlineStr">
        <is>
          <t>KBR-M3*0.5</t>
        </is>
      </c>
      <c r="H992" s="3" t="inlineStr">
        <is>
          <t>Mũi khoan TARO KBR-M3*0.5</t>
        </is>
      </c>
      <c r="I992" s="4" t="n">
        <v>75000</v>
      </c>
      <c r="J992" s="4" t="n"/>
      <c r="K992" s="4">
        <f>IF(AND(ISNUMBER(J992),ISNUMBER(I992)),J992-I992,"")</f>
        <v/>
      </c>
      <c r="L992" s="5">
        <f>IF(AND(ISNUMBER(J992),ISNUMBER(I992),I992&gt;0),(J992-I992)/I992,"")</f>
        <v/>
      </c>
      <c r="M992" s="2">
        <f>IF(L992="","",IF(L992&lt;-0.05,"Bán phá giá",IF(L992&gt;0.05,"Bán cao hơn","Đúng giá niêm yết")))</f>
        <v/>
      </c>
      <c r="N992" s="2" t="n"/>
      <c r="O992" s="3" t="n"/>
      <c r="P992" s="3" t="n"/>
    </row>
    <row r="993">
      <c r="A993" s="2" t="n">
        <v>992</v>
      </c>
      <c r="B993" s="2" t="inlineStr">
        <is>
          <t>KH005</t>
        </is>
      </c>
      <c r="C993" s="3" t="inlineStr">
        <is>
          <t>ThinkSafe HCM</t>
        </is>
      </c>
      <c r="D993" s="2" t="inlineStr">
        <is>
          <t>HCM</t>
        </is>
      </c>
      <c r="E993" s="2" t="inlineStr">
        <is>
          <t>XUÂN TRANG</t>
        </is>
      </c>
      <c r="F993" s="2" t="inlineStr">
        <is>
          <t>Shopee</t>
        </is>
      </c>
      <c r="G993" s="2" t="inlineStr"/>
      <c r="H993" s="3" t="inlineStr">
        <is>
          <t>Mũi khoan tường không tắc kê KBLJ - 03*100</t>
        </is>
      </c>
      <c r="I993" s="4" t="n">
        <v>70000</v>
      </c>
      <c r="J993" s="4" t="n"/>
      <c r="K993" s="4">
        <f>IF(AND(ISNUMBER(J993),ISNUMBER(I993)),J993-I993,"")</f>
        <v/>
      </c>
      <c r="L993" s="5">
        <f>IF(AND(ISNUMBER(J993),ISNUMBER(I993),I993&gt;0),(J993-I993)/I993,"")</f>
        <v/>
      </c>
      <c r="M993" s="2">
        <f>IF(L993="","",IF(L993&lt;-0.05,"Bán phá giá",IF(L993&gt;0.05,"Bán cao hơn","Đúng giá niêm yết")))</f>
        <v/>
      </c>
      <c r="N993" s="2" t="n"/>
      <c r="O993" s="3" t="n"/>
      <c r="P993" s="3" t="n"/>
    </row>
    <row r="994">
      <c r="A994" s="2" t="n">
        <v>993</v>
      </c>
      <c r="B994" s="2" t="inlineStr">
        <is>
          <t>KH005</t>
        </is>
      </c>
      <c r="C994" s="3" t="inlineStr">
        <is>
          <t>ThinkSafe HCM</t>
        </is>
      </c>
      <c r="D994" s="2" t="inlineStr">
        <is>
          <t>HCM</t>
        </is>
      </c>
      <c r="E994" s="2" t="inlineStr">
        <is>
          <t>XUÂN TRANG</t>
        </is>
      </c>
      <c r="F994" s="2" t="inlineStr">
        <is>
          <t>Shopee</t>
        </is>
      </c>
      <c r="G994" s="2" t="inlineStr"/>
      <c r="H994" s="3" t="inlineStr">
        <is>
          <t>Mũi khoan tường không tắc kê KBLJ - 03.2*100</t>
        </is>
      </c>
      <c r="I994" s="4" t="n">
        <v>70000</v>
      </c>
      <c r="J994" s="4" t="n"/>
      <c r="K994" s="4">
        <f>IF(AND(ISNUMBER(J994),ISNUMBER(I994)),J994-I994,"")</f>
        <v/>
      </c>
      <c r="L994" s="5">
        <f>IF(AND(ISNUMBER(J994),ISNUMBER(I994),I994&gt;0),(J994-I994)/I994,"")</f>
        <v/>
      </c>
      <c r="M994" s="2">
        <f>IF(L994="","",IF(L994&lt;-0.05,"Bán phá giá",IF(L994&gt;0.05,"Bán cao hơn","Đúng giá niêm yết")))</f>
        <v/>
      </c>
      <c r="N994" s="2" t="n"/>
      <c r="O994" s="3" t="n"/>
      <c r="P994" s="3" t="n"/>
    </row>
    <row r="995">
      <c r="A995" s="2" t="n">
        <v>994</v>
      </c>
      <c r="B995" s="2" t="inlineStr">
        <is>
          <t>KH005</t>
        </is>
      </c>
      <c r="C995" s="3" t="inlineStr">
        <is>
          <t>ThinkSafe HCM</t>
        </is>
      </c>
      <c r="D995" s="2" t="inlineStr">
        <is>
          <t>HCM</t>
        </is>
      </c>
      <c r="E995" s="2" t="inlineStr">
        <is>
          <t>XUÂN TRANG</t>
        </is>
      </c>
      <c r="F995" s="2" t="inlineStr">
        <is>
          <t>Shopee</t>
        </is>
      </c>
      <c r="G995" s="2" t="inlineStr"/>
      <c r="H995" s="3" t="inlineStr">
        <is>
          <t>Mũi khoan tường không tắc kê KBLJ - 03.5*100</t>
        </is>
      </c>
      <c r="I995" s="4" t="n">
        <v>35000</v>
      </c>
      <c r="J995" s="4" t="n"/>
      <c r="K995" s="4">
        <f>IF(AND(ISNUMBER(J995),ISNUMBER(I995)),J995-I995,"")</f>
        <v/>
      </c>
      <c r="L995" s="5">
        <f>IF(AND(ISNUMBER(J995),ISNUMBER(I995),I995&gt;0),(J995-I995)/I995,"")</f>
        <v/>
      </c>
      <c r="M995" s="2">
        <f>IF(L995="","",IF(L995&lt;-0.05,"Bán phá giá",IF(L995&gt;0.05,"Bán cao hơn","Đúng giá niêm yết")))</f>
        <v/>
      </c>
      <c r="N995" s="2" t="n"/>
      <c r="O995" s="3" t="n"/>
      <c r="P995" s="3" t="n"/>
    </row>
    <row r="996">
      <c r="A996" s="2" t="n">
        <v>995</v>
      </c>
      <c r="B996" s="2" t="inlineStr">
        <is>
          <t>KH005</t>
        </is>
      </c>
      <c r="C996" s="3" t="inlineStr">
        <is>
          <t>ThinkSafe HCM</t>
        </is>
      </c>
      <c r="D996" s="2" t="inlineStr">
        <is>
          <t>HCM</t>
        </is>
      </c>
      <c r="E996" s="2" t="inlineStr">
        <is>
          <t>XUÂN TRANG</t>
        </is>
      </c>
      <c r="F996" s="2" t="inlineStr">
        <is>
          <t>Shopee</t>
        </is>
      </c>
      <c r="G996" s="2" t="inlineStr"/>
      <c r="H996" s="3" t="inlineStr">
        <is>
          <t>Mũi khoan tường không tắc kê KBLJ - 04*100</t>
        </is>
      </c>
      <c r="I996" s="4" t="n">
        <v>35000</v>
      </c>
      <c r="J996" s="4" t="n"/>
      <c r="K996" s="4">
        <f>IF(AND(ISNUMBER(J996),ISNUMBER(I996)),J996-I996,"")</f>
        <v/>
      </c>
      <c r="L996" s="5">
        <f>IF(AND(ISNUMBER(J996),ISNUMBER(I996),I996&gt;0),(J996-I996)/I996,"")</f>
        <v/>
      </c>
      <c r="M996" s="2">
        <f>IF(L996="","",IF(L996&lt;-0.05,"Bán phá giá",IF(L996&gt;0.05,"Bán cao hơn","Đúng giá niêm yết")))</f>
        <v/>
      </c>
      <c r="N996" s="2" t="n"/>
      <c r="O996" s="3" t="n"/>
      <c r="P996" s="3" t="n"/>
    </row>
    <row r="997">
      <c r="A997" s="2" t="n">
        <v>996</v>
      </c>
      <c r="B997" s="2" t="inlineStr">
        <is>
          <t>KH005</t>
        </is>
      </c>
      <c r="C997" s="3" t="inlineStr">
        <is>
          <t>ThinkSafe HCM</t>
        </is>
      </c>
      <c r="D997" s="2" t="inlineStr">
        <is>
          <t>HCM</t>
        </is>
      </c>
      <c r="E997" s="2" t="inlineStr">
        <is>
          <t>XUÂN TRANG</t>
        </is>
      </c>
      <c r="F997" s="2" t="inlineStr">
        <is>
          <t>Shopee</t>
        </is>
      </c>
      <c r="G997" s="2" t="inlineStr"/>
      <c r="H997" s="3" t="inlineStr">
        <is>
          <t>Mũi khoan tường không tắc kê KBLJ - 04.2*100</t>
        </is>
      </c>
      <c r="I997" s="4" t="n">
        <v>35000</v>
      </c>
      <c r="J997" s="4" t="n"/>
      <c r="K997" s="4">
        <f>IF(AND(ISNUMBER(J997),ISNUMBER(I997)),J997-I997,"")</f>
        <v/>
      </c>
      <c r="L997" s="5">
        <f>IF(AND(ISNUMBER(J997),ISNUMBER(I997),I997&gt;0),(J997-I997)/I997,"")</f>
        <v/>
      </c>
      <c r="M997" s="2">
        <f>IF(L997="","",IF(L997&lt;-0.05,"Bán phá giá",IF(L997&gt;0.05,"Bán cao hơn","Đúng giá niêm yết")))</f>
        <v/>
      </c>
      <c r="N997" s="2" t="n"/>
      <c r="O997" s="3" t="n"/>
      <c r="P997" s="3" t="n"/>
    </row>
    <row r="998">
      <c r="A998" s="2" t="n">
        <v>997</v>
      </c>
      <c r="B998" s="2" t="inlineStr">
        <is>
          <t>KH005</t>
        </is>
      </c>
      <c r="C998" s="3" t="inlineStr">
        <is>
          <t>ThinkSafe HCM</t>
        </is>
      </c>
      <c r="D998" s="2" t="inlineStr">
        <is>
          <t>HCM</t>
        </is>
      </c>
      <c r="E998" s="2" t="inlineStr">
        <is>
          <t>XUÂN TRANG</t>
        </is>
      </c>
      <c r="F998" s="2" t="inlineStr">
        <is>
          <t>Shopee</t>
        </is>
      </c>
      <c r="G998" s="2" t="inlineStr"/>
      <c r="H998" s="3" t="inlineStr">
        <is>
          <t>Mũi khoan tường không tắc kê KBLJ - 04.5*100</t>
        </is>
      </c>
      <c r="I998" s="4" t="n">
        <v>35000</v>
      </c>
      <c r="J998" s="4" t="n"/>
      <c r="K998" s="4">
        <f>IF(AND(ISNUMBER(J998),ISNUMBER(I998)),J998-I998,"")</f>
        <v/>
      </c>
      <c r="L998" s="5">
        <f>IF(AND(ISNUMBER(J998),ISNUMBER(I998),I998&gt;0),(J998-I998)/I998,"")</f>
        <v/>
      </c>
      <c r="M998" s="2">
        <f>IF(L998="","",IF(L998&lt;-0.05,"Bán phá giá",IF(L998&gt;0.05,"Bán cao hơn","Đúng giá niêm yết")))</f>
        <v/>
      </c>
      <c r="N998" s="2" t="n"/>
      <c r="O998" s="3" t="n"/>
      <c r="P998" s="3" t="n"/>
    </row>
    <row r="999">
      <c r="A999" s="2" t="n">
        <v>998</v>
      </c>
      <c r="B999" s="2" t="inlineStr">
        <is>
          <t>KH005</t>
        </is>
      </c>
      <c r="C999" s="3" t="inlineStr">
        <is>
          <t>ThinkSafe HCM</t>
        </is>
      </c>
      <c r="D999" s="2" t="inlineStr">
        <is>
          <t>HCM</t>
        </is>
      </c>
      <c r="E999" s="2" t="inlineStr">
        <is>
          <t>XUÂN TRANG</t>
        </is>
      </c>
      <c r="F999" s="2" t="inlineStr">
        <is>
          <t>Shopee</t>
        </is>
      </c>
      <c r="G999" s="2" t="inlineStr"/>
      <c r="H999" s="3" t="inlineStr">
        <is>
          <t>Mũi khoan tường không tắc kê KBLJ - 05*100</t>
        </is>
      </c>
      <c r="I999" s="4" t="n">
        <v>35000</v>
      </c>
      <c r="J999" s="4" t="n"/>
      <c r="K999" s="4">
        <f>IF(AND(ISNUMBER(J999),ISNUMBER(I999)),J999-I999,"")</f>
        <v/>
      </c>
      <c r="L999" s="5">
        <f>IF(AND(ISNUMBER(J999),ISNUMBER(I999),I999&gt;0),(J999-I999)/I999,"")</f>
        <v/>
      </c>
      <c r="M999" s="2">
        <f>IF(L999="","",IF(L999&lt;-0.05,"Bán phá giá",IF(L999&gt;0.05,"Bán cao hơn","Đúng giá niêm yết")))</f>
        <v/>
      </c>
      <c r="N999" s="2" t="n"/>
      <c r="O999" s="3" t="n"/>
      <c r="P999" s="3" t="n"/>
    </row>
    <row r="1000">
      <c r="A1000" s="2" t="n">
        <v>999</v>
      </c>
      <c r="B1000" s="2" t="inlineStr">
        <is>
          <t>KH005</t>
        </is>
      </c>
      <c r="C1000" s="3" t="inlineStr">
        <is>
          <t>ThinkSafe HCM</t>
        </is>
      </c>
      <c r="D1000" s="2" t="inlineStr">
        <is>
          <t>HCM</t>
        </is>
      </c>
      <c r="E1000" s="2" t="inlineStr">
        <is>
          <t>XUÂN TRANG</t>
        </is>
      </c>
      <c r="F1000" s="2" t="inlineStr">
        <is>
          <t>Shopee</t>
        </is>
      </c>
      <c r="G1000" s="2" t="inlineStr"/>
      <c r="H1000" s="3" t="inlineStr">
        <is>
          <t>Mũi khoan tường không tắc kê KBLJ - 05.5*100</t>
        </is>
      </c>
      <c r="I1000" s="4" t="n">
        <v>35000</v>
      </c>
      <c r="J1000" s="4" t="n"/>
      <c r="K1000" s="4">
        <f>IF(AND(ISNUMBER(J1000),ISNUMBER(I1000)),J1000-I1000,"")</f>
        <v/>
      </c>
      <c r="L1000" s="5">
        <f>IF(AND(ISNUMBER(J1000),ISNUMBER(I1000),I1000&gt;0),(J1000-I1000)/I1000,"")</f>
        <v/>
      </c>
      <c r="M1000" s="2">
        <f>IF(L1000="","",IF(L1000&lt;-0.05,"Bán phá giá",IF(L1000&gt;0.05,"Bán cao hơn","Đúng giá niêm yết")))</f>
        <v/>
      </c>
      <c r="N1000" s="2" t="n"/>
      <c r="O1000" s="3" t="n"/>
      <c r="P1000" s="3" t="n"/>
    </row>
    <row r="1001">
      <c r="A1001" s="2" t="n">
        <v>1000</v>
      </c>
      <c r="B1001" s="2" t="inlineStr">
        <is>
          <t>KH005</t>
        </is>
      </c>
      <c r="C1001" s="3" t="inlineStr">
        <is>
          <t>ThinkSafe HCM</t>
        </is>
      </c>
      <c r="D1001" s="2" t="inlineStr">
        <is>
          <t>HCM</t>
        </is>
      </c>
      <c r="E1001" s="2" t="inlineStr">
        <is>
          <t>XUÂN TRANG</t>
        </is>
      </c>
      <c r="F1001" s="2" t="inlineStr">
        <is>
          <t>Shopee</t>
        </is>
      </c>
      <c r="G1001" s="2" t="inlineStr"/>
      <c r="H1001" s="3" t="inlineStr">
        <is>
          <t>Mũi khoan tường không tắc kê KBLJ - 06*125</t>
        </is>
      </c>
      <c r="I1001" s="4" t="n">
        <v>43000</v>
      </c>
      <c r="J1001" s="4" t="n"/>
      <c r="K1001" s="4">
        <f>IF(AND(ISNUMBER(J1001),ISNUMBER(I1001)),J1001-I1001,"")</f>
        <v/>
      </c>
      <c r="L1001" s="5">
        <f>IF(AND(ISNUMBER(J1001),ISNUMBER(I1001),I1001&gt;0),(J1001-I1001)/I1001,"")</f>
        <v/>
      </c>
      <c r="M1001" s="2">
        <f>IF(L1001="","",IF(L1001&lt;-0.05,"Bán phá giá",IF(L1001&gt;0.05,"Bán cao hơn","Đúng giá niêm yết")))</f>
        <v/>
      </c>
      <c r="N1001" s="2" t="n"/>
      <c r="O1001" s="3" t="n"/>
      <c r="P1001" s="3" t="n"/>
    </row>
    <row r="1002">
      <c r="A1002" s="2" t="n">
        <v>1001</v>
      </c>
      <c r="B1002" s="2" t="inlineStr">
        <is>
          <t>KH005</t>
        </is>
      </c>
      <c r="C1002" s="3" t="inlineStr">
        <is>
          <t>ThinkSafe HCM</t>
        </is>
      </c>
      <c r="D1002" s="2" t="inlineStr">
        <is>
          <t>HCM</t>
        </is>
      </c>
      <c r="E1002" s="2" t="inlineStr">
        <is>
          <t>XUÂN TRANG</t>
        </is>
      </c>
      <c r="F1002" s="2" t="inlineStr">
        <is>
          <t>Shopee</t>
        </is>
      </c>
      <c r="G1002" s="2" t="inlineStr"/>
      <c r="H1002" s="3" t="inlineStr">
        <is>
          <t>Mũi khoan tường không tắc kê KBLJ - 08*125</t>
        </is>
      </c>
      <c r="I1002" s="4" t="n">
        <v>53000</v>
      </c>
      <c r="J1002" s="4" t="n"/>
      <c r="K1002" s="4">
        <f>IF(AND(ISNUMBER(J1002),ISNUMBER(I1002)),J1002-I1002,"")</f>
        <v/>
      </c>
      <c r="L1002" s="5">
        <f>IF(AND(ISNUMBER(J1002),ISNUMBER(I1002),I1002&gt;0),(J1002-I1002)/I1002,"")</f>
        <v/>
      </c>
      <c r="M1002" s="2">
        <f>IF(L1002="","",IF(L1002&lt;-0.05,"Bán phá giá",IF(L1002&gt;0.05,"Bán cao hơn","Đúng giá niêm yết")))</f>
        <v/>
      </c>
      <c r="N1002" s="2" t="n"/>
      <c r="O1002" s="3" t="n"/>
      <c r="P1002" s="3" t="n"/>
    </row>
    <row r="1003">
      <c r="A1003" s="2" t="n">
        <v>1002</v>
      </c>
      <c r="B1003" s="2" t="inlineStr">
        <is>
          <t>KH005</t>
        </is>
      </c>
      <c r="C1003" s="3" t="inlineStr">
        <is>
          <t>ThinkSafe HCM</t>
        </is>
      </c>
      <c r="D1003" s="2" t="inlineStr">
        <is>
          <t>HCM</t>
        </is>
      </c>
      <c r="E1003" s="2" t="inlineStr">
        <is>
          <t>XUÂN TRANG</t>
        </is>
      </c>
      <c r="F1003" s="2" t="inlineStr">
        <is>
          <t>Shopee</t>
        </is>
      </c>
      <c r="G1003" s="2" t="inlineStr"/>
      <c r="H1003" s="3" t="inlineStr">
        <is>
          <t>Mũi khoan tường không tắc kê KBLJ - 10*148</t>
        </is>
      </c>
      <c r="I1003" s="4" t="n">
        <v>63000</v>
      </c>
      <c r="J1003" s="4" t="n"/>
      <c r="K1003" s="4">
        <f>IF(AND(ISNUMBER(J1003),ISNUMBER(I1003)),J1003-I1003,"")</f>
        <v/>
      </c>
      <c r="L1003" s="5">
        <f>IF(AND(ISNUMBER(J1003),ISNUMBER(I1003),I1003&gt;0),(J1003-I1003)/I1003,"")</f>
        <v/>
      </c>
      <c r="M1003" s="2">
        <f>IF(L1003="","",IF(L1003&lt;-0.05,"Bán phá giá",IF(L1003&gt;0.05,"Bán cao hơn","Đúng giá niêm yết")))</f>
        <v/>
      </c>
      <c r="N1003" s="2" t="n"/>
      <c r="O1003" s="3" t="n"/>
      <c r="P1003" s="3" t="n"/>
    </row>
    <row r="1004">
      <c r="A1004" s="2" t="n">
        <v>1003</v>
      </c>
      <c r="B1004" s="2" t="inlineStr">
        <is>
          <t>KH005</t>
        </is>
      </c>
      <c r="C1004" s="3" t="inlineStr">
        <is>
          <t>ThinkSafe HCM</t>
        </is>
      </c>
      <c r="D1004" s="2" t="inlineStr">
        <is>
          <t>HCM</t>
        </is>
      </c>
      <c r="E1004" s="2" t="inlineStr">
        <is>
          <t>XUÂN TRANG</t>
        </is>
      </c>
      <c r="F1004" s="2" t="inlineStr">
        <is>
          <t>Shopee</t>
        </is>
      </c>
      <c r="G1004" s="2" t="inlineStr">
        <is>
          <t>KBT-04*12</t>
        </is>
      </c>
      <c r="H1004" s="3" t="inlineStr">
        <is>
          <t>Mũi khoan tháp M2 KBT-04*12</t>
        </is>
      </c>
      <c r="I1004" s="4" t="n">
        <v>106000</v>
      </c>
      <c r="J1004" s="4" t="n"/>
      <c r="K1004" s="4">
        <f>IF(AND(ISNUMBER(J1004),ISNUMBER(I1004)),J1004-I1004,"")</f>
        <v/>
      </c>
      <c r="L1004" s="5">
        <f>IF(AND(ISNUMBER(J1004),ISNUMBER(I1004),I1004&gt;0),(J1004-I1004)/I1004,"")</f>
        <v/>
      </c>
      <c r="M1004" s="2">
        <f>IF(L1004="","",IF(L1004&lt;-0.05,"Bán phá giá",IF(L1004&gt;0.05,"Bán cao hơn","Đúng giá niêm yết")))</f>
        <v/>
      </c>
      <c r="N1004" s="2" t="n"/>
      <c r="O1004" s="3" t="n"/>
      <c r="P1004" s="3" t="n"/>
    </row>
    <row r="1005">
      <c r="A1005" s="2" t="n">
        <v>1004</v>
      </c>
      <c r="B1005" s="2" t="inlineStr">
        <is>
          <t>KH005</t>
        </is>
      </c>
      <c r="C1005" s="3" t="inlineStr">
        <is>
          <t>ThinkSafe HCM</t>
        </is>
      </c>
      <c r="D1005" s="2" t="inlineStr">
        <is>
          <t>HCM</t>
        </is>
      </c>
      <c r="E1005" s="2" t="inlineStr">
        <is>
          <t>XUÂN TRANG</t>
        </is>
      </c>
      <c r="F1005" s="2" t="inlineStr">
        <is>
          <t>Shopee</t>
        </is>
      </c>
      <c r="G1005" s="2" t="inlineStr">
        <is>
          <t>KBT-04*20</t>
        </is>
      </c>
      <c r="H1005" s="3" t="inlineStr">
        <is>
          <t>Mũi khoan tháp M2 KBT-04*20</t>
        </is>
      </c>
      <c r="I1005" s="4" t="n">
        <v>202000</v>
      </c>
      <c r="J1005" s="4" t="n"/>
      <c r="K1005" s="4">
        <f>IF(AND(ISNUMBER(J1005),ISNUMBER(I1005)),J1005-I1005,"")</f>
        <v/>
      </c>
      <c r="L1005" s="5">
        <f>IF(AND(ISNUMBER(J1005),ISNUMBER(I1005),I1005&gt;0),(J1005-I1005)/I1005,"")</f>
        <v/>
      </c>
      <c r="M1005" s="2">
        <f>IF(L1005="","",IF(L1005&lt;-0.05,"Bán phá giá",IF(L1005&gt;0.05,"Bán cao hơn","Đúng giá niêm yết")))</f>
        <v/>
      </c>
      <c r="N1005" s="2" t="n"/>
      <c r="O1005" s="3" t="n"/>
      <c r="P1005" s="3" t="n"/>
    </row>
    <row r="1006">
      <c r="A1006" s="2" t="n">
        <v>1005</v>
      </c>
      <c r="B1006" s="2" t="inlineStr">
        <is>
          <t>KH005</t>
        </is>
      </c>
      <c r="C1006" s="3" t="inlineStr">
        <is>
          <t>ThinkSafe HCM</t>
        </is>
      </c>
      <c r="D1006" s="2" t="inlineStr">
        <is>
          <t>HCM</t>
        </is>
      </c>
      <c r="E1006" s="2" t="inlineStr">
        <is>
          <t>XUÂN TRANG</t>
        </is>
      </c>
      <c r="F1006" s="2" t="inlineStr">
        <is>
          <t>Shopee</t>
        </is>
      </c>
      <c r="G1006" s="2" t="inlineStr">
        <is>
          <t>KBT-04*32</t>
        </is>
      </c>
      <c r="H1006" s="3" t="inlineStr">
        <is>
          <t>Mũi khoan tháp M2 KBT-04*32</t>
        </is>
      </c>
      <c r="I1006" s="4" t="n">
        <v>379000</v>
      </c>
      <c r="J1006" s="4" t="n"/>
      <c r="K1006" s="4">
        <f>IF(AND(ISNUMBER(J1006),ISNUMBER(I1006)),J1006-I1006,"")</f>
        <v/>
      </c>
      <c r="L1006" s="5">
        <f>IF(AND(ISNUMBER(J1006),ISNUMBER(I1006),I1006&gt;0),(J1006-I1006)/I1006,"")</f>
        <v/>
      </c>
      <c r="M1006" s="2">
        <f>IF(L1006="","",IF(L1006&lt;-0.05,"Bán phá giá",IF(L1006&gt;0.05,"Bán cao hơn","Đúng giá niêm yết")))</f>
        <v/>
      </c>
      <c r="N1006" s="2" t="n"/>
      <c r="O1006" s="3" t="n"/>
      <c r="P1006" s="3" t="n"/>
    </row>
    <row r="1007">
      <c r="A1007" s="2" t="n">
        <v>1006</v>
      </c>
      <c r="B1007" s="2" t="inlineStr">
        <is>
          <t>KH005</t>
        </is>
      </c>
      <c r="C1007" s="3" t="inlineStr">
        <is>
          <t>ThinkSafe HCM</t>
        </is>
      </c>
      <c r="D1007" s="2" t="inlineStr">
        <is>
          <t>HCM</t>
        </is>
      </c>
      <c r="E1007" s="2" t="inlineStr">
        <is>
          <t>XUÂN TRANG</t>
        </is>
      </c>
      <c r="F1007" s="2" t="inlineStr">
        <is>
          <t>Shopee</t>
        </is>
      </c>
      <c r="G1007" s="2" t="inlineStr">
        <is>
          <t>KBL4-10*350</t>
        </is>
      </c>
      <c r="H1007" s="3" t="inlineStr">
        <is>
          <t>Mũi khoan xuyên tường 4 cạnh KBL4-10*350</t>
        </is>
      </c>
      <c r="I1007" s="4" t="n">
        <v>54000</v>
      </c>
      <c r="J1007" s="4" t="n"/>
      <c r="K1007" s="4">
        <f>IF(AND(ISNUMBER(J1007),ISNUMBER(I1007)),J1007-I1007,"")</f>
        <v/>
      </c>
      <c r="L1007" s="5">
        <f>IF(AND(ISNUMBER(J1007),ISNUMBER(I1007),I1007&gt;0),(J1007-I1007)/I1007,"")</f>
        <v/>
      </c>
      <c r="M1007" s="2">
        <f>IF(L1007="","",IF(L1007&lt;-0.05,"Bán phá giá",IF(L1007&gt;0.05,"Bán cao hơn","Đúng giá niêm yết")))</f>
        <v/>
      </c>
      <c r="N1007" s="2" t="n"/>
      <c r="O1007" s="3" t="n"/>
      <c r="P1007" s="3" t="n"/>
    </row>
    <row r="1008">
      <c r="A1008" s="2" t="n">
        <v>1007</v>
      </c>
      <c r="B1008" s="2" t="inlineStr">
        <is>
          <t>KH005</t>
        </is>
      </c>
      <c r="C1008" s="3" t="inlineStr">
        <is>
          <t>ThinkSafe HCM</t>
        </is>
      </c>
      <c r="D1008" s="2" t="inlineStr">
        <is>
          <t>HCM</t>
        </is>
      </c>
      <c r="E1008" s="2" t="inlineStr">
        <is>
          <t>XUÂN TRANG</t>
        </is>
      </c>
      <c r="F1008" s="2" t="inlineStr">
        <is>
          <t>Shopee</t>
        </is>
      </c>
      <c r="G1008" s="2" t="inlineStr">
        <is>
          <t>KBL4-12*350</t>
        </is>
      </c>
      <c r="H1008" s="3" t="inlineStr">
        <is>
          <t>Mũi khoan xuyên tường 4 cạnh KBL4-12*350</t>
        </is>
      </c>
      <c r="I1008" s="4" t="n">
        <v>82000</v>
      </c>
      <c r="J1008" s="4" t="n"/>
      <c r="K1008" s="4">
        <f>IF(AND(ISNUMBER(J1008),ISNUMBER(I1008)),J1008-I1008,"")</f>
        <v/>
      </c>
      <c r="L1008" s="5">
        <f>IF(AND(ISNUMBER(J1008),ISNUMBER(I1008),I1008&gt;0),(J1008-I1008)/I1008,"")</f>
        <v/>
      </c>
      <c r="M1008" s="2">
        <f>IF(L1008="","",IF(L1008&lt;-0.05,"Bán phá giá",IF(L1008&gt;0.05,"Bán cao hơn","Đúng giá niêm yết")))</f>
        <v/>
      </c>
      <c r="N1008" s="2" t="n"/>
      <c r="O1008" s="3" t="n"/>
      <c r="P1008" s="3" t="n"/>
    </row>
    <row r="1009">
      <c r="A1009" s="2" t="n">
        <v>1008</v>
      </c>
      <c r="B1009" s="2" t="inlineStr">
        <is>
          <t>KH005</t>
        </is>
      </c>
      <c r="C1009" s="3" t="inlineStr">
        <is>
          <t>ThinkSafe HCM</t>
        </is>
      </c>
      <c r="D1009" s="2" t="inlineStr">
        <is>
          <t>HCM</t>
        </is>
      </c>
      <c r="E1009" s="2" t="inlineStr">
        <is>
          <t>XUÂN TRANG</t>
        </is>
      </c>
      <c r="F1009" s="2" t="inlineStr">
        <is>
          <t>Shopee</t>
        </is>
      </c>
      <c r="G1009" s="2" t="inlineStr">
        <is>
          <t>KBL4-14*350</t>
        </is>
      </c>
      <c r="H1009" s="3" t="inlineStr">
        <is>
          <t>Mũi khoan xuyên tường 4 cạnh KBL4-14*350</t>
        </is>
      </c>
      <c r="I1009" s="4" t="n">
        <v>70000</v>
      </c>
      <c r="J1009" s="4" t="n"/>
      <c r="K1009" s="4">
        <f>IF(AND(ISNUMBER(J1009),ISNUMBER(I1009)),J1009-I1009,"")</f>
        <v/>
      </c>
      <c r="L1009" s="5">
        <f>IF(AND(ISNUMBER(J1009),ISNUMBER(I1009),I1009&gt;0),(J1009-I1009)/I1009,"")</f>
        <v/>
      </c>
      <c r="M1009" s="2">
        <f>IF(L1009="","",IF(L1009&lt;-0.05,"Bán phá giá",IF(L1009&gt;0.05,"Bán cao hơn","Đúng giá niêm yết")))</f>
        <v/>
      </c>
      <c r="N1009" s="2" t="n"/>
      <c r="O1009" s="3" t="n"/>
      <c r="P1009" s="3" t="n"/>
    </row>
    <row r="1010">
      <c r="A1010" s="2" t="n">
        <v>1009</v>
      </c>
      <c r="B1010" s="2" t="inlineStr">
        <is>
          <t>KH005</t>
        </is>
      </c>
      <c r="C1010" s="3" t="inlineStr">
        <is>
          <t>ThinkSafe HCM</t>
        </is>
      </c>
      <c r="D1010" s="2" t="inlineStr">
        <is>
          <t>HCM</t>
        </is>
      </c>
      <c r="E1010" s="2" t="inlineStr">
        <is>
          <t>XUÂN TRANG</t>
        </is>
      </c>
      <c r="F1010" s="2" t="inlineStr">
        <is>
          <t>Shopee</t>
        </is>
      </c>
      <c r="G1010" s="2" t="inlineStr">
        <is>
          <t>KBL4-16*350</t>
        </is>
      </c>
      <c r="H1010" s="3" t="inlineStr">
        <is>
          <t>Mũi khoan xuyên tường 4 cạnh KBL4-16*350</t>
        </is>
      </c>
      <c r="I1010" s="4" t="n">
        <v>84000</v>
      </c>
      <c r="J1010" s="4" t="n"/>
      <c r="K1010" s="4">
        <f>IF(AND(ISNUMBER(J1010),ISNUMBER(I1010)),J1010-I1010,"")</f>
        <v/>
      </c>
      <c r="L1010" s="5">
        <f>IF(AND(ISNUMBER(J1010),ISNUMBER(I1010),I1010&gt;0),(J1010-I1010)/I1010,"")</f>
        <v/>
      </c>
      <c r="M1010" s="2">
        <f>IF(L1010="","",IF(L1010&lt;-0.05,"Bán phá giá",IF(L1010&gt;0.05,"Bán cao hơn","Đúng giá niêm yết")))</f>
        <v/>
      </c>
      <c r="N1010" s="2" t="n"/>
      <c r="O1010" s="3" t="n"/>
      <c r="P1010" s="3" t="n"/>
    </row>
    <row r="1011">
      <c r="A1011" s="2" t="n">
        <v>1010</v>
      </c>
      <c r="B1011" s="2" t="inlineStr">
        <is>
          <t>KH005</t>
        </is>
      </c>
      <c r="C1011" s="3" t="inlineStr">
        <is>
          <t>ThinkSafe HCM</t>
        </is>
      </c>
      <c r="D1011" s="2" t="inlineStr">
        <is>
          <t>HCM</t>
        </is>
      </c>
      <c r="E1011" s="2" t="inlineStr">
        <is>
          <t>XUÂN TRANG</t>
        </is>
      </c>
      <c r="F1011" s="2" t="inlineStr">
        <is>
          <t>Shopee</t>
        </is>
      </c>
      <c r="G1011" s="2" t="inlineStr">
        <is>
          <t>KBL4-18*350</t>
        </is>
      </c>
      <c r="H1011" s="3" t="inlineStr">
        <is>
          <t>Mũi khoan xuyên tường 4 cạnh KBL4-18*350</t>
        </is>
      </c>
      <c r="I1011" s="4" t="n">
        <v>97000</v>
      </c>
      <c r="J1011" s="4" t="n"/>
      <c r="K1011" s="4">
        <f>IF(AND(ISNUMBER(J1011),ISNUMBER(I1011)),J1011-I1011,"")</f>
        <v/>
      </c>
      <c r="L1011" s="5">
        <f>IF(AND(ISNUMBER(J1011),ISNUMBER(I1011),I1011&gt;0),(J1011-I1011)/I1011,"")</f>
        <v/>
      </c>
      <c r="M1011" s="2">
        <f>IF(L1011="","",IF(L1011&lt;-0.05,"Bán phá giá",IF(L1011&gt;0.05,"Bán cao hơn","Đúng giá niêm yết")))</f>
        <v/>
      </c>
      <c r="N1011" s="2" t="n"/>
      <c r="O1011" s="3" t="n"/>
      <c r="P1011" s="3" t="n"/>
    </row>
    <row r="1012">
      <c r="A1012" s="2" t="n">
        <v>1011</v>
      </c>
      <c r="B1012" s="2" t="inlineStr">
        <is>
          <t>KH005</t>
        </is>
      </c>
      <c r="C1012" s="3" t="inlineStr">
        <is>
          <t>ThinkSafe HCM</t>
        </is>
      </c>
      <c r="D1012" s="2" t="inlineStr">
        <is>
          <t>HCM</t>
        </is>
      </c>
      <c r="E1012" s="2" t="inlineStr">
        <is>
          <t>XUÂN TRANG</t>
        </is>
      </c>
      <c r="F1012" s="2" t="inlineStr">
        <is>
          <t>Shopee</t>
        </is>
      </c>
      <c r="G1012" s="2" t="inlineStr">
        <is>
          <t>KBL4-20*350</t>
        </is>
      </c>
      <c r="H1012" s="3" t="inlineStr">
        <is>
          <t>Mũi khoan xuyên tường 4 cạnh KBL4-20*350</t>
        </is>
      </c>
      <c r="I1012" s="4" t="n">
        <v>122000</v>
      </c>
      <c r="J1012" s="4" t="n"/>
      <c r="K1012" s="4">
        <f>IF(AND(ISNUMBER(J1012),ISNUMBER(I1012)),J1012-I1012,"")</f>
        <v/>
      </c>
      <c r="L1012" s="5">
        <f>IF(AND(ISNUMBER(J1012),ISNUMBER(I1012),I1012&gt;0),(J1012-I1012)/I1012,"")</f>
        <v/>
      </c>
      <c r="M1012" s="2">
        <f>IF(L1012="","",IF(L1012&lt;-0.05,"Bán phá giá",IF(L1012&gt;0.05,"Bán cao hơn","Đúng giá niêm yết")))</f>
        <v/>
      </c>
      <c r="N1012" s="2" t="n"/>
      <c r="O1012" s="3" t="n"/>
      <c r="P1012" s="3" t="n"/>
    </row>
    <row r="1013">
      <c r="A1013" s="2" t="n">
        <v>1012</v>
      </c>
      <c r="B1013" s="2" t="inlineStr">
        <is>
          <t>KH005</t>
        </is>
      </c>
      <c r="C1013" s="3" t="inlineStr">
        <is>
          <t>ThinkSafe HCM</t>
        </is>
      </c>
      <c r="D1013" s="2" t="inlineStr">
        <is>
          <t>HCM</t>
        </is>
      </c>
      <c r="E1013" s="2" t="inlineStr">
        <is>
          <t>XUÂN TRANG</t>
        </is>
      </c>
      <c r="F1013" s="2" t="inlineStr">
        <is>
          <t>Shopee</t>
        </is>
      </c>
      <c r="G1013" s="2" t="inlineStr">
        <is>
          <t>KBL4-22*350</t>
        </is>
      </c>
      <c r="H1013" s="3" t="inlineStr">
        <is>
          <t>Mũi khoan xuyên tường 4 cạnh KBL4-22*350</t>
        </is>
      </c>
      <c r="I1013" s="4" t="n">
        <v>152000</v>
      </c>
      <c r="J1013" s="4" t="n"/>
      <c r="K1013" s="4">
        <f>IF(AND(ISNUMBER(J1013),ISNUMBER(I1013)),J1013-I1013,"")</f>
        <v/>
      </c>
      <c r="L1013" s="5">
        <f>IF(AND(ISNUMBER(J1013),ISNUMBER(I1013),I1013&gt;0),(J1013-I1013)/I1013,"")</f>
        <v/>
      </c>
      <c r="M1013" s="2">
        <f>IF(L1013="","",IF(L1013&lt;-0.05,"Bán phá giá",IF(L1013&gt;0.05,"Bán cao hơn","Đúng giá niêm yết")))</f>
        <v/>
      </c>
      <c r="N1013" s="2" t="n"/>
      <c r="O1013" s="3" t="n"/>
      <c r="P1013" s="3" t="n"/>
    </row>
    <row r="1014">
      <c r="A1014" s="2" t="n">
        <v>1013</v>
      </c>
      <c r="B1014" s="2" t="inlineStr">
        <is>
          <t>KH005</t>
        </is>
      </c>
      <c r="C1014" s="3" t="inlineStr">
        <is>
          <t>ThinkSafe HCM</t>
        </is>
      </c>
      <c r="D1014" s="2" t="inlineStr">
        <is>
          <t>HCM</t>
        </is>
      </c>
      <c r="E1014" s="2" t="inlineStr">
        <is>
          <t>XUÂN TRANG</t>
        </is>
      </c>
      <c r="F1014" s="2" t="inlineStr">
        <is>
          <t>Shopee</t>
        </is>
      </c>
      <c r="G1014" s="2" t="inlineStr">
        <is>
          <t>KBL4-25*350</t>
        </is>
      </c>
      <c r="H1014" s="3" t="inlineStr">
        <is>
          <t>Mũi khoan xuyên tường 4 cạnh KBL4-25*350</t>
        </is>
      </c>
      <c r="I1014" s="4" t="n">
        <v>231000</v>
      </c>
      <c r="J1014" s="4" t="n"/>
      <c r="K1014" s="4">
        <f>IF(AND(ISNUMBER(J1014),ISNUMBER(I1014)),J1014-I1014,"")</f>
        <v/>
      </c>
      <c r="L1014" s="5">
        <f>IF(AND(ISNUMBER(J1014),ISNUMBER(I1014),I1014&gt;0),(J1014-I1014)/I1014,"")</f>
        <v/>
      </c>
      <c r="M1014" s="2">
        <f>IF(L1014="","",IF(L1014&lt;-0.05,"Bán phá giá",IF(L1014&gt;0.05,"Bán cao hơn","Đúng giá niêm yết")))</f>
        <v/>
      </c>
      <c r="N1014" s="2" t="n"/>
      <c r="O1014" s="3" t="n"/>
      <c r="P1014" s="3" t="n"/>
    </row>
    <row r="1015">
      <c r="A1015" s="2" t="n">
        <v>1014</v>
      </c>
      <c r="B1015" s="2" t="inlineStr">
        <is>
          <t>KH005</t>
        </is>
      </c>
      <c r="C1015" s="3" t="inlineStr">
        <is>
          <t>ThinkSafe HCM</t>
        </is>
      </c>
      <c r="D1015" s="2" t="inlineStr">
        <is>
          <t>HCM</t>
        </is>
      </c>
      <c r="E1015" s="2" t="inlineStr">
        <is>
          <t>XUÂN TRANG</t>
        </is>
      </c>
      <c r="F1015" s="2" t="inlineStr">
        <is>
          <t>Shopee</t>
        </is>
      </c>
      <c r="G1015" s="2" t="inlineStr">
        <is>
          <t>R1-17/25</t>
        </is>
      </c>
      <c r="H1015" s="3" t="inlineStr">
        <is>
          <t>Mũi khoét hợp kim Bluebird R1-17/25</t>
        </is>
      </c>
      <c r="I1015" s="4" t="n">
        <v>54000</v>
      </c>
      <c r="J1015" s="4" t="n"/>
      <c r="K1015" s="4">
        <f>IF(AND(ISNUMBER(J1015),ISNUMBER(I1015)),J1015-I1015,"")</f>
        <v/>
      </c>
      <c r="L1015" s="5">
        <f>IF(AND(ISNUMBER(J1015),ISNUMBER(I1015),I1015&gt;0),(J1015-I1015)/I1015,"")</f>
        <v/>
      </c>
      <c r="M1015" s="2">
        <f>IF(L1015="","",IF(L1015&lt;-0.05,"Bán phá giá",IF(L1015&gt;0.05,"Bán cao hơn","Đúng giá niêm yết")))</f>
        <v/>
      </c>
      <c r="N1015" s="2" t="n"/>
      <c r="O1015" s="3" t="n"/>
      <c r="P1015" s="3" t="n"/>
    </row>
    <row r="1016">
      <c r="A1016" s="2" t="n">
        <v>1015</v>
      </c>
      <c r="B1016" s="2" t="inlineStr">
        <is>
          <t>KH005</t>
        </is>
      </c>
      <c r="C1016" s="3" t="inlineStr">
        <is>
          <t>ThinkSafe HCM</t>
        </is>
      </c>
      <c r="D1016" s="2" t="inlineStr">
        <is>
          <t>HCM</t>
        </is>
      </c>
      <c r="E1016" s="2" t="inlineStr">
        <is>
          <t>XUÂN TRANG</t>
        </is>
      </c>
      <c r="F1016" s="2" t="inlineStr">
        <is>
          <t>Shopee</t>
        </is>
      </c>
      <c r="G1016" s="2" t="inlineStr">
        <is>
          <t>R1-27/25</t>
        </is>
      </c>
      <c r="H1016" s="3" t="inlineStr">
        <is>
          <t>Mũi khoét hợp kim Kingblue R1-27/25</t>
        </is>
      </c>
      <c r="I1016" s="4" t="n">
        <v>105000</v>
      </c>
      <c r="J1016" s="4" t="n"/>
      <c r="K1016" s="4">
        <f>IF(AND(ISNUMBER(J1016),ISNUMBER(I1016)),J1016-I1016,"")</f>
        <v/>
      </c>
      <c r="L1016" s="5">
        <f>IF(AND(ISNUMBER(J1016),ISNUMBER(I1016),I1016&gt;0),(J1016-I1016)/I1016,"")</f>
        <v/>
      </c>
      <c r="M1016" s="2">
        <f>IF(L1016="","",IF(L1016&lt;-0.05,"Bán phá giá",IF(L1016&gt;0.05,"Bán cao hơn","Đúng giá niêm yết")))</f>
        <v/>
      </c>
      <c r="N1016" s="2" t="n"/>
      <c r="O1016" s="3" t="n"/>
      <c r="P1016" s="3" t="n"/>
    </row>
    <row r="1017">
      <c r="A1017" s="2" t="n">
        <v>1016</v>
      </c>
      <c r="B1017" s="2" t="inlineStr">
        <is>
          <t>KH005</t>
        </is>
      </c>
      <c r="C1017" s="3" t="inlineStr">
        <is>
          <t>ThinkSafe HCM</t>
        </is>
      </c>
      <c r="D1017" s="2" t="inlineStr">
        <is>
          <t>HCM</t>
        </is>
      </c>
      <c r="E1017" s="2" t="inlineStr">
        <is>
          <t>XUÂN TRANG</t>
        </is>
      </c>
      <c r="F1017" s="2" t="inlineStr">
        <is>
          <t>Shopee</t>
        </is>
      </c>
      <c r="G1017" s="2" t="inlineStr">
        <is>
          <t>KB-1304</t>
        </is>
      </c>
      <c r="H1017" s="3" t="inlineStr">
        <is>
          <t>Mũi nong ống đồng KingBlue KB-1304</t>
        </is>
      </c>
      <c r="I1017" s="4" t="n">
        <v>230000</v>
      </c>
      <c r="J1017" s="4" t="n"/>
      <c r="K1017" s="4">
        <f>IF(AND(ISNUMBER(J1017),ISNUMBER(I1017)),J1017-I1017,"")</f>
        <v/>
      </c>
      <c r="L1017" s="5">
        <f>IF(AND(ISNUMBER(J1017),ISNUMBER(I1017),I1017&gt;0),(J1017-I1017)/I1017,"")</f>
        <v/>
      </c>
      <c r="M1017" s="2">
        <f>IF(L1017="","",IF(L1017&lt;-0.05,"Bán phá giá",IF(L1017&gt;0.05,"Bán cao hơn","Đúng giá niêm yết")))</f>
        <v/>
      </c>
      <c r="N1017" s="2" t="n"/>
      <c r="O1017" s="3" t="n"/>
      <c r="P1017" s="3" t="n"/>
    </row>
    <row r="1018">
      <c r="A1018" s="2" t="n">
        <v>1017</v>
      </c>
      <c r="B1018" s="2" t="inlineStr">
        <is>
          <t>KH005</t>
        </is>
      </c>
      <c r="C1018" s="3" t="inlineStr">
        <is>
          <t>ThinkSafe HCM</t>
        </is>
      </c>
      <c r="D1018" s="2" t="inlineStr">
        <is>
          <t>HCM</t>
        </is>
      </c>
      <c r="E1018" s="2" t="inlineStr">
        <is>
          <t>XUÂN TRANG</t>
        </is>
      </c>
      <c r="F1018" s="2" t="inlineStr">
        <is>
          <t>Shopee</t>
        </is>
      </c>
      <c r="G1018" s="2" t="inlineStr">
        <is>
          <t>KZ-100</t>
        </is>
      </c>
      <c r="H1018" s="3" t="inlineStr">
        <is>
          <t>Nhám xếp KingBlue KZ-100 (NEW)</t>
        </is>
      </c>
      <c r="I1018" s="4" t="n">
        <v>8600</v>
      </c>
      <c r="J1018" s="4" t="n"/>
      <c r="K1018" s="4">
        <f>IF(AND(ISNUMBER(J1018),ISNUMBER(I1018)),J1018-I1018,"")</f>
        <v/>
      </c>
      <c r="L1018" s="5">
        <f>IF(AND(ISNUMBER(J1018),ISNUMBER(I1018),I1018&gt;0),(J1018-I1018)/I1018,"")</f>
        <v/>
      </c>
      <c r="M1018" s="2">
        <f>IF(L1018="","",IF(L1018&lt;-0.05,"Bán phá giá",IF(L1018&gt;0.05,"Bán cao hơn","Đúng giá niêm yết")))</f>
        <v/>
      </c>
      <c r="N1018" s="2" t="n"/>
      <c r="O1018" s="3" t="n"/>
      <c r="P1018" s="3" t="n"/>
    </row>
    <row r="1019">
      <c r="A1019" s="2" t="n">
        <v>1018</v>
      </c>
      <c r="B1019" s="2" t="inlineStr">
        <is>
          <t>KH005</t>
        </is>
      </c>
      <c r="C1019" s="3" t="inlineStr">
        <is>
          <t>ThinkSafe HCM</t>
        </is>
      </c>
      <c r="D1019" s="2" t="inlineStr">
        <is>
          <t>HCM</t>
        </is>
      </c>
      <c r="E1019" s="2" t="inlineStr">
        <is>
          <t>XUÂN TRANG</t>
        </is>
      </c>
      <c r="F1019" s="2" t="inlineStr">
        <is>
          <t>Shopee</t>
        </is>
      </c>
      <c r="G1019" s="2" t="inlineStr">
        <is>
          <t>KZ-60</t>
        </is>
      </c>
      <c r="H1019" s="3" t="inlineStr">
        <is>
          <t>Nhám xếp KingBlue KZ-60 (NEW)</t>
        </is>
      </c>
      <c r="I1019" s="4" t="n">
        <v>12200</v>
      </c>
      <c r="J1019" s="4" t="n"/>
      <c r="K1019" s="4">
        <f>IF(AND(ISNUMBER(J1019),ISNUMBER(I1019)),J1019-I1019,"")</f>
        <v/>
      </c>
      <c r="L1019" s="5">
        <f>IF(AND(ISNUMBER(J1019),ISNUMBER(I1019),I1019&gt;0),(J1019-I1019)/I1019,"")</f>
        <v/>
      </c>
      <c r="M1019" s="2">
        <f>IF(L1019="","",IF(L1019&lt;-0.05,"Bán phá giá",IF(L1019&gt;0.05,"Bán cao hơn","Đúng giá niêm yết")))</f>
        <v/>
      </c>
      <c r="N1019" s="2" t="n"/>
      <c r="O1019" s="3" t="n"/>
      <c r="P1019" s="3" t="n"/>
    </row>
    <row r="1020">
      <c r="A1020" s="2" t="n">
        <v>1019</v>
      </c>
      <c r="B1020" s="2" t="inlineStr">
        <is>
          <t>KH005</t>
        </is>
      </c>
      <c r="C1020" s="3" t="inlineStr">
        <is>
          <t>ThinkSafe HCM</t>
        </is>
      </c>
      <c r="D1020" s="2" t="inlineStr">
        <is>
          <t>HCM</t>
        </is>
      </c>
      <c r="E1020" s="2" t="inlineStr">
        <is>
          <t>XUÂN TRANG</t>
        </is>
      </c>
      <c r="F1020" s="2" t="inlineStr">
        <is>
          <t>Shopee</t>
        </is>
      </c>
      <c r="G1020" s="2" t="inlineStr">
        <is>
          <t>KYV40</t>
        </is>
      </c>
      <c r="H1020" s="3" t="inlineStr">
        <is>
          <t>Ổ khóa KYV40</t>
        </is>
      </c>
      <c r="I1020" s="4" t="n">
        <v>77000</v>
      </c>
      <c r="J1020" s="4" t="n"/>
      <c r="K1020" s="4">
        <f>IF(AND(ISNUMBER(J1020),ISNUMBER(I1020)),J1020-I1020,"")</f>
        <v/>
      </c>
      <c r="L1020" s="5">
        <f>IF(AND(ISNUMBER(J1020),ISNUMBER(I1020),I1020&gt;0),(J1020-I1020)/I1020,"")</f>
        <v/>
      </c>
      <c r="M1020" s="2">
        <f>IF(L1020="","",IF(L1020&lt;-0.05,"Bán phá giá",IF(L1020&gt;0.05,"Bán cao hơn","Đúng giá niêm yết")))</f>
        <v/>
      </c>
      <c r="N1020" s="2" t="n"/>
      <c r="O1020" s="3" t="n"/>
      <c r="P1020" s="3" t="n"/>
    </row>
    <row r="1021">
      <c r="A1021" s="2" t="n">
        <v>1020</v>
      </c>
      <c r="B1021" s="2" t="inlineStr">
        <is>
          <t>KH005</t>
        </is>
      </c>
      <c r="C1021" s="3" t="inlineStr">
        <is>
          <t>ThinkSafe HCM</t>
        </is>
      </c>
      <c r="D1021" s="2" t="inlineStr">
        <is>
          <t>HCM</t>
        </is>
      </c>
      <c r="E1021" s="2" t="inlineStr">
        <is>
          <t>XUÂN TRANG</t>
        </is>
      </c>
      <c r="F1021" s="2" t="inlineStr">
        <is>
          <t>Shopee</t>
        </is>
      </c>
      <c r="G1021" s="2" t="inlineStr">
        <is>
          <t>MS2A18</t>
        </is>
      </c>
      <c r="H1021" s="3" t="inlineStr">
        <is>
          <t>Sạc MS2A18</t>
        </is>
      </c>
      <c r="I1021" s="4" t="n">
        <v>280000</v>
      </c>
      <c r="J1021" s="4" t="n"/>
      <c r="K1021" s="4">
        <f>IF(AND(ISNUMBER(J1021),ISNUMBER(I1021)),J1021-I1021,"")</f>
        <v/>
      </c>
      <c r="L1021" s="5">
        <f>IF(AND(ISNUMBER(J1021),ISNUMBER(I1021),I1021&gt;0),(J1021-I1021)/I1021,"")</f>
        <v/>
      </c>
      <c r="M1021" s="2">
        <f>IF(L1021="","",IF(L1021&lt;-0.05,"Bán phá giá",IF(L1021&gt;0.05,"Bán cao hơn","Đúng giá niêm yết")))</f>
        <v/>
      </c>
      <c r="N1021" s="2" t="n"/>
      <c r="O1021" s="3" t="n"/>
      <c r="P1021" s="3" t="n"/>
    </row>
    <row r="1022">
      <c r="A1022" s="2" t="n">
        <v>1021</v>
      </c>
      <c r="B1022" s="2" t="inlineStr">
        <is>
          <t>KH005</t>
        </is>
      </c>
      <c r="C1022" s="3" t="inlineStr">
        <is>
          <t>ThinkSafe HCM</t>
        </is>
      </c>
      <c r="D1022" s="2" t="inlineStr">
        <is>
          <t>HCM</t>
        </is>
      </c>
      <c r="E1022" s="2" t="inlineStr">
        <is>
          <t>XUÂN TRANG</t>
        </is>
      </c>
      <c r="F1022" s="2" t="inlineStr">
        <is>
          <t>Shopee</t>
        </is>
      </c>
      <c r="G1022" s="2" t="inlineStr">
        <is>
          <t>KB8*48G</t>
        </is>
      </c>
      <c r="H1022" s="3" t="inlineStr">
        <is>
          <t>Siết tôn King Blue KB8*48G</t>
        </is>
      </c>
      <c r="I1022" s="4" t="n">
        <v>75000</v>
      </c>
      <c r="J1022" s="4" t="n"/>
      <c r="K1022" s="4">
        <f>IF(AND(ISNUMBER(J1022),ISNUMBER(I1022)),J1022-I1022,"")</f>
        <v/>
      </c>
      <c r="L1022" s="5">
        <f>IF(AND(ISNUMBER(J1022),ISNUMBER(I1022),I1022&gt;0),(J1022-I1022)/I1022,"")</f>
        <v/>
      </c>
      <c r="M1022" s="2">
        <f>IF(L1022="","",IF(L1022&lt;-0.05,"Bán phá giá",IF(L1022&gt;0.05,"Bán cao hơn","Đúng giá niêm yết")))</f>
        <v/>
      </c>
      <c r="N1022" s="2" t="n"/>
      <c r="O1022" s="3" t="n"/>
      <c r="P1022" s="3" t="n"/>
    </row>
    <row r="1023">
      <c r="A1023" s="2" t="n">
        <v>1022</v>
      </c>
      <c r="B1023" s="2" t="inlineStr">
        <is>
          <t>KH005</t>
        </is>
      </c>
      <c r="C1023" s="3" t="inlineStr">
        <is>
          <t>ThinkSafe HCM</t>
        </is>
      </c>
      <c r="D1023" s="2" t="inlineStr">
        <is>
          <t>HCM</t>
        </is>
      </c>
      <c r="E1023" s="2" t="inlineStr">
        <is>
          <t>XUÂN TRANG</t>
        </is>
      </c>
      <c r="F1023" s="2" t="inlineStr">
        <is>
          <t>Shopee</t>
        </is>
      </c>
      <c r="G1023" s="2" t="inlineStr">
        <is>
          <t>ST08x42V</t>
        </is>
      </c>
      <c r="H1023" s="3" t="inlineStr">
        <is>
          <t>Siết tôn King Blue ST08x42V</t>
        </is>
      </c>
      <c r="I1023" s="4" t="n">
        <v>22000</v>
      </c>
      <c r="J1023" s="4" t="n"/>
      <c r="K1023" s="4">
        <f>IF(AND(ISNUMBER(J1023),ISNUMBER(I1023)),J1023-I1023,"")</f>
        <v/>
      </c>
      <c r="L1023" s="5">
        <f>IF(AND(ISNUMBER(J1023),ISNUMBER(I1023),I1023&gt;0),(J1023-I1023)/I1023,"")</f>
        <v/>
      </c>
      <c r="M1023" s="2">
        <f>IF(L1023="","",IF(L1023&lt;-0.05,"Bán phá giá",IF(L1023&gt;0.05,"Bán cao hơn","Đúng giá niêm yết")))</f>
        <v/>
      </c>
      <c r="N1023" s="2" t="n"/>
      <c r="O1023" s="3" t="n"/>
      <c r="P1023" s="3" t="n"/>
    </row>
    <row r="1024">
      <c r="A1024" s="2" t="n">
        <v>1023</v>
      </c>
      <c r="B1024" s="2" t="inlineStr">
        <is>
          <t>KH005</t>
        </is>
      </c>
      <c r="C1024" s="3" t="inlineStr">
        <is>
          <t>ThinkSafe HCM</t>
        </is>
      </c>
      <c r="D1024" s="2" t="inlineStr">
        <is>
          <t>HCM</t>
        </is>
      </c>
      <c r="E1024" s="2" t="inlineStr">
        <is>
          <t>XUÂN TRANG</t>
        </is>
      </c>
      <c r="F1024" s="2" t="inlineStr">
        <is>
          <t>Shopee</t>
        </is>
      </c>
      <c r="G1024" s="2" t="inlineStr">
        <is>
          <t>ST08x65G</t>
        </is>
      </c>
      <c r="H1024" s="3" t="inlineStr">
        <is>
          <t>Siết tôn KingBlue ST08x65G</t>
        </is>
      </c>
      <c r="I1024" s="4" t="n">
        <v>42500</v>
      </c>
      <c r="J1024" s="4" t="n"/>
      <c r="K1024" s="4">
        <f>IF(AND(ISNUMBER(J1024),ISNUMBER(I1024)),J1024-I1024,"")</f>
        <v/>
      </c>
      <c r="L1024" s="5">
        <f>IF(AND(ISNUMBER(J1024),ISNUMBER(I1024),I1024&gt;0),(J1024-I1024)/I1024,"")</f>
        <v/>
      </c>
      <c r="M1024" s="2">
        <f>IF(L1024="","",IF(L1024&lt;-0.05,"Bán phá giá",IF(L1024&gt;0.05,"Bán cao hơn","Đúng giá niêm yết")))</f>
        <v/>
      </c>
      <c r="N1024" s="2" t="n"/>
      <c r="O1024" s="3" t="n"/>
      <c r="P1024" s="3" t="n"/>
    </row>
    <row r="1025">
      <c r="A1025" s="2" t="n">
        <v>1024</v>
      </c>
      <c r="B1025" s="2" t="inlineStr">
        <is>
          <t>KH005</t>
        </is>
      </c>
      <c r="C1025" s="3" t="inlineStr">
        <is>
          <t>ThinkSafe HCM</t>
        </is>
      </c>
      <c r="D1025" s="2" t="inlineStr">
        <is>
          <t>HCM</t>
        </is>
      </c>
      <c r="E1025" s="2" t="inlineStr">
        <is>
          <t>XUÂN TRANG</t>
        </is>
      </c>
      <c r="F1025" s="2" t="inlineStr">
        <is>
          <t>Shopee</t>
        </is>
      </c>
      <c r="G1025" s="2" t="inlineStr">
        <is>
          <t>ST10x65G</t>
        </is>
      </c>
      <c r="H1025" s="3" t="inlineStr">
        <is>
          <t>Siết tôn KingBlue ST10x65G</t>
        </is>
      </c>
      <c r="I1025" s="4" t="n">
        <v>45000</v>
      </c>
      <c r="J1025" s="4" t="n"/>
      <c r="K1025" s="4">
        <f>IF(AND(ISNUMBER(J1025),ISNUMBER(I1025)),J1025-I1025,"")</f>
        <v/>
      </c>
      <c r="L1025" s="5">
        <f>IF(AND(ISNUMBER(J1025),ISNUMBER(I1025),I1025&gt;0),(J1025-I1025)/I1025,"")</f>
        <v/>
      </c>
      <c r="M1025" s="2">
        <f>IF(L1025="","",IF(L1025&lt;-0.05,"Bán phá giá",IF(L1025&gt;0.05,"Bán cao hơn","Đúng giá niêm yết")))</f>
        <v/>
      </c>
      <c r="N1025" s="2" t="n"/>
      <c r="O1025" s="3" t="n"/>
      <c r="P1025" s="3" t="n"/>
    </row>
    <row r="1026">
      <c r="A1026" s="2" t="n">
        <v>1025</v>
      </c>
      <c r="B1026" s="2" t="inlineStr">
        <is>
          <t>KH005</t>
        </is>
      </c>
      <c r="C1026" s="3" t="inlineStr">
        <is>
          <t>ThinkSafe HCM</t>
        </is>
      </c>
      <c r="D1026" s="2" t="inlineStr">
        <is>
          <t>HCM</t>
        </is>
      </c>
      <c r="E1026" s="2" t="inlineStr">
        <is>
          <t>XUÂN TRANG</t>
        </is>
      </c>
      <c r="F1026" s="2" t="inlineStr">
        <is>
          <t>Shopee</t>
        </is>
      </c>
      <c r="G1026" s="2" t="inlineStr">
        <is>
          <t>KFF-73</t>
        </is>
      </c>
      <c r="H1026" s="3" t="inlineStr">
        <is>
          <t>Súng bắn đinh bê tông KFF-73</t>
        </is>
      </c>
      <c r="I1026" s="4" t="n">
        <v>690000</v>
      </c>
      <c r="J1026" s="4" t="n"/>
      <c r="K1026" s="4">
        <f>IF(AND(ISNUMBER(J1026),ISNUMBER(I1026)),J1026-I1026,"")</f>
        <v/>
      </c>
      <c r="L1026" s="5">
        <f>IF(AND(ISNUMBER(J1026),ISNUMBER(I1026),I1026&gt;0),(J1026-I1026)/I1026,"")</f>
        <v/>
      </c>
      <c r="M1026" s="2">
        <f>IF(L1026="","",IF(L1026&lt;-0.05,"Bán phá giá",IF(L1026&gt;0.05,"Bán cao hơn","Đúng giá niêm yết")))</f>
        <v/>
      </c>
      <c r="N1026" s="2" t="n"/>
      <c r="O1026" s="3" t="n"/>
      <c r="P1026" s="3" t="n"/>
    </row>
    <row r="1027">
      <c r="A1027" s="2" t="n">
        <v>1026</v>
      </c>
      <c r="B1027" s="2" t="inlineStr">
        <is>
          <t>KH005</t>
        </is>
      </c>
      <c r="C1027" s="3" t="inlineStr">
        <is>
          <t>ThinkSafe HCM</t>
        </is>
      </c>
      <c r="D1027" s="2" t="inlineStr">
        <is>
          <t>HCM</t>
        </is>
      </c>
      <c r="E1027" s="2" t="inlineStr">
        <is>
          <t>XUÂN TRANG</t>
        </is>
      </c>
      <c r="F1027" s="2" t="inlineStr">
        <is>
          <t>Shopee</t>
        </is>
      </c>
      <c r="G1027" s="2" t="inlineStr">
        <is>
          <t>KF-301</t>
        </is>
      </c>
      <c r="H1027" s="3" t="inlineStr">
        <is>
          <t>Súng bắn ghim KF-301</t>
        </is>
      </c>
      <c r="I1027" s="4" t="n">
        <v>303000</v>
      </c>
      <c r="J1027" s="4" t="n"/>
      <c r="K1027" s="4">
        <f>IF(AND(ISNUMBER(J1027),ISNUMBER(I1027)),J1027-I1027,"")</f>
        <v/>
      </c>
      <c r="L1027" s="5">
        <f>IF(AND(ISNUMBER(J1027),ISNUMBER(I1027),I1027&gt;0),(J1027-I1027)/I1027,"")</f>
        <v/>
      </c>
      <c r="M1027" s="2">
        <f>IF(L1027="","",IF(L1027&lt;-0.05,"Bán phá giá",IF(L1027&gt;0.05,"Bán cao hơn","Đúng giá niêm yết")))</f>
        <v/>
      </c>
      <c r="N1027" s="2" t="n"/>
      <c r="O1027" s="3" t="n"/>
      <c r="P1027" s="3" t="n"/>
    </row>
    <row r="1028">
      <c r="A1028" s="2" t="n">
        <v>1027</v>
      </c>
      <c r="B1028" s="2" t="inlineStr">
        <is>
          <t>KH005</t>
        </is>
      </c>
      <c r="C1028" s="3" t="inlineStr">
        <is>
          <t>ThinkSafe HCM</t>
        </is>
      </c>
      <c r="D1028" s="2" t="inlineStr">
        <is>
          <t>HCM</t>
        </is>
      </c>
      <c r="E1028" s="2" t="inlineStr">
        <is>
          <t>XUÂN TRANG</t>
        </is>
      </c>
      <c r="F1028" s="2" t="inlineStr">
        <is>
          <t>Shopee</t>
        </is>
      </c>
      <c r="G1028" s="2" t="inlineStr">
        <is>
          <t>KBO-W71</t>
        </is>
      </c>
      <c r="H1028" s="3" t="inlineStr">
        <is>
          <t>Súng phun sơn KBO-W71</t>
        </is>
      </c>
      <c r="I1028" s="4" t="n">
        <v>346000</v>
      </c>
      <c r="J1028" s="4" t="n"/>
      <c r="K1028" s="4">
        <f>IF(AND(ISNUMBER(J1028),ISNUMBER(I1028)),J1028-I1028,"")</f>
        <v/>
      </c>
      <c r="L1028" s="5">
        <f>IF(AND(ISNUMBER(J1028),ISNUMBER(I1028),I1028&gt;0),(J1028-I1028)/I1028,"")</f>
        <v/>
      </c>
      <c r="M1028" s="2">
        <f>IF(L1028="","",IF(L1028&lt;-0.05,"Bán phá giá",IF(L1028&gt;0.05,"Bán cao hơn","Đúng giá niêm yết")))</f>
        <v/>
      </c>
      <c r="N1028" s="2" t="n"/>
      <c r="O1028" s="3" t="n"/>
      <c r="P1028" s="3" t="n"/>
    </row>
    <row r="1029">
      <c r="A1029" s="2" t="n">
        <v>1028</v>
      </c>
      <c r="B1029" s="2" t="inlineStr">
        <is>
          <t>KH005</t>
        </is>
      </c>
      <c r="C1029" s="3" t="inlineStr">
        <is>
          <t>ThinkSafe HCM</t>
        </is>
      </c>
      <c r="D1029" s="2" t="inlineStr">
        <is>
          <t>HCM</t>
        </is>
      </c>
      <c r="E1029" s="2" t="inlineStr">
        <is>
          <t>XUÂN TRANG</t>
        </is>
      </c>
      <c r="F1029" s="2" t="inlineStr">
        <is>
          <t>Shopee</t>
        </is>
      </c>
      <c r="G1029" s="2" t="inlineStr">
        <is>
          <t>KV1-6*100</t>
        </is>
      </c>
      <c r="H1029" s="3" t="inlineStr">
        <is>
          <t>Tuốc nơ vít 2 đầu KV1-6*100</t>
        </is>
      </c>
      <c r="I1029" s="4" t="n">
        <v>29000</v>
      </c>
      <c r="J1029" s="4" t="n"/>
      <c r="K1029" s="4">
        <f>IF(AND(ISNUMBER(J1029),ISNUMBER(I1029)),J1029-I1029,"")</f>
        <v/>
      </c>
      <c r="L1029" s="5">
        <f>IF(AND(ISNUMBER(J1029),ISNUMBER(I1029),I1029&gt;0),(J1029-I1029)/I1029,"")</f>
        <v/>
      </c>
      <c r="M1029" s="2">
        <f>IF(L1029="","",IF(L1029&lt;-0.05,"Bán phá giá",IF(L1029&gt;0.05,"Bán cao hơn","Đúng giá niêm yết")))</f>
        <v/>
      </c>
      <c r="N1029" s="2" t="n"/>
      <c r="O1029" s="3" t="n"/>
      <c r="P1029" s="3" t="n"/>
    </row>
    <row r="1030">
      <c r="A1030" s="2" t="n">
        <v>1029</v>
      </c>
      <c r="B1030" s="2" t="inlineStr">
        <is>
          <t>KH005</t>
        </is>
      </c>
      <c r="C1030" s="3" t="inlineStr">
        <is>
          <t>ThinkSafe HCM</t>
        </is>
      </c>
      <c r="D1030" s="2" t="inlineStr">
        <is>
          <t>HCM</t>
        </is>
      </c>
      <c r="E1030" s="2" t="inlineStr">
        <is>
          <t>XUÂN TRANG</t>
        </is>
      </c>
      <c r="F1030" s="2" t="inlineStr">
        <is>
          <t>Shopee</t>
        </is>
      </c>
      <c r="G1030" s="2" t="inlineStr">
        <is>
          <t>KV1-6*150</t>
        </is>
      </c>
      <c r="H1030" s="3" t="inlineStr">
        <is>
          <t>Tuốc nơ vít 2 đầu KV1-6*150</t>
        </is>
      </c>
      <c r="I1030" s="4" t="n">
        <v>33000</v>
      </c>
      <c r="J1030" s="4" t="n"/>
      <c r="K1030" s="4">
        <f>IF(AND(ISNUMBER(J1030),ISNUMBER(I1030)),J1030-I1030,"")</f>
        <v/>
      </c>
      <c r="L1030" s="5">
        <f>IF(AND(ISNUMBER(J1030),ISNUMBER(I1030),I1030&gt;0),(J1030-I1030)/I1030,"")</f>
        <v/>
      </c>
      <c r="M1030" s="2">
        <f>IF(L1030="","",IF(L1030&lt;-0.05,"Bán phá giá",IF(L1030&gt;0.05,"Bán cao hơn","Đúng giá niêm yết")))</f>
        <v/>
      </c>
      <c r="N1030" s="2" t="n"/>
      <c r="O1030" s="3" t="n"/>
      <c r="P1030" s="3" t="n"/>
    </row>
    <row r="1031">
      <c r="A1031" s="2" t="n">
        <v>1030</v>
      </c>
      <c r="B1031" s="2" t="inlineStr">
        <is>
          <t>KH005</t>
        </is>
      </c>
      <c r="C1031" s="3" t="inlineStr">
        <is>
          <t>ThinkSafe HCM</t>
        </is>
      </c>
      <c r="D1031" s="2" t="inlineStr">
        <is>
          <t>HCM</t>
        </is>
      </c>
      <c r="E1031" s="2" t="inlineStr">
        <is>
          <t>XUÂN TRANG</t>
        </is>
      </c>
      <c r="F1031" s="2" t="inlineStr">
        <is>
          <t>Shopee</t>
        </is>
      </c>
      <c r="G1031" s="2" t="inlineStr">
        <is>
          <t>KV1-6*200</t>
        </is>
      </c>
      <c r="H1031" s="3" t="inlineStr">
        <is>
          <t>Tuốc nơ vít 2 đầu KV1-6*200</t>
        </is>
      </c>
      <c r="I1031" s="4" t="n">
        <v>37000</v>
      </c>
      <c r="J1031" s="4" t="n"/>
      <c r="K1031" s="4">
        <f>IF(AND(ISNUMBER(J1031),ISNUMBER(I1031)),J1031-I1031,"")</f>
        <v/>
      </c>
      <c r="L1031" s="5">
        <f>IF(AND(ISNUMBER(J1031),ISNUMBER(I1031),I1031&gt;0),(J1031-I1031)/I1031,"")</f>
        <v/>
      </c>
      <c r="M1031" s="2">
        <f>IF(L1031="","",IF(L1031&lt;-0.05,"Bán phá giá",IF(L1031&gt;0.05,"Bán cao hơn","Đúng giá niêm yết")))</f>
        <v/>
      </c>
      <c r="N1031" s="2" t="n"/>
      <c r="O1031" s="3" t="n"/>
      <c r="P1031" s="3" t="n"/>
    </row>
    <row r="1032">
      <c r="A1032" s="2" t="n">
        <v>1031</v>
      </c>
      <c r="B1032" s="2" t="inlineStr">
        <is>
          <t>KH005</t>
        </is>
      </c>
      <c r="C1032" s="3" t="inlineStr">
        <is>
          <t>ThinkSafe HCM</t>
        </is>
      </c>
      <c r="D1032" s="2" t="inlineStr">
        <is>
          <t>HCM</t>
        </is>
      </c>
      <c r="E1032" s="2" t="inlineStr">
        <is>
          <t>XUÂN TRANG</t>
        </is>
      </c>
      <c r="F1032" s="2" t="inlineStr">
        <is>
          <t>Shopee</t>
        </is>
      </c>
      <c r="G1032" s="2" t="inlineStr">
        <is>
          <t>KV2-6*100</t>
        </is>
      </c>
      <c r="H1032" s="3" t="inlineStr">
        <is>
          <t>Tuốc nơ vít đa năng S2 KV2-6*100</t>
        </is>
      </c>
      <c r="I1032" s="4" t="n">
        <v>52000</v>
      </c>
      <c r="J1032" s="4" t="n"/>
      <c r="K1032" s="4">
        <f>IF(AND(ISNUMBER(J1032),ISNUMBER(I1032)),J1032-I1032,"")</f>
        <v/>
      </c>
      <c r="L1032" s="5">
        <f>IF(AND(ISNUMBER(J1032),ISNUMBER(I1032),I1032&gt;0),(J1032-I1032)/I1032,"")</f>
        <v/>
      </c>
      <c r="M1032" s="2">
        <f>IF(L1032="","",IF(L1032&lt;-0.05,"Bán phá giá",IF(L1032&gt;0.05,"Bán cao hơn","Đúng giá niêm yết")))</f>
        <v/>
      </c>
      <c r="N1032" s="2" t="n"/>
      <c r="O1032" s="3" t="n"/>
      <c r="P1032" s="3" t="n"/>
    </row>
    <row r="1033">
      <c r="A1033" s="2" t="n">
        <v>1032</v>
      </c>
      <c r="B1033" s="2" t="inlineStr">
        <is>
          <t>KH005</t>
        </is>
      </c>
      <c r="C1033" s="3" t="inlineStr">
        <is>
          <t>ThinkSafe HCM</t>
        </is>
      </c>
      <c r="D1033" s="2" t="inlineStr">
        <is>
          <t>HCM</t>
        </is>
      </c>
      <c r="E1033" s="2" t="inlineStr">
        <is>
          <t>XUÂN TRANG</t>
        </is>
      </c>
      <c r="F1033" s="2" t="inlineStr">
        <is>
          <t>Shopee</t>
        </is>
      </c>
      <c r="G1033" s="2" t="inlineStr">
        <is>
          <t>KV2-6*150</t>
        </is>
      </c>
      <c r="H1033" s="3" t="inlineStr">
        <is>
          <t>Tuốc nơ vít đa năng S2 KV2-6*150</t>
        </is>
      </c>
      <c r="I1033" s="4" t="n">
        <v>61000</v>
      </c>
      <c r="J1033" s="4" t="n"/>
      <c r="K1033" s="4">
        <f>IF(AND(ISNUMBER(J1033),ISNUMBER(I1033)),J1033-I1033,"")</f>
        <v/>
      </c>
      <c r="L1033" s="5">
        <f>IF(AND(ISNUMBER(J1033),ISNUMBER(I1033),I1033&gt;0),(J1033-I1033)/I1033,"")</f>
        <v/>
      </c>
      <c r="M1033" s="2">
        <f>IF(L1033="","",IF(L1033&lt;-0.05,"Bán phá giá",IF(L1033&gt;0.05,"Bán cao hơn","Đúng giá niêm yết")))</f>
        <v/>
      </c>
      <c r="N1033" s="2" t="n"/>
      <c r="O1033" s="3" t="n"/>
      <c r="P1033" s="3" t="n"/>
    </row>
    <row r="1034">
      <c r="A1034" s="2" t="n">
        <v>1033</v>
      </c>
      <c r="B1034" s="2" t="inlineStr">
        <is>
          <t>KH005</t>
        </is>
      </c>
      <c r="C1034" s="3" t="inlineStr">
        <is>
          <t>ThinkSafe HCM</t>
        </is>
      </c>
      <c r="D1034" s="2" t="inlineStr">
        <is>
          <t>HCM</t>
        </is>
      </c>
      <c r="E1034" s="2" t="inlineStr">
        <is>
          <t>XUÂN TRANG</t>
        </is>
      </c>
      <c r="F1034" s="2" t="inlineStr">
        <is>
          <t>Shopee</t>
        </is>
      </c>
      <c r="G1034" s="2" t="inlineStr">
        <is>
          <t>KV2-6*200</t>
        </is>
      </c>
      <c r="H1034" s="3" t="inlineStr">
        <is>
          <t>Tuốc nơ vít đa năng S2 KV2-6*200</t>
        </is>
      </c>
      <c r="I1034" s="4" t="n">
        <v>57000</v>
      </c>
      <c r="J1034" s="4" t="n"/>
      <c r="K1034" s="4">
        <f>IF(AND(ISNUMBER(J1034),ISNUMBER(I1034)),J1034-I1034,"")</f>
        <v/>
      </c>
      <c r="L1034" s="5">
        <f>IF(AND(ISNUMBER(J1034),ISNUMBER(I1034),I1034&gt;0),(J1034-I1034)/I1034,"")</f>
        <v/>
      </c>
      <c r="M1034" s="2">
        <f>IF(L1034="","",IF(L1034&lt;-0.05,"Bán phá giá",IF(L1034&gt;0.05,"Bán cao hơn","Đúng giá niêm yết")))</f>
        <v/>
      </c>
      <c r="N1034" s="2" t="n"/>
      <c r="O1034" s="3" t="n"/>
      <c r="P1034" s="3" t="n"/>
    </row>
    <row r="1035">
      <c r="A1035" s="2" t="n">
        <v>1034</v>
      </c>
      <c r="B1035" s="2" t="inlineStr">
        <is>
          <t>KH005</t>
        </is>
      </c>
      <c r="C1035" s="3" t="inlineStr">
        <is>
          <t>ThinkSafe HCM</t>
        </is>
      </c>
      <c r="D1035" s="2" t="inlineStr">
        <is>
          <t>HCM</t>
        </is>
      </c>
      <c r="E1035" s="2" t="inlineStr">
        <is>
          <t>XUÂN TRANG</t>
        </is>
      </c>
      <c r="F1035" s="2" t="inlineStr">
        <is>
          <t>Shopee</t>
        </is>
      </c>
      <c r="G1035" s="2" t="inlineStr">
        <is>
          <t>KV6+6*150</t>
        </is>
      </c>
      <c r="H1035" s="3" t="inlineStr">
        <is>
          <t>Tuốc nơ vít KV6+6*150</t>
        </is>
      </c>
      <c r="I1035" s="4" t="n">
        <v>37000</v>
      </c>
      <c r="J1035" s="4" t="n"/>
      <c r="K1035" s="4">
        <f>IF(AND(ISNUMBER(J1035),ISNUMBER(I1035)),J1035-I1035,"")</f>
        <v/>
      </c>
      <c r="L1035" s="5">
        <f>IF(AND(ISNUMBER(J1035),ISNUMBER(I1035),I1035&gt;0),(J1035-I1035)/I1035,"")</f>
        <v/>
      </c>
      <c r="M1035" s="2">
        <f>IF(L1035="","",IF(L1035&lt;-0.05,"Bán phá giá",IF(L1035&gt;0.05,"Bán cao hơn","Đúng giá niêm yết")))</f>
        <v/>
      </c>
      <c r="N1035" s="2" t="n"/>
      <c r="O1035" s="3" t="n"/>
      <c r="P1035" s="3" t="n"/>
    </row>
    <row r="1036">
      <c r="A1036" s="2" t="n">
        <v>1035</v>
      </c>
      <c r="B1036" s="2" t="inlineStr">
        <is>
          <t>KH005</t>
        </is>
      </c>
      <c r="C1036" s="3" t="inlineStr">
        <is>
          <t>ThinkSafe HCM</t>
        </is>
      </c>
      <c r="D1036" s="2" t="inlineStr">
        <is>
          <t>HCM</t>
        </is>
      </c>
      <c r="E1036" s="2" t="inlineStr">
        <is>
          <t>XUÂN TRANG</t>
        </is>
      </c>
      <c r="F1036" s="2" t="inlineStr">
        <is>
          <t>Shopee</t>
        </is>
      </c>
      <c r="G1036" s="2" t="inlineStr">
        <is>
          <t>KV6-6*150</t>
        </is>
      </c>
      <c r="H1036" s="3" t="inlineStr">
        <is>
          <t>Tuốc nơ vít KV6-6*150</t>
        </is>
      </c>
      <c r="I1036" s="4" t="n">
        <v>37000</v>
      </c>
      <c r="J1036" s="4" t="n"/>
      <c r="K1036" s="4">
        <f>IF(AND(ISNUMBER(J1036),ISNUMBER(I1036)),J1036-I1036,"")</f>
        <v/>
      </c>
      <c r="L1036" s="5">
        <f>IF(AND(ISNUMBER(J1036),ISNUMBER(I1036),I1036&gt;0),(J1036-I1036)/I1036,"")</f>
        <v/>
      </c>
      <c r="M1036" s="2">
        <f>IF(L1036="","",IF(L1036&lt;-0.05,"Bán phá giá",IF(L1036&gt;0.05,"Bán cao hơn","Đúng giá niêm yết")))</f>
        <v/>
      </c>
      <c r="N1036" s="2" t="n"/>
      <c r="O1036" s="3" t="n"/>
      <c r="P1036" s="3" t="n"/>
    </row>
    <row r="1037">
      <c r="A1037" s="2" t="n">
        <v>1036</v>
      </c>
      <c r="B1037" s="2" t="inlineStr">
        <is>
          <t>KH005</t>
        </is>
      </c>
      <c r="C1037" s="3" t="inlineStr">
        <is>
          <t>ThinkSafe HCM</t>
        </is>
      </c>
      <c r="D1037" s="2" t="inlineStr">
        <is>
          <t>HCM</t>
        </is>
      </c>
      <c r="E1037" s="2" t="inlineStr">
        <is>
          <t>XUÂN TRANG</t>
        </is>
      </c>
      <c r="F1037" s="2" t="inlineStr">
        <is>
          <t>Shopee</t>
        </is>
      </c>
      <c r="G1037" s="2" t="inlineStr">
        <is>
          <t>KV4-6*38</t>
        </is>
      </c>
      <c r="H1037" s="3" t="inlineStr">
        <is>
          <t>Tuốc nơ vít tự động 3 chức năng S2 KV4-6*38</t>
        </is>
      </c>
      <c r="I1037" s="4" t="n">
        <v>89000</v>
      </c>
      <c r="J1037" s="4" t="n"/>
      <c r="K1037" s="4">
        <f>IF(AND(ISNUMBER(J1037),ISNUMBER(I1037)),J1037-I1037,"")</f>
        <v/>
      </c>
      <c r="L1037" s="5">
        <f>IF(AND(ISNUMBER(J1037),ISNUMBER(I1037),I1037&gt;0),(J1037-I1037)/I1037,"")</f>
        <v/>
      </c>
      <c r="M1037" s="2">
        <f>IF(L1037="","",IF(L1037&lt;-0.05,"Bán phá giá",IF(L1037&gt;0.05,"Bán cao hơn","Đúng giá niêm yết")))</f>
        <v/>
      </c>
      <c r="N1037" s="2" t="n"/>
      <c r="O1037" s="3" t="n"/>
      <c r="P1037" s="3" t="n"/>
    </row>
    <row r="1038">
      <c r="A1038" s="2" t="n">
        <v>1037</v>
      </c>
      <c r="B1038" s="2" t="inlineStr">
        <is>
          <t>KH005</t>
        </is>
      </c>
      <c r="C1038" s="3" t="inlineStr">
        <is>
          <t>ThinkSafe HCM</t>
        </is>
      </c>
      <c r="D1038" s="2" t="inlineStr">
        <is>
          <t>HCM</t>
        </is>
      </c>
      <c r="E1038" s="2" t="inlineStr">
        <is>
          <t>XUÂN TRANG</t>
        </is>
      </c>
      <c r="F1038" s="2" t="inlineStr">
        <is>
          <t>Shopee</t>
        </is>
      </c>
      <c r="G1038" s="2" t="inlineStr">
        <is>
          <t>KHD4212</t>
        </is>
      </c>
      <c r="H1038" s="3" t="inlineStr">
        <is>
          <t>Thùng đựng đồ nghề kèm phụ kiện KHD4212 NEW</t>
        </is>
      </c>
      <c r="I1038" s="4" t="n">
        <v>445000</v>
      </c>
      <c r="J1038" s="4" t="n"/>
      <c r="K1038" s="4">
        <f>IF(AND(ISNUMBER(J1038),ISNUMBER(I1038)),J1038-I1038,"")</f>
        <v/>
      </c>
      <c r="L1038" s="5">
        <f>IF(AND(ISNUMBER(J1038),ISNUMBER(I1038),I1038&gt;0),(J1038-I1038)/I1038,"")</f>
        <v/>
      </c>
      <c r="M1038" s="2">
        <f>IF(L1038="","",IF(L1038&lt;-0.05,"Bán phá giá",IF(L1038&gt;0.05,"Bán cao hơn","Đúng giá niêm yết")))</f>
        <v/>
      </c>
      <c r="N1038" s="2" t="n"/>
      <c r="O1038" s="3" t="n"/>
      <c r="P1038" s="3" t="n"/>
    </row>
    <row r="1039">
      <c r="A1039" s="2" t="n">
        <v>1038</v>
      </c>
      <c r="B1039" s="2" t="inlineStr">
        <is>
          <t>KH005</t>
        </is>
      </c>
      <c r="C1039" s="3" t="inlineStr">
        <is>
          <t>ThinkSafe HCM</t>
        </is>
      </c>
      <c r="D1039" s="2" t="inlineStr">
        <is>
          <t>HCM</t>
        </is>
      </c>
      <c r="E1039" s="2" t="inlineStr">
        <is>
          <t>XUÂN TRANG</t>
        </is>
      </c>
      <c r="F1039" s="2" t="inlineStr">
        <is>
          <t>Shopee</t>
        </is>
      </c>
      <c r="G1039" s="2" t="inlineStr">
        <is>
          <t>KHD20</t>
        </is>
      </c>
      <c r="H1039" s="3" t="inlineStr">
        <is>
          <t>Thùng đựng đồ nghề KHD20</t>
        </is>
      </c>
      <c r="I1039" s="4" t="n">
        <v>440000</v>
      </c>
      <c r="J1039" s="4" t="n"/>
      <c r="K1039" s="4">
        <f>IF(AND(ISNUMBER(J1039),ISNUMBER(I1039)),J1039-I1039,"")</f>
        <v/>
      </c>
      <c r="L1039" s="5">
        <f>IF(AND(ISNUMBER(J1039),ISNUMBER(I1039),I1039&gt;0),(J1039-I1039)/I1039,"")</f>
        <v/>
      </c>
      <c r="M1039" s="2">
        <f>IF(L1039="","",IF(L1039&lt;-0.05,"Bán phá giá",IF(L1039&gt;0.05,"Bán cao hơn","Đúng giá niêm yết")))</f>
        <v/>
      </c>
      <c r="N1039" s="2" t="n"/>
      <c r="O1039" s="3" t="n"/>
      <c r="P1039" s="3" t="n"/>
    </row>
    <row r="1040">
      <c r="A1040" s="2" t="n">
        <v>1039</v>
      </c>
      <c r="B1040" s="2" t="inlineStr">
        <is>
          <t>KH005</t>
        </is>
      </c>
      <c r="C1040" s="3" t="inlineStr">
        <is>
          <t>ThinkSafe HCM</t>
        </is>
      </c>
      <c r="D1040" s="2" t="inlineStr">
        <is>
          <t>HCM</t>
        </is>
      </c>
      <c r="E1040" s="2" t="inlineStr">
        <is>
          <t>XUÂN TRANG</t>
        </is>
      </c>
      <c r="F1040" s="2" t="inlineStr">
        <is>
          <t>Shopee</t>
        </is>
      </c>
      <c r="G1040" s="2" t="inlineStr">
        <is>
          <t>KHD4212</t>
        </is>
      </c>
      <c r="H1040" s="3" t="inlineStr">
        <is>
          <t>Thùng đựng đồ nghề KHD4212</t>
        </is>
      </c>
      <c r="I1040" s="4" t="n">
        <v>445000</v>
      </c>
      <c r="J1040" s="4" t="n"/>
      <c r="K1040" s="4">
        <f>IF(AND(ISNUMBER(J1040),ISNUMBER(I1040)),J1040-I1040,"")</f>
        <v/>
      </c>
      <c r="L1040" s="5">
        <f>IF(AND(ISNUMBER(J1040),ISNUMBER(I1040),I1040&gt;0),(J1040-I1040)/I1040,"")</f>
        <v/>
      </c>
      <c r="M1040" s="2">
        <f>IF(L1040="","",IF(L1040&lt;-0.05,"Bán phá giá",IF(L1040&gt;0.05,"Bán cao hơn","Đúng giá niêm yết")))</f>
        <v/>
      </c>
      <c r="N1040" s="2" t="n"/>
      <c r="O1040" s="3" t="n"/>
      <c r="P1040" s="3" t="n"/>
    </row>
    <row r="1041">
      <c r="A1041" s="2" t="n">
        <v>1040</v>
      </c>
      <c r="B1041" s="2" t="inlineStr">
        <is>
          <t>KH005</t>
        </is>
      </c>
      <c r="C1041" s="3" t="inlineStr">
        <is>
          <t>ThinkSafe HCM</t>
        </is>
      </c>
      <c r="D1041" s="2" t="inlineStr">
        <is>
          <t>HCM</t>
        </is>
      </c>
      <c r="E1041" s="2" t="inlineStr">
        <is>
          <t>XUÂN TRANG</t>
        </is>
      </c>
      <c r="F1041" s="2" t="inlineStr">
        <is>
          <t>Shopee</t>
        </is>
      </c>
      <c r="G1041" s="2" t="inlineStr">
        <is>
          <t>KHD4216</t>
        </is>
      </c>
      <c r="H1041" s="3" t="inlineStr">
        <is>
          <t>Thùng đựng đồ nghề KHD4216</t>
        </is>
      </c>
      <c r="I1041" s="4" t="n">
        <v>528000</v>
      </c>
      <c r="J1041" s="4" t="n"/>
      <c r="K1041" s="4">
        <f>IF(AND(ISNUMBER(J1041),ISNUMBER(I1041)),J1041-I1041,"")</f>
        <v/>
      </c>
      <c r="L1041" s="5">
        <f>IF(AND(ISNUMBER(J1041),ISNUMBER(I1041),I1041&gt;0),(J1041-I1041)/I1041,"")</f>
        <v/>
      </c>
      <c r="M1041" s="2">
        <f>IF(L1041="","",IF(L1041&lt;-0.05,"Bán phá giá",IF(L1041&gt;0.05,"Bán cao hơn","Đúng giá niêm yết")))</f>
        <v/>
      </c>
      <c r="N1041" s="2" t="n"/>
      <c r="O1041" s="3" t="n"/>
      <c r="P1041" s="3" t="n"/>
    </row>
    <row r="1042">
      <c r="A1042" s="2" t="n">
        <v>1041</v>
      </c>
      <c r="B1042" s="2" t="inlineStr">
        <is>
          <t>KH005</t>
        </is>
      </c>
      <c r="C1042" s="3" t="inlineStr">
        <is>
          <t>ThinkSafe HCM</t>
        </is>
      </c>
      <c r="D1042" s="2" t="inlineStr">
        <is>
          <t>HCM</t>
        </is>
      </c>
      <c r="E1042" s="2" t="inlineStr">
        <is>
          <t>XUÂN TRANG</t>
        </is>
      </c>
      <c r="F1042" s="2" t="inlineStr">
        <is>
          <t>Shopee</t>
        </is>
      </c>
      <c r="G1042" s="2" t="inlineStr">
        <is>
          <t>KHD4233</t>
        </is>
      </c>
      <c r="H1042" s="3" t="inlineStr">
        <is>
          <t>Thùng đựng đồ nghề KHD4233</t>
        </is>
      </c>
      <c r="I1042" s="4" t="n">
        <v>869000</v>
      </c>
      <c r="J1042" s="4" t="n"/>
      <c r="K1042" s="4">
        <f>IF(AND(ISNUMBER(J1042),ISNUMBER(I1042)),J1042-I1042,"")</f>
        <v/>
      </c>
      <c r="L1042" s="5">
        <f>IF(AND(ISNUMBER(J1042),ISNUMBER(I1042),I1042&gt;0),(J1042-I1042)/I1042,"")</f>
        <v/>
      </c>
      <c r="M1042" s="2">
        <f>IF(L1042="","",IF(L1042&lt;-0.05,"Bán phá giá",IF(L1042&gt;0.05,"Bán cao hơn","Đúng giá niêm yết")))</f>
        <v/>
      </c>
      <c r="N1042" s="2" t="n"/>
      <c r="O1042" s="3" t="n"/>
      <c r="P1042" s="3" t="n"/>
    </row>
    <row r="1043">
      <c r="A1043" s="2" t="n">
        <v>1042</v>
      </c>
      <c r="B1043" s="2" t="inlineStr">
        <is>
          <t>KH005</t>
        </is>
      </c>
      <c r="C1043" s="3" t="inlineStr">
        <is>
          <t>ThinkSafe HCM</t>
        </is>
      </c>
      <c r="D1043" s="2" t="inlineStr">
        <is>
          <t>HCM</t>
        </is>
      </c>
      <c r="E1043" s="2" t="inlineStr">
        <is>
          <t>XUÂN TRANG</t>
        </is>
      </c>
      <c r="F1043" s="2" t="inlineStr">
        <is>
          <t>Shopee</t>
        </is>
      </c>
      <c r="G1043" s="2" t="inlineStr">
        <is>
          <t>MC-50.25</t>
        </is>
      </c>
      <c r="H1043" s="3" t="inlineStr">
        <is>
          <t>Thước Cuộn MC-50.25</t>
        </is>
      </c>
      <c r="I1043" s="4" t="n">
        <v>76000</v>
      </c>
      <c r="J1043" s="4" t="n"/>
      <c r="K1043" s="4">
        <f>IF(AND(ISNUMBER(J1043),ISNUMBER(I1043)),J1043-I1043,"")</f>
        <v/>
      </c>
      <c r="L1043" s="5">
        <f>IF(AND(ISNUMBER(J1043),ISNUMBER(I1043),I1043&gt;0),(J1043-I1043)/I1043,"")</f>
        <v/>
      </c>
      <c r="M1043" s="2">
        <f>IF(L1043="","",IF(L1043&lt;-0.05,"Bán phá giá",IF(L1043&gt;0.05,"Bán cao hơn","Đúng giá niêm yết")))</f>
        <v/>
      </c>
      <c r="N1043" s="2" t="n"/>
      <c r="O1043" s="3" t="n"/>
      <c r="P1043" s="3" t="n"/>
    </row>
    <row r="1044">
      <c r="A1044" s="2" t="n">
        <v>1043</v>
      </c>
      <c r="B1044" s="2" t="inlineStr">
        <is>
          <t>KH005</t>
        </is>
      </c>
      <c r="C1044" s="3" t="inlineStr">
        <is>
          <t>ThinkSafe HCM</t>
        </is>
      </c>
      <c r="D1044" s="2" t="inlineStr">
        <is>
          <t>HCM</t>
        </is>
      </c>
      <c r="E1044" s="2" t="inlineStr">
        <is>
          <t>XUÂN TRANG</t>
        </is>
      </c>
      <c r="F1044" s="2" t="inlineStr">
        <is>
          <t>Shopee</t>
        </is>
      </c>
      <c r="G1044" s="2" t="inlineStr">
        <is>
          <t>MD-50.25</t>
        </is>
      </c>
      <c r="H1044" s="3" t="inlineStr">
        <is>
          <t>Thước Cuộn tự hãm MD-50.25</t>
        </is>
      </c>
      <c r="I1044" s="4" t="n">
        <v>89000</v>
      </c>
      <c r="J1044" s="4" t="n"/>
      <c r="K1044" s="4">
        <f>IF(AND(ISNUMBER(J1044),ISNUMBER(I1044)),J1044-I1044,"")</f>
        <v/>
      </c>
      <c r="L1044" s="5">
        <f>IF(AND(ISNUMBER(J1044),ISNUMBER(I1044),I1044&gt;0),(J1044-I1044)/I1044,"")</f>
        <v/>
      </c>
      <c r="M1044" s="2">
        <f>IF(L1044="","",IF(L1044&lt;-0.05,"Bán phá giá",IF(L1044&gt;0.05,"Bán cao hơn","Đúng giá niêm yết")))</f>
        <v/>
      </c>
      <c r="N1044" s="2" t="n"/>
      <c r="O1044" s="3" t="n"/>
      <c r="P1044" s="3" t="n"/>
    </row>
    <row r="1045">
      <c r="A1045" s="2" t="n">
        <v>1044</v>
      </c>
      <c r="B1045" s="2" t="inlineStr">
        <is>
          <t>KH005</t>
        </is>
      </c>
      <c r="C1045" s="3" t="inlineStr">
        <is>
          <t>ThinkSafe HCM</t>
        </is>
      </c>
      <c r="D1045" s="2" t="inlineStr">
        <is>
          <t>HCM</t>
        </is>
      </c>
      <c r="E1045" s="2" t="inlineStr">
        <is>
          <t>XUÂN TRANG</t>
        </is>
      </c>
      <c r="F1045" s="2" t="inlineStr">
        <is>
          <t>Shopee</t>
        </is>
      </c>
      <c r="G1045" s="2" t="inlineStr">
        <is>
          <t>TK-150</t>
        </is>
      </c>
      <c r="H1045" s="3" t="inlineStr">
        <is>
          <t>Thước kẹp cơ TK-150</t>
        </is>
      </c>
      <c r="I1045" s="4" t="n">
        <v>227000</v>
      </c>
      <c r="J1045" s="4" t="n"/>
      <c r="K1045" s="4">
        <f>IF(AND(ISNUMBER(J1045),ISNUMBER(I1045)),J1045-I1045,"")</f>
        <v/>
      </c>
      <c r="L1045" s="5">
        <f>IF(AND(ISNUMBER(J1045),ISNUMBER(I1045),I1045&gt;0),(J1045-I1045)/I1045,"")</f>
        <v/>
      </c>
      <c r="M1045" s="2">
        <f>IF(L1045="","",IF(L1045&lt;-0.05,"Bán phá giá",IF(L1045&gt;0.05,"Bán cao hơn","Đúng giá niêm yết")))</f>
        <v/>
      </c>
      <c r="N1045" s="2" t="n"/>
      <c r="O1045" s="3" t="n"/>
      <c r="P1045" s="3" t="n"/>
    </row>
    <row r="1046">
      <c r="A1046" s="2" t="n">
        <v>1045</v>
      </c>
      <c r="B1046" s="2" t="inlineStr">
        <is>
          <t>KH005</t>
        </is>
      </c>
      <c r="C1046" s="3" t="inlineStr">
        <is>
          <t>ThinkSafe HCM</t>
        </is>
      </c>
      <c r="D1046" s="2" t="inlineStr">
        <is>
          <t>HCM</t>
        </is>
      </c>
      <c r="E1046" s="2" t="inlineStr">
        <is>
          <t>XUÂN TRANG</t>
        </is>
      </c>
      <c r="F1046" s="2" t="inlineStr">
        <is>
          <t>Shopee</t>
        </is>
      </c>
      <c r="G1046" s="2" t="inlineStr">
        <is>
          <t>TK-200</t>
        </is>
      </c>
      <c r="H1046" s="3" t="inlineStr">
        <is>
          <t>Thước kẹp cơ TK-200</t>
        </is>
      </c>
      <c r="I1046" s="4" t="n">
        <v>358000</v>
      </c>
      <c r="J1046" s="4" t="n"/>
      <c r="K1046" s="4">
        <f>IF(AND(ISNUMBER(J1046),ISNUMBER(I1046)),J1046-I1046,"")</f>
        <v/>
      </c>
      <c r="L1046" s="5">
        <f>IF(AND(ISNUMBER(J1046),ISNUMBER(I1046),I1046&gt;0),(J1046-I1046)/I1046,"")</f>
        <v/>
      </c>
      <c r="M1046" s="2">
        <f>IF(L1046="","",IF(L1046&lt;-0.05,"Bán phá giá",IF(L1046&gt;0.05,"Bán cao hơn","Đúng giá niêm yết")))</f>
        <v/>
      </c>
      <c r="N1046" s="2" t="n"/>
      <c r="O1046" s="3" t="n"/>
      <c r="P1046" s="3" t="n"/>
    </row>
    <row r="1047">
      <c r="A1047" s="2" t="n">
        <v>1046</v>
      </c>
      <c r="B1047" s="2" t="inlineStr">
        <is>
          <t>KH005</t>
        </is>
      </c>
      <c r="C1047" s="3" t="inlineStr">
        <is>
          <t>ThinkSafe HCM</t>
        </is>
      </c>
      <c r="D1047" s="2" t="inlineStr">
        <is>
          <t>HCM</t>
        </is>
      </c>
      <c r="E1047" s="2" t="inlineStr">
        <is>
          <t>XUÂN TRANG</t>
        </is>
      </c>
      <c r="F1047" s="2" t="inlineStr">
        <is>
          <t>Shopee</t>
        </is>
      </c>
      <c r="G1047" s="2" t="inlineStr">
        <is>
          <t>TK-025</t>
        </is>
      </c>
      <c r="H1047" s="3" t="inlineStr">
        <is>
          <t>Thước kẹp panme TK-025</t>
        </is>
      </c>
      <c r="I1047" s="4" t="n">
        <v>495000</v>
      </c>
      <c r="J1047" s="4" t="n"/>
      <c r="K1047" s="4">
        <f>IF(AND(ISNUMBER(J1047),ISNUMBER(I1047)),J1047-I1047,"")</f>
        <v/>
      </c>
      <c r="L1047" s="5">
        <f>IF(AND(ISNUMBER(J1047),ISNUMBER(I1047),I1047&gt;0),(J1047-I1047)/I1047,"")</f>
        <v/>
      </c>
      <c r="M1047" s="2">
        <f>IF(L1047="","",IF(L1047&lt;-0.05,"Bán phá giá",IF(L1047&gt;0.05,"Bán cao hơn","Đúng giá niêm yết")))</f>
        <v/>
      </c>
      <c r="N1047" s="2" t="n"/>
      <c r="O1047" s="3" t="n"/>
      <c r="P1047" s="3" t="n"/>
    </row>
    <row r="1048">
      <c r="A1048" s="2" t="n">
        <v>1047</v>
      </c>
      <c r="B1048" s="2" t="inlineStr">
        <is>
          <t>KH005</t>
        </is>
      </c>
      <c r="C1048" s="3" t="inlineStr">
        <is>
          <t>ThinkSafe HCM</t>
        </is>
      </c>
      <c r="D1048" s="2" t="inlineStr">
        <is>
          <t>HCM</t>
        </is>
      </c>
      <c r="E1048" s="2" t="inlineStr">
        <is>
          <t>XUÂN TRANG</t>
        </is>
      </c>
      <c r="F1048" s="2" t="inlineStr">
        <is>
          <t>Shopee</t>
        </is>
      </c>
      <c r="G1048" s="2" t="inlineStr">
        <is>
          <t>KTT-25A</t>
        </is>
      </c>
      <c r="H1048" s="3" t="inlineStr">
        <is>
          <t>Thước thủy KTT-25A</t>
        </is>
      </c>
      <c r="I1048" s="4" t="n">
        <v>44000</v>
      </c>
      <c r="J1048" s="4" t="n"/>
      <c r="K1048" s="4">
        <f>IF(AND(ISNUMBER(J1048),ISNUMBER(I1048)),J1048-I1048,"")</f>
        <v/>
      </c>
      <c r="L1048" s="5">
        <f>IF(AND(ISNUMBER(J1048),ISNUMBER(I1048),I1048&gt;0),(J1048-I1048)/I1048,"")</f>
        <v/>
      </c>
      <c r="M1048" s="2">
        <f>IF(L1048="","",IF(L1048&lt;-0.05,"Bán phá giá",IF(L1048&gt;0.05,"Bán cao hơn","Đúng giá niêm yết")))</f>
        <v/>
      </c>
      <c r="N1048" s="2" t="n"/>
      <c r="O1048" s="3" t="n"/>
      <c r="P1048" s="3" t="n"/>
    </row>
    <row r="1049">
      <c r="A1049" s="2" t="n">
        <v>1048</v>
      </c>
      <c r="B1049" s="2" t="inlineStr">
        <is>
          <t>KH005</t>
        </is>
      </c>
      <c r="C1049" s="3" t="inlineStr">
        <is>
          <t>ThinkSafe HCM</t>
        </is>
      </c>
      <c r="D1049" s="2" t="inlineStr">
        <is>
          <t>HCM</t>
        </is>
      </c>
      <c r="E1049" s="2" t="inlineStr">
        <is>
          <t>XUÂN TRANG</t>
        </is>
      </c>
      <c r="F1049" s="2" t="inlineStr">
        <is>
          <t>Shopee</t>
        </is>
      </c>
      <c r="G1049" s="2" t="inlineStr">
        <is>
          <t>KFJ-432</t>
        </is>
      </c>
      <c r="H1049" s="3" t="inlineStr">
        <is>
          <t>Vít bê tông không dùng tắc kê KFJ-432</t>
        </is>
      </c>
      <c r="I1049" s="4" t="n">
        <v>86000</v>
      </c>
      <c r="J1049" s="4" t="n"/>
      <c r="K1049" s="4">
        <f>IF(AND(ISNUMBER(J1049),ISNUMBER(I1049)),J1049-I1049,"")</f>
        <v/>
      </c>
      <c r="L1049" s="5">
        <f>IF(AND(ISNUMBER(J1049),ISNUMBER(I1049),I1049&gt;0),(J1049-I1049)/I1049,"")</f>
        <v/>
      </c>
      <c r="M1049" s="2">
        <f>IF(L1049="","",IF(L1049&lt;-0.05,"Bán phá giá",IF(L1049&gt;0.05,"Bán cao hơn","Đúng giá niêm yết")))</f>
        <v/>
      </c>
      <c r="N1049" s="2" t="n"/>
      <c r="O1049" s="3" t="n"/>
      <c r="P1049" s="3" t="n"/>
    </row>
    <row r="1050">
      <c r="A1050" s="2" t="n">
        <v>1049</v>
      </c>
      <c r="B1050" s="2" t="inlineStr">
        <is>
          <t>KH005</t>
        </is>
      </c>
      <c r="C1050" s="3" t="inlineStr">
        <is>
          <t>ThinkSafe HCM</t>
        </is>
      </c>
      <c r="D1050" s="2" t="inlineStr">
        <is>
          <t>HCM</t>
        </is>
      </c>
      <c r="E1050" s="2" t="inlineStr">
        <is>
          <t>XUÂN TRANG</t>
        </is>
      </c>
      <c r="F1050" s="2" t="inlineStr">
        <is>
          <t>Shopee</t>
        </is>
      </c>
      <c r="G1050" s="2" t="inlineStr">
        <is>
          <t>KFJ-438</t>
        </is>
      </c>
      <c r="H1050" s="3" t="inlineStr">
        <is>
          <t>Vít bê tông không dùng tắc kê KFJ-438</t>
        </is>
      </c>
      <c r="I1050" s="4" t="n">
        <v>86000</v>
      </c>
      <c r="J1050" s="4" t="n"/>
      <c r="K1050" s="4">
        <f>IF(AND(ISNUMBER(J1050),ISNUMBER(I1050)),J1050-I1050,"")</f>
        <v/>
      </c>
      <c r="L1050" s="5">
        <f>IF(AND(ISNUMBER(J1050),ISNUMBER(I1050),I1050&gt;0),(J1050-I1050)/I1050,"")</f>
        <v/>
      </c>
      <c r="M1050" s="2">
        <f>IF(L1050="","",IF(L1050&lt;-0.05,"Bán phá giá",IF(L1050&gt;0.05,"Bán cao hơn","Đúng giá niêm yết")))</f>
        <v/>
      </c>
      <c r="N1050" s="2" t="n"/>
      <c r="O1050" s="3" t="n"/>
      <c r="P1050" s="3" t="n"/>
    </row>
    <row r="1051">
      <c r="A1051" s="2" t="n">
        <v>1050</v>
      </c>
      <c r="B1051" s="2" t="inlineStr">
        <is>
          <t>KH005</t>
        </is>
      </c>
      <c r="C1051" s="3" t="inlineStr">
        <is>
          <t>ThinkSafe HCM</t>
        </is>
      </c>
      <c r="D1051" s="2" t="inlineStr">
        <is>
          <t>HCM</t>
        </is>
      </c>
      <c r="E1051" s="2" t="inlineStr">
        <is>
          <t>XUÂN TRANG</t>
        </is>
      </c>
      <c r="F1051" s="2" t="inlineStr">
        <is>
          <t>Shopee</t>
        </is>
      </c>
      <c r="G1051" s="2" t="inlineStr">
        <is>
          <t>KFJ-445</t>
        </is>
      </c>
      <c r="H1051" s="3" t="inlineStr">
        <is>
          <t>Vít bê tông không dùng tắc kê KFJ-445</t>
        </is>
      </c>
      <c r="I1051" s="4" t="n">
        <v>86000</v>
      </c>
      <c r="J1051" s="4" t="n"/>
      <c r="K1051" s="4">
        <f>IF(AND(ISNUMBER(J1051),ISNUMBER(I1051)),J1051-I1051,"")</f>
        <v/>
      </c>
      <c r="L1051" s="5">
        <f>IF(AND(ISNUMBER(J1051),ISNUMBER(I1051),I1051&gt;0),(J1051-I1051)/I1051,"")</f>
        <v/>
      </c>
      <c r="M1051" s="2">
        <f>IF(L1051="","",IF(L1051&lt;-0.05,"Bán phá giá",IF(L1051&gt;0.05,"Bán cao hơn","Đúng giá niêm yết")))</f>
        <v/>
      </c>
      <c r="N1051" s="2" t="n"/>
      <c r="O1051" s="3" t="n"/>
      <c r="P1051" s="3" t="n"/>
    </row>
    <row r="1052">
      <c r="A1052" s="2" t="n">
        <v>1051</v>
      </c>
      <c r="B1052" s="2" t="inlineStr">
        <is>
          <t>KH005</t>
        </is>
      </c>
      <c r="C1052" s="3" t="inlineStr">
        <is>
          <t>ThinkSafe HCM</t>
        </is>
      </c>
      <c r="D1052" s="2" t="inlineStr">
        <is>
          <t>HCM</t>
        </is>
      </c>
      <c r="E1052" s="2" t="inlineStr">
        <is>
          <t>XUÂN TRANG</t>
        </is>
      </c>
      <c r="F1052" s="2" t="inlineStr">
        <is>
          <t>Shopee</t>
        </is>
      </c>
      <c r="G1052" s="2" t="inlineStr">
        <is>
          <t>KFJ-535</t>
        </is>
      </c>
      <c r="H1052" s="3" t="inlineStr">
        <is>
          <t>Vít bê tông không dùng tắc kê KFJ-535</t>
        </is>
      </c>
      <c r="I1052" s="4" t="n">
        <v>86000</v>
      </c>
      <c r="J1052" s="4" t="n"/>
      <c r="K1052" s="4">
        <f>IF(AND(ISNUMBER(J1052),ISNUMBER(I1052)),J1052-I1052,"")</f>
        <v/>
      </c>
      <c r="L1052" s="5">
        <f>IF(AND(ISNUMBER(J1052),ISNUMBER(I1052),I1052&gt;0),(J1052-I1052)/I1052,"")</f>
        <v/>
      </c>
      <c r="M1052" s="2">
        <f>IF(L1052="","",IF(L1052&lt;-0.05,"Bán phá giá",IF(L1052&gt;0.05,"Bán cao hơn","Đúng giá niêm yết")))</f>
        <v/>
      </c>
      <c r="N1052" s="2" t="n"/>
      <c r="O1052" s="3" t="n"/>
      <c r="P1052" s="3" t="n"/>
    </row>
    <row r="1053">
      <c r="A1053" s="2" t="n">
        <v>1052</v>
      </c>
      <c r="B1053" s="2" t="inlineStr">
        <is>
          <t>KH005</t>
        </is>
      </c>
      <c r="C1053" s="3" t="inlineStr">
        <is>
          <t>ThinkSafe HCM</t>
        </is>
      </c>
      <c r="D1053" s="2" t="inlineStr">
        <is>
          <t>HCM</t>
        </is>
      </c>
      <c r="E1053" s="2" t="inlineStr">
        <is>
          <t>XUÂN TRANG</t>
        </is>
      </c>
      <c r="F1053" s="2" t="inlineStr">
        <is>
          <t>Shopee</t>
        </is>
      </c>
      <c r="G1053" s="2" t="inlineStr">
        <is>
          <t>KFJ-545</t>
        </is>
      </c>
      <c r="H1053" s="3" t="inlineStr">
        <is>
          <t>Vít bê tông không dùng tắc kê KFJ-545</t>
        </is>
      </c>
      <c r="I1053" s="4" t="n">
        <v>86000</v>
      </c>
      <c r="J1053" s="4" t="n"/>
      <c r="K1053" s="4">
        <f>IF(AND(ISNUMBER(J1053),ISNUMBER(I1053)),J1053-I1053,"")</f>
        <v/>
      </c>
      <c r="L1053" s="5">
        <f>IF(AND(ISNUMBER(J1053),ISNUMBER(I1053),I1053&gt;0),(J1053-I1053)/I1053,"")</f>
        <v/>
      </c>
      <c r="M1053" s="2">
        <f>IF(L1053="","",IF(L1053&lt;-0.05,"Bán phá giá",IF(L1053&gt;0.05,"Bán cao hơn","Đúng giá niêm yết")))</f>
        <v/>
      </c>
      <c r="N1053" s="2" t="n"/>
      <c r="O1053" s="3" t="n"/>
      <c r="P1053" s="3" t="n"/>
    </row>
    <row r="1054">
      <c r="A1054" s="2" t="n">
        <v>1053</v>
      </c>
      <c r="B1054" s="2" t="inlineStr">
        <is>
          <t>KH005</t>
        </is>
      </c>
      <c r="C1054" s="3" t="inlineStr">
        <is>
          <t>ThinkSafe HCM</t>
        </is>
      </c>
      <c r="D1054" s="2" t="inlineStr">
        <is>
          <t>HCM</t>
        </is>
      </c>
      <c r="E1054" s="2" t="inlineStr">
        <is>
          <t>XUÂN TRANG</t>
        </is>
      </c>
      <c r="F1054" s="2" t="inlineStr">
        <is>
          <t>Shopee</t>
        </is>
      </c>
      <c r="G1054" s="2" t="inlineStr">
        <is>
          <t>KB4x100</t>
        </is>
      </c>
      <c r="H1054" s="3" t="inlineStr">
        <is>
          <t>Vít KingBlue KB4x100</t>
        </is>
      </c>
      <c r="I1054" s="4" t="n">
        <v>55000</v>
      </c>
      <c r="J1054" s="4" t="n"/>
      <c r="K1054" s="4">
        <f>IF(AND(ISNUMBER(J1054),ISNUMBER(I1054)),J1054-I1054,"")</f>
        <v/>
      </c>
      <c r="L1054" s="5">
        <f>IF(AND(ISNUMBER(J1054),ISNUMBER(I1054),I1054&gt;0),(J1054-I1054)/I1054,"")</f>
        <v/>
      </c>
      <c r="M1054" s="2">
        <f>IF(L1054="","",IF(L1054&lt;-0.05,"Bán phá giá",IF(L1054&gt;0.05,"Bán cao hơn","Đúng giá niêm yết")))</f>
        <v/>
      </c>
      <c r="N1054" s="2" t="n"/>
      <c r="O1054" s="3" t="n"/>
      <c r="P1054" s="3" t="n"/>
    </row>
    <row r="1055">
      <c r="A1055" s="2" t="n">
        <v>1054</v>
      </c>
      <c r="B1055" s="2" t="inlineStr">
        <is>
          <t>KH005</t>
        </is>
      </c>
      <c r="C1055" s="3" t="inlineStr">
        <is>
          <t>ThinkSafe HCM</t>
        </is>
      </c>
      <c r="D1055" s="2" t="inlineStr">
        <is>
          <t>HCM</t>
        </is>
      </c>
      <c r="E1055" s="2" t="inlineStr">
        <is>
          <t>XUÂN TRANG</t>
        </is>
      </c>
      <c r="F1055" s="2" t="inlineStr">
        <is>
          <t>Shopee</t>
        </is>
      </c>
      <c r="G1055" s="2" t="inlineStr">
        <is>
          <t>KB4x65</t>
        </is>
      </c>
      <c r="H1055" s="3" t="inlineStr">
        <is>
          <t>Vít KingBlue KB4x65</t>
        </is>
      </c>
      <c r="I1055" s="4" t="n">
        <v>75000</v>
      </c>
      <c r="J1055" s="4" t="n"/>
      <c r="K1055" s="4">
        <f>IF(AND(ISNUMBER(J1055),ISNUMBER(I1055)),J1055-I1055,"")</f>
        <v/>
      </c>
      <c r="L1055" s="5">
        <f>IF(AND(ISNUMBER(J1055),ISNUMBER(I1055),I1055&gt;0),(J1055-I1055)/I1055,"")</f>
        <v/>
      </c>
      <c r="M1055" s="2">
        <f>IF(L1055="","",IF(L1055&lt;-0.05,"Bán phá giá",IF(L1055&gt;0.05,"Bán cao hơn","Đúng giá niêm yết")))</f>
        <v/>
      </c>
      <c r="N1055" s="2" t="n"/>
      <c r="O1055" s="3" t="n"/>
      <c r="P1055" s="3" t="n"/>
    </row>
    <row r="1056">
      <c r="A1056" s="2" t="n">
        <v>1055</v>
      </c>
      <c r="B1056" s="2" t="inlineStr">
        <is>
          <t>KH005</t>
        </is>
      </c>
      <c r="C1056" s="3" t="inlineStr">
        <is>
          <t>ThinkSafe HCM</t>
        </is>
      </c>
      <c r="D1056" s="2" t="inlineStr">
        <is>
          <t>HCM</t>
        </is>
      </c>
      <c r="E1056" s="2" t="inlineStr">
        <is>
          <t>XUÂN TRANG</t>
        </is>
      </c>
      <c r="F1056" s="2" t="inlineStr">
        <is>
          <t>Shopee</t>
        </is>
      </c>
      <c r="G1056" s="2" t="inlineStr">
        <is>
          <t>KB4x65S</t>
        </is>
      </c>
      <c r="H1056" s="3" t="inlineStr">
        <is>
          <t>Vít KingBlue KB4x65S</t>
        </is>
      </c>
      <c r="I1056" s="4" t="n">
        <v>11000</v>
      </c>
      <c r="J1056" s="4" t="n"/>
      <c r="K1056" s="4">
        <f>IF(AND(ISNUMBER(J1056),ISNUMBER(I1056)),J1056-I1056,"")</f>
        <v/>
      </c>
      <c r="L1056" s="5">
        <f>IF(AND(ISNUMBER(J1056),ISNUMBER(I1056),I1056&gt;0),(J1056-I1056)/I1056,"")</f>
        <v/>
      </c>
      <c r="M1056" s="2">
        <f>IF(L1056="","",IF(L1056&lt;-0.05,"Bán phá giá",IF(L1056&gt;0.05,"Bán cao hơn","Đúng giá niêm yết")))</f>
        <v/>
      </c>
      <c r="N1056" s="2" t="n"/>
      <c r="O1056" s="3" t="n"/>
      <c r="P105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3" customWidth="1" min="4" max="4"/>
    <col width="22" customWidth="1" min="5" max="5"/>
    <col width="19" customWidth="1" min="6" max="6"/>
    <col width="27" customWidth="1" min="7" max="7"/>
    <col width="36" customWidth="1" min="8" max="8"/>
  </cols>
  <sheetData>
    <row r="1">
      <c r="A1" s="6" t="inlineStr">
        <is>
          <t>STT</t>
        </is>
      </c>
      <c r="B1" s="6" t="inlineStr">
        <is>
          <t>Mã Đại Lý</t>
        </is>
      </c>
      <c r="C1" s="6" t="inlineStr">
        <is>
          <t>Tên Đại Lý / NPP / Khách Hàng</t>
        </is>
      </c>
      <c r="D1" s="6" t="inlineStr">
        <is>
          <t>Tỉnh Thành</t>
        </is>
      </c>
      <c r="E1" s="6" t="inlineStr">
        <is>
          <t>Nhân Viên Phụ Trách</t>
        </is>
      </c>
      <c r="F1" s="6" t="inlineStr">
        <is>
          <t>Sàn TMĐT</t>
        </is>
      </c>
      <c r="G1" s="6" t="inlineStr">
        <is>
          <t>Tổng Số Sản Phẩm Đã Nhập</t>
        </is>
      </c>
      <c r="H1" s="6" t="inlineStr">
        <is>
          <t>Trạng Thái Kiểm Tra</t>
        </is>
      </c>
    </row>
    <row r="2">
      <c r="A2" s="2" t="n">
        <v>1</v>
      </c>
      <c r="B2" s="2" t="inlineStr">
        <is>
          <t>KH001</t>
        </is>
      </c>
      <c r="C2" s="3" t="inlineStr">
        <is>
          <t>Điện nước Nhật (Shop) HCM</t>
        </is>
      </c>
      <c r="D2" s="2" t="inlineStr">
        <is>
          <t>HCM</t>
        </is>
      </c>
      <c r="E2" s="2" t="inlineStr">
        <is>
          <t>BẢO TRÂM</t>
        </is>
      </c>
      <c r="F2" s="2" t="inlineStr">
        <is>
          <t>Shopee</t>
        </is>
      </c>
      <c r="G2" s="7" t="n">
        <v>257</v>
      </c>
      <c r="H2" s="2" t="inlineStr">
        <is>
          <t>Chờ khảo sát giá thực tế trên sàn</t>
        </is>
      </c>
    </row>
    <row r="3">
      <c r="A3" s="2" t="n">
        <v>2</v>
      </c>
      <c r="B3" s="2" t="inlineStr">
        <is>
          <t>KH002</t>
        </is>
      </c>
      <c r="C3" s="3" t="inlineStr">
        <is>
          <t>Nguyễn Hoàng Phú</t>
        </is>
      </c>
      <c r="D3" s="2" t="inlineStr">
        <is>
          <t>HCM</t>
        </is>
      </c>
      <c r="E3" s="2" t="inlineStr">
        <is>
          <t>BẢO TRÂM</t>
        </is>
      </c>
      <c r="F3" s="2" t="inlineStr">
        <is>
          <t>Shopee</t>
        </is>
      </c>
      <c r="G3" s="7" t="n">
        <v>261</v>
      </c>
      <c r="H3" s="2" t="inlineStr">
        <is>
          <t>Chờ khảo sát giá thực tế trên sàn</t>
        </is>
      </c>
    </row>
    <row r="4">
      <c r="A4" s="2" t="n">
        <v>3</v>
      </c>
      <c r="B4" s="2" t="inlineStr">
        <is>
          <t>KH003</t>
        </is>
      </c>
      <c r="C4" s="3" t="inlineStr">
        <is>
          <t>CÔNG TY TNHH ĐỒ NGHỀ CẦM TAY PHƯƠNG MY</t>
        </is>
      </c>
      <c r="D4" s="2" t="inlineStr">
        <is>
          <t>HCM</t>
        </is>
      </c>
      <c r="E4" s="2" t="inlineStr">
        <is>
          <t>BẢO TRÂM</t>
        </is>
      </c>
      <c r="F4" s="2" t="inlineStr">
        <is>
          <t>Shopee</t>
        </is>
      </c>
      <c r="G4" s="7" t="n">
        <v>165</v>
      </c>
      <c r="H4" s="2" t="inlineStr">
        <is>
          <t>Chờ khảo sát giá thực tế trên sàn</t>
        </is>
      </c>
    </row>
    <row r="5">
      <c r="A5" s="2" t="n">
        <v>4</v>
      </c>
      <c r="B5" s="2" t="inlineStr">
        <is>
          <t>KH004</t>
        </is>
      </c>
      <c r="C5" s="3" t="inlineStr">
        <is>
          <t>HCM-BIGSHOP</t>
        </is>
      </c>
      <c r="D5" s="2" t="inlineStr">
        <is>
          <t>HCM</t>
        </is>
      </c>
      <c r="E5" s="2" t="inlineStr">
        <is>
          <t>XUÂN TRANG</t>
        </is>
      </c>
      <c r="F5" s="2" t="inlineStr">
        <is>
          <t>Website bán hàng</t>
        </is>
      </c>
      <c r="G5" s="7" t="n">
        <v>87</v>
      </c>
      <c r="H5" s="2" t="inlineStr">
        <is>
          <t>Chờ khảo sát giá thực tế trên sàn</t>
        </is>
      </c>
    </row>
    <row r="6">
      <c r="A6" s="2" t="n">
        <v>5</v>
      </c>
      <c r="B6" s="2" t="inlineStr">
        <is>
          <t>KH005</t>
        </is>
      </c>
      <c r="C6" s="3" t="inlineStr">
        <is>
          <t>ThinkSafe HCM</t>
        </is>
      </c>
      <c r="D6" s="2" t="inlineStr">
        <is>
          <t>HCM</t>
        </is>
      </c>
      <c r="E6" s="2" t="inlineStr">
        <is>
          <t>XUÂN TRANG</t>
        </is>
      </c>
      <c r="F6" s="2" t="inlineStr">
        <is>
          <t>Shopee</t>
        </is>
      </c>
      <c r="G6" s="7" t="n">
        <v>285</v>
      </c>
      <c r="H6" s="2" t="inlineStr">
        <is>
          <t>Chờ khảo sát giá thực tế trên sàn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14" customWidth="1" min="4" max="4"/>
    <col width="25" customWidth="1" min="5" max="5"/>
    <col width="32" customWidth="1" min="6" max="6"/>
  </cols>
  <sheetData>
    <row r="1">
      <c r="A1" s="8" t="inlineStr">
        <is>
          <t>STT</t>
        </is>
      </c>
      <c r="B1" s="8" t="inlineStr">
        <is>
          <t>Mã Hàng KingBlue</t>
        </is>
      </c>
      <c r="C1" s="8" t="inlineStr">
        <is>
          <t>Tên Hàng Hóa</t>
        </is>
      </c>
      <c r="D1" s="8" t="inlineStr">
        <is>
          <t>Đơn Vị Tính</t>
        </is>
      </c>
      <c r="E1" s="8" t="inlineStr">
        <is>
          <t>Đơn Giá Niêm Yết (VNĐ)</t>
        </is>
      </c>
      <c r="F1" s="8" t="inlineStr">
        <is>
          <t>Nguồn Dữ Liệu</t>
        </is>
      </c>
    </row>
    <row r="2">
      <c r="A2" s="2" t="n">
        <v>1</v>
      </c>
      <c r="B2" s="2" t="inlineStr">
        <is>
          <t>10,5mm/100m</t>
        </is>
      </c>
      <c r="C2" s="3" t="inlineStr">
        <is>
          <t>10,5mm/100m</t>
        </is>
      </c>
      <c r="D2" s="2" t="inlineStr">
        <is>
          <t>Cái</t>
        </is>
      </c>
      <c r="E2" s="9" t="n">
        <v>39000</v>
      </c>
      <c r="F2" s="3" t="inlineStr">
        <is>
          <t>Sổ chi tiết bán hàng KingBlue</t>
        </is>
      </c>
    </row>
    <row r="3">
      <c r="A3" s="2" t="n">
        <v>2</v>
      </c>
      <c r="B3" s="2" t="inlineStr">
        <is>
          <t>B2016</t>
        </is>
      </c>
      <c r="C3" s="3" t="inlineStr">
        <is>
          <t>B2016</t>
        </is>
      </c>
      <c r="D3" s="2" t="inlineStr">
        <is>
          <t>Cái</t>
        </is>
      </c>
      <c r="E3" s="9" t="n">
        <v>350000</v>
      </c>
      <c r="F3" s="3" t="inlineStr">
        <is>
          <t>Sổ chi tiết bán hàng KingBlue</t>
        </is>
      </c>
    </row>
    <row r="4">
      <c r="A4" s="2" t="n">
        <v>3</v>
      </c>
      <c r="B4" s="2" t="inlineStr">
        <is>
          <t>B2040</t>
        </is>
      </c>
      <c r="C4" s="3" t="inlineStr">
        <is>
          <t>B2040</t>
        </is>
      </c>
      <c r="D4" s="2" t="inlineStr">
        <is>
          <t>Cái</t>
        </is>
      </c>
      <c r="E4" s="9" t="n">
        <v>700000</v>
      </c>
      <c r="F4" s="3" t="inlineStr">
        <is>
          <t>Sổ chi tiết bán hàng KingBlue</t>
        </is>
      </c>
    </row>
    <row r="5">
      <c r="A5" s="2" t="n">
        <v>4</v>
      </c>
      <c r="B5" s="2" t="inlineStr">
        <is>
          <t>B2050</t>
        </is>
      </c>
      <c r="C5" s="3" t="inlineStr">
        <is>
          <t>B2050</t>
        </is>
      </c>
      <c r="D5" s="2" t="inlineStr">
        <is>
          <t>Cái</t>
        </is>
      </c>
      <c r="E5" s="9" t="n">
        <v>900000</v>
      </c>
      <c r="F5" s="3" t="inlineStr">
        <is>
          <t>Sổ chi tiết bán hàng KingBlue</t>
        </is>
      </c>
    </row>
    <row r="6">
      <c r="A6" s="2" t="n">
        <v>5</v>
      </c>
      <c r="B6" s="2" t="inlineStr">
        <is>
          <t>B2A16</t>
        </is>
      </c>
      <c r="C6" s="3" t="inlineStr">
        <is>
          <t>B2A16</t>
        </is>
      </c>
      <c r="D6" s="2" t="inlineStr">
        <is>
          <t>Cái</t>
        </is>
      </c>
      <c r="E6" s="9" t="n">
        <v>240000</v>
      </c>
      <c r="F6" s="3" t="inlineStr">
        <is>
          <t>Sổ chi tiết bán hàng KingBlue</t>
        </is>
      </c>
    </row>
    <row r="7">
      <c r="A7" s="2" t="n">
        <v>6</v>
      </c>
      <c r="B7" s="2" t="inlineStr">
        <is>
          <t>B2A20</t>
        </is>
      </c>
      <c r="C7" s="3" t="inlineStr">
        <is>
          <t>B2A20</t>
        </is>
      </c>
      <c r="D7" s="2" t="inlineStr">
        <is>
          <t>Cái</t>
        </is>
      </c>
      <c r="E7" s="9" t="n">
        <v>280000</v>
      </c>
      <c r="F7" s="3" t="inlineStr">
        <is>
          <t>Sổ chi tiết bán hàng KingBlue</t>
        </is>
      </c>
    </row>
    <row r="8">
      <c r="A8" s="2" t="n">
        <v>7</v>
      </c>
      <c r="B8" s="2" t="inlineStr">
        <is>
          <t>BA-100</t>
        </is>
      </c>
      <c r="C8" s="3" t="inlineStr">
        <is>
          <t>BA-100</t>
        </is>
      </c>
      <c r="D8" s="2" t="inlineStr">
        <is>
          <t>Cái</t>
        </is>
      </c>
      <c r="E8" s="9" t="n">
        <v>8600</v>
      </c>
      <c r="F8" s="3" t="inlineStr">
        <is>
          <t>Sổ chi tiết bán hàng KingBlue</t>
        </is>
      </c>
    </row>
    <row r="9">
      <c r="A9" s="2" t="n">
        <v>8</v>
      </c>
      <c r="B9" s="2" t="inlineStr">
        <is>
          <t>BA-150</t>
        </is>
      </c>
      <c r="C9" s="3" t="inlineStr">
        <is>
          <t>BA-150</t>
        </is>
      </c>
      <c r="D9" s="2" t="inlineStr">
        <is>
          <t>Cái</t>
        </is>
      </c>
      <c r="E9" s="9" t="n">
        <v>8200</v>
      </c>
      <c r="F9" s="3" t="inlineStr">
        <is>
          <t>Sổ chi tiết bán hàng KingBlue</t>
        </is>
      </c>
    </row>
    <row r="10">
      <c r="A10" s="2" t="n">
        <v>9</v>
      </c>
      <c r="B10" s="2" t="inlineStr">
        <is>
          <t>BA-180</t>
        </is>
      </c>
      <c r="C10" s="3" t="inlineStr">
        <is>
          <t>BA-180</t>
        </is>
      </c>
      <c r="D10" s="2" t="inlineStr">
        <is>
          <t>Cái</t>
        </is>
      </c>
      <c r="E10" s="9" t="n">
        <v>8600</v>
      </c>
      <c r="F10" s="3" t="inlineStr">
        <is>
          <t>Sổ chi tiết bán hàng KingBlue</t>
        </is>
      </c>
    </row>
    <row r="11">
      <c r="A11" s="2" t="n">
        <v>10</v>
      </c>
      <c r="B11" s="2" t="inlineStr">
        <is>
          <t>BA-240</t>
        </is>
      </c>
      <c r="C11" s="3" t="inlineStr">
        <is>
          <t>BA-240</t>
        </is>
      </c>
      <c r="D11" s="2" t="inlineStr">
        <is>
          <t>Cái</t>
        </is>
      </c>
      <c r="E11" s="9" t="n">
        <v>8200</v>
      </c>
      <c r="F11" s="3" t="inlineStr">
        <is>
          <t>Sổ chi tiết bán hàng KingBlue</t>
        </is>
      </c>
    </row>
    <row r="12">
      <c r="A12" s="2" t="n">
        <v>11</v>
      </c>
      <c r="B12" s="2" t="inlineStr">
        <is>
          <t>BA-320</t>
        </is>
      </c>
      <c r="C12" s="3" t="inlineStr">
        <is>
          <t>BA-320</t>
        </is>
      </c>
      <c r="D12" s="2" t="inlineStr">
        <is>
          <t>Cái</t>
        </is>
      </c>
      <c r="E12" s="9" t="n">
        <v>8200</v>
      </c>
      <c r="F12" s="3" t="inlineStr">
        <is>
          <t>Sổ chi tiết bán hàng KingBlue</t>
        </is>
      </c>
    </row>
    <row r="13">
      <c r="A13" s="2" t="n">
        <v>12</v>
      </c>
      <c r="B13" s="2" t="inlineStr">
        <is>
          <t>BA-60</t>
        </is>
      </c>
      <c r="C13" s="3" t="inlineStr">
        <is>
          <t>BA-60</t>
        </is>
      </c>
      <c r="D13" s="2" t="inlineStr">
        <is>
          <t>Cái</t>
        </is>
      </c>
      <c r="E13" s="9" t="n">
        <v>8200</v>
      </c>
      <c r="F13" s="3" t="inlineStr">
        <is>
          <t>Sổ chi tiết bán hàng KingBlue</t>
        </is>
      </c>
    </row>
    <row r="14">
      <c r="A14" s="2" t="n">
        <v>13</v>
      </c>
      <c r="B14" s="2" t="inlineStr">
        <is>
          <t>BOCHUYENCHANSAC</t>
        </is>
      </c>
      <c r="C14" s="3" t="inlineStr">
        <is>
          <t>BOCHUYENCHANSAC</t>
        </is>
      </c>
      <c r="D14" s="2" t="inlineStr">
        <is>
          <t>Cái</t>
        </is>
      </c>
      <c r="E14" s="9" t="n">
        <v>220000</v>
      </c>
      <c r="F14" s="3" t="inlineStr">
        <is>
          <t>Sổ chi tiết bán hàng KingBlue</t>
        </is>
      </c>
    </row>
    <row r="15">
      <c r="A15" s="2" t="n">
        <v>14</v>
      </c>
      <c r="B15" s="2" t="inlineStr">
        <is>
          <t>Bàn cắt gạch CG-1000</t>
        </is>
      </c>
      <c r="C15" s="3" t="inlineStr">
        <is>
          <t>Bàn cắt gạch CG-1000</t>
        </is>
      </c>
      <c r="D15" s="2" t="inlineStr">
        <is>
          <t>Cái</t>
        </is>
      </c>
      <c r="E15" s="9" t="n">
        <v>2420000</v>
      </c>
      <c r="F15" s="3" t="inlineStr">
        <is>
          <t>Sổ chi tiết bán hàng KingBlue</t>
        </is>
      </c>
    </row>
    <row r="16">
      <c r="A16" s="2" t="n">
        <v>15</v>
      </c>
      <c r="B16" s="2" t="inlineStr">
        <is>
          <t>Bàn cắt gạch CG-1200</t>
        </is>
      </c>
      <c r="C16" s="3" t="inlineStr">
        <is>
          <t>Bàn cắt gạch CG-1200</t>
        </is>
      </c>
      <c r="D16" s="2" t="inlineStr">
        <is>
          <t>Cái</t>
        </is>
      </c>
      <c r="E16" s="9" t="n">
        <v>2706000</v>
      </c>
      <c r="F16" s="3" t="inlineStr">
        <is>
          <t>Sổ chi tiết bán hàng KingBlue</t>
        </is>
      </c>
    </row>
    <row r="17">
      <c r="A17" s="2" t="n">
        <v>16</v>
      </c>
      <c r="B17" s="2" t="inlineStr">
        <is>
          <t>Bàn cắt gạch CG-800</t>
        </is>
      </c>
      <c r="C17" s="3" t="inlineStr">
        <is>
          <t>Bàn cắt gạch CG-800</t>
        </is>
      </c>
      <c r="D17" s="2" t="inlineStr">
        <is>
          <t>Cái</t>
        </is>
      </c>
      <c r="E17" s="9" t="n">
        <v>2178000</v>
      </c>
      <c r="F17" s="3" t="inlineStr">
        <is>
          <t>Sổ chi tiết bán hàng KingBlue</t>
        </is>
      </c>
    </row>
    <row r="18">
      <c r="A18" s="2" t="n">
        <v>17</v>
      </c>
      <c r="B18" s="2" t="inlineStr">
        <is>
          <t>Bàn cắt gạch cao cấp CGS-2400</t>
        </is>
      </c>
      <c r="C18" s="3" t="inlineStr">
        <is>
          <t>Bàn cắt gạch cao cấp CGS-2400</t>
        </is>
      </c>
      <c r="D18" s="2" t="inlineStr">
        <is>
          <t>Cái</t>
        </is>
      </c>
      <c r="E18" s="9" t="n">
        <v>3960000</v>
      </c>
      <c r="F18" s="3" t="inlineStr">
        <is>
          <t>Sổ chi tiết bán hàng KingBlue</t>
        </is>
      </c>
    </row>
    <row r="19">
      <c r="A19" s="2" t="n">
        <v>18</v>
      </c>
      <c r="B19" s="2" t="inlineStr">
        <is>
          <t>Bút thử điện KIC140</t>
        </is>
      </c>
      <c r="C19" s="3" t="inlineStr">
        <is>
          <t>Bút thử điện KIC140</t>
        </is>
      </c>
      <c r="D19" s="2" t="inlineStr">
        <is>
          <t>Cái</t>
        </is>
      </c>
      <c r="E19" s="9" t="n">
        <v>20000</v>
      </c>
      <c r="F19" s="3" t="inlineStr">
        <is>
          <t>Sổ chi tiết bán hàng KingBlue</t>
        </is>
      </c>
    </row>
    <row r="20">
      <c r="A20" s="2" t="n">
        <v>19</v>
      </c>
      <c r="B20" s="2" t="inlineStr">
        <is>
          <t>Bút thử điện KID160</t>
        </is>
      </c>
      <c r="C20" s="3" t="inlineStr">
        <is>
          <t>Bút thử điện KID160</t>
        </is>
      </c>
      <c r="D20" s="2" t="inlineStr">
        <is>
          <t>Cái</t>
        </is>
      </c>
      <c r="E20" s="9" t="n">
        <v>61000</v>
      </c>
      <c r="F20" s="3" t="inlineStr">
        <is>
          <t>Sổ chi tiết bán hàng KingBlue</t>
        </is>
      </c>
    </row>
    <row r="21">
      <c r="A21" s="2" t="n">
        <v>20</v>
      </c>
      <c r="B21" s="2" t="inlineStr">
        <is>
          <t>Bút thử điện KIE154</t>
        </is>
      </c>
      <c r="C21" s="3" t="inlineStr">
        <is>
          <t>Bút thử điện KIE154</t>
        </is>
      </c>
      <c r="D21" s="2" t="inlineStr">
        <is>
          <t>Cái</t>
        </is>
      </c>
      <c r="E21" s="9" t="n">
        <v>81000</v>
      </c>
      <c r="F21" s="3" t="inlineStr">
        <is>
          <t>Sổ chi tiết bán hàng KingBlue</t>
        </is>
      </c>
    </row>
    <row r="22">
      <c r="A22" s="2" t="n">
        <v>21</v>
      </c>
      <c r="B22" s="2" t="inlineStr">
        <is>
          <t>Bút thử điện KIF160</t>
        </is>
      </c>
      <c r="C22" s="3" t="inlineStr">
        <is>
          <t>Bút thử điện KIF160</t>
        </is>
      </c>
      <c r="D22" s="2" t="inlineStr">
        <is>
          <t>Cái</t>
        </is>
      </c>
      <c r="E22" s="9" t="n">
        <v>157000</v>
      </c>
      <c r="F22" s="3" t="inlineStr">
        <is>
          <t>Sổ chi tiết bán hàng KingBlue</t>
        </is>
      </c>
    </row>
    <row r="23">
      <c r="A23" s="2" t="n">
        <v>22</v>
      </c>
      <c r="B23" s="2" t="inlineStr">
        <is>
          <t>Bộ Máy Bắn Vít 16V KB16VB2</t>
        </is>
      </c>
      <c r="C23" s="3" t="inlineStr">
        <is>
          <t>Bộ Máy Bắn Vít 16V KB16VB2</t>
        </is>
      </c>
      <c r="D23" s="2" t="inlineStr">
        <is>
          <t>Cái</t>
        </is>
      </c>
      <c r="E23" s="9" t="n">
        <v>1790000</v>
      </c>
      <c r="F23" s="3" t="inlineStr">
        <is>
          <t>Sổ chi tiết bán hàng KingBlue</t>
        </is>
      </c>
    </row>
    <row r="24">
      <c r="A24" s="2" t="n">
        <v>23</v>
      </c>
      <c r="B24" s="2" t="inlineStr">
        <is>
          <t>Bộ Máy Bắn Vít 20V KB20VC1</t>
        </is>
      </c>
      <c r="C24" s="3" t="inlineStr">
        <is>
          <t>Bộ Máy Bắn Vít 20V KB20VC1</t>
        </is>
      </c>
      <c r="D24" s="2" t="inlineStr">
        <is>
          <t>Cái</t>
        </is>
      </c>
      <c r="E24" s="9" t="n">
        <v>1860000</v>
      </c>
      <c r="F24" s="3" t="inlineStr">
        <is>
          <t>Sổ chi tiết bán hàng KingBlue</t>
        </is>
      </c>
    </row>
    <row r="25">
      <c r="A25" s="2" t="n">
        <v>24</v>
      </c>
      <c r="B25" s="2" t="inlineStr">
        <is>
          <t>Bộ Máy Bắn Vít 20V KB20VD1</t>
        </is>
      </c>
      <c r="C25" s="3" t="inlineStr">
        <is>
          <t>Bộ Máy Bắn Vít 20V KB20VD1</t>
        </is>
      </c>
      <c r="D25" s="2" t="inlineStr">
        <is>
          <t>Cái</t>
        </is>
      </c>
      <c r="E25" s="9" t="n">
        <v>2480000</v>
      </c>
      <c r="F25" s="3" t="inlineStr">
        <is>
          <t>Sổ chi tiết bán hàng KingBlue</t>
        </is>
      </c>
    </row>
    <row r="26">
      <c r="A26" s="2" t="n">
        <v>25</v>
      </c>
      <c r="B26" s="2" t="inlineStr">
        <is>
          <t>Bộ Máy Cưa Kiếm 20V KB20CK1</t>
        </is>
      </c>
      <c r="C26" s="3" t="inlineStr">
        <is>
          <t>Bộ Máy Cưa Kiếm 20V KB20CK1</t>
        </is>
      </c>
      <c r="D26" s="2" t="inlineStr">
        <is>
          <t>Cái</t>
        </is>
      </c>
      <c r="E26" s="9" t="n">
        <v>2790000</v>
      </c>
      <c r="F26" s="3" t="inlineStr">
        <is>
          <t>Sổ chi tiết bán hàng KingBlue</t>
        </is>
      </c>
    </row>
    <row r="27">
      <c r="A27" s="2" t="n">
        <v>26</v>
      </c>
      <c r="B27" s="2" t="inlineStr">
        <is>
          <t>Bộ Máy Khoan 3 Chức Năng 20V KB20QE1</t>
        </is>
      </c>
      <c r="C27" s="3" t="inlineStr">
        <is>
          <t>Bộ Máy Khoan 3 Chức Năng 20V KB20QE1</t>
        </is>
      </c>
      <c r="D27" s="2" t="inlineStr">
        <is>
          <t>Cái</t>
        </is>
      </c>
      <c r="E27" s="9" t="n">
        <v>2780000</v>
      </c>
      <c r="F27" s="3" t="inlineStr">
        <is>
          <t>Sổ chi tiết bán hàng KingBlue</t>
        </is>
      </c>
    </row>
    <row r="28">
      <c r="A28" s="2" t="n">
        <v>27</v>
      </c>
      <c r="B28" s="2" t="inlineStr">
        <is>
          <t>Bộ Máy Khoan Bê Tông 20V KB20QF1</t>
        </is>
      </c>
      <c r="C28" s="3" t="inlineStr">
        <is>
          <t>Bộ Máy Khoan Bê Tông 20V KB20QF1</t>
        </is>
      </c>
      <c r="D28" s="2" t="inlineStr">
        <is>
          <t>Cái</t>
        </is>
      </c>
      <c r="E28" s="9" t="n">
        <v>2800000</v>
      </c>
      <c r="F28" s="3" t="inlineStr">
        <is>
          <t>Sổ chi tiết bán hàng KingBlue</t>
        </is>
      </c>
    </row>
    <row r="29">
      <c r="A29" s="2" t="n">
        <v>28</v>
      </c>
      <c r="B29" s="2" t="inlineStr">
        <is>
          <t>Bộ Máy Khoan Pin 16V KB16QA2</t>
        </is>
      </c>
      <c r="C29" s="3" t="inlineStr">
        <is>
          <t>Bộ Máy Khoan Pin 16V KB16QA2</t>
        </is>
      </c>
      <c r="D29" s="2" t="inlineStr">
        <is>
          <t>Cái</t>
        </is>
      </c>
      <c r="E29" s="9" t="n">
        <v>1540000</v>
      </c>
      <c r="F29" s="3" t="inlineStr">
        <is>
          <t>Sổ chi tiết bán hàng KingBlue</t>
        </is>
      </c>
    </row>
    <row r="30">
      <c r="A30" s="2" t="n">
        <v>29</v>
      </c>
      <c r="B30" s="2" t="inlineStr">
        <is>
          <t>Bộ Máy Mài Góc 20V KB20MG1</t>
        </is>
      </c>
      <c r="C30" s="3" t="inlineStr">
        <is>
          <t>Bộ Máy Mài Góc 20V KB20MG1</t>
        </is>
      </c>
      <c r="D30" s="2" t="inlineStr">
        <is>
          <t>Cái</t>
        </is>
      </c>
      <c r="E30" s="9" t="n">
        <v>2100000</v>
      </c>
      <c r="F30" s="3" t="inlineStr">
        <is>
          <t>Sổ chi tiết bán hàng KingBlue</t>
        </is>
      </c>
    </row>
    <row r="31">
      <c r="A31" s="2" t="n">
        <v>30</v>
      </c>
      <c r="B31" s="2" t="inlineStr">
        <is>
          <t>Bộ Máy Siết Bulon 20V KB20S341</t>
        </is>
      </c>
      <c r="C31" s="3" t="inlineStr">
        <is>
          <t>Bộ Máy Siết Bulon 20V KB20S341</t>
        </is>
      </c>
      <c r="D31" s="2" t="inlineStr">
        <is>
          <t>Cái</t>
        </is>
      </c>
      <c r="E31" s="9" t="n">
        <v>4600000</v>
      </c>
      <c r="F31" s="3" t="inlineStr">
        <is>
          <t>Sổ chi tiết bán hàng KingBlue</t>
        </is>
      </c>
    </row>
    <row r="32">
      <c r="A32" s="2" t="n">
        <v>31</v>
      </c>
      <c r="B32" s="2" t="inlineStr">
        <is>
          <t>Bộ Máy Siết Bulon 20V KB20SC1</t>
        </is>
      </c>
      <c r="C32" s="3" t="inlineStr">
        <is>
          <t>Bộ Máy Siết Bulon 20V KB20SC1</t>
        </is>
      </c>
      <c r="D32" s="2" t="inlineStr">
        <is>
          <t>Cái</t>
        </is>
      </c>
      <c r="E32" s="9" t="n">
        <v>1840000</v>
      </c>
      <c r="F32" s="3" t="inlineStr">
        <is>
          <t>Sổ chi tiết bán hàng KingBlue</t>
        </is>
      </c>
    </row>
    <row r="33">
      <c r="A33" s="2" t="n">
        <v>32</v>
      </c>
      <c r="B33" s="2" t="inlineStr">
        <is>
          <t>Bộ Máy Siết Bulon 20V KB20SD1</t>
        </is>
      </c>
      <c r="C33" s="3" t="inlineStr">
        <is>
          <t>Bộ Máy Siết Bulon 20V KB20SD1</t>
        </is>
      </c>
      <c r="D33" s="2" t="inlineStr">
        <is>
          <t>Cái</t>
        </is>
      </c>
      <c r="E33" s="9" t="n">
        <v>2460000</v>
      </c>
      <c r="F33" s="3" t="inlineStr">
        <is>
          <t>Sổ chi tiết bán hàng KingBlue</t>
        </is>
      </c>
    </row>
    <row r="34">
      <c r="A34" s="2" t="n">
        <v>33</v>
      </c>
      <c r="B34" s="2" t="inlineStr">
        <is>
          <t>Bộ Máy Siết Bulon 20V KB20SE1</t>
        </is>
      </c>
      <c r="C34" s="3" t="inlineStr">
        <is>
          <t>Bộ Máy Siết Bulon 20V KB20SE1</t>
        </is>
      </c>
      <c r="D34" s="2" t="inlineStr">
        <is>
          <t>Cái</t>
        </is>
      </c>
      <c r="E34" s="9" t="n">
        <v>2810000</v>
      </c>
      <c r="F34" s="3" t="inlineStr">
        <is>
          <t>Sổ chi tiết bán hàng KingBlue</t>
        </is>
      </c>
    </row>
    <row r="35">
      <c r="A35" s="2" t="n">
        <v>34</v>
      </c>
      <c r="B35" s="2" t="inlineStr">
        <is>
          <t>Bộ Máy Vặn Vít Cấp Trượt 16V KB16VA2</t>
        </is>
      </c>
      <c r="C35" s="3" t="inlineStr">
        <is>
          <t>Bộ Máy Vặn Vít Cấp Trượt 16V KB16VA2</t>
        </is>
      </c>
      <c r="D35" s="2" t="inlineStr">
        <is>
          <t>Cái</t>
        </is>
      </c>
      <c r="E35" s="9" t="n">
        <v>1590000</v>
      </c>
      <c r="F35" s="3" t="inlineStr">
        <is>
          <t>Sổ chi tiết bán hàng KingBlue</t>
        </is>
      </c>
    </row>
    <row r="36">
      <c r="A36" s="2" t="n">
        <v>35</v>
      </c>
      <c r="B36" s="2" t="inlineStr">
        <is>
          <t>Bộ bơm lốp, kích bình đa năng K10000</t>
        </is>
      </c>
      <c r="C36" s="3" t="inlineStr">
        <is>
          <t>Bộ bơm lốp, kích bình đa năng K10000</t>
        </is>
      </c>
      <c r="D36" s="2" t="inlineStr">
        <is>
          <t>Cái</t>
        </is>
      </c>
      <c r="E36" s="9" t="n">
        <v>1580000</v>
      </c>
      <c r="F36" s="3" t="inlineStr">
        <is>
          <t>Sổ chi tiết bán hàng KingBlue</t>
        </is>
      </c>
    </row>
    <row r="37">
      <c r="A37" s="2" t="n">
        <v>36</v>
      </c>
      <c r="B37" s="2" t="inlineStr">
        <is>
          <t>Bộ chuyển đổi chân pin KingBlue</t>
        </is>
      </c>
      <c r="C37" s="3" t="inlineStr">
        <is>
          <t>Bộ chuyển đổi chân pin KingBlue</t>
        </is>
      </c>
      <c r="D37" s="2" t="inlineStr">
        <is>
          <t>Cái</t>
        </is>
      </c>
      <c r="E37" s="9" t="n">
        <v>220000</v>
      </c>
      <c r="F37" s="3" t="inlineStr">
        <is>
          <t>Sổ chi tiết bán hàng KingBlue</t>
        </is>
      </c>
    </row>
    <row r="38">
      <c r="A38" s="2" t="n">
        <v>37</v>
      </c>
      <c r="B38" s="2" t="inlineStr">
        <is>
          <t>Bộ cờ lê H03LT1722 gồm đầu 17mm và 22mm</t>
        </is>
      </c>
      <c r="C38" s="3" t="inlineStr">
        <is>
          <t>Bộ cờ lê H03LT1722 gồm đầu 17mm và 22mm</t>
        </is>
      </c>
      <c r="D38" s="2" t="inlineStr">
        <is>
          <t>Cái</t>
        </is>
      </c>
      <c r="E38" s="9" t="n">
        <v>2060000</v>
      </c>
      <c r="F38" s="3" t="inlineStr">
        <is>
          <t>Sổ chi tiết bán hàng KingBlue</t>
        </is>
      </c>
    </row>
    <row r="39">
      <c r="A39" s="2" t="n">
        <v>38</v>
      </c>
      <c r="B39" s="2" t="inlineStr">
        <is>
          <t>Bộ cờ lê KH1-B10</t>
        </is>
      </c>
      <c r="C39" s="3" t="inlineStr">
        <is>
          <t>Bộ cờ lê KH1-B10</t>
        </is>
      </c>
      <c r="D39" s="2" t="inlineStr">
        <is>
          <t>Cái</t>
        </is>
      </c>
      <c r="E39" s="9" t="n">
        <v>435000</v>
      </c>
      <c r="F39" s="3" t="inlineStr">
        <is>
          <t>Sổ chi tiết bán hàng KingBlue</t>
        </is>
      </c>
    </row>
    <row r="40">
      <c r="A40" s="2" t="n">
        <v>39</v>
      </c>
      <c r="B40" s="2" t="inlineStr">
        <is>
          <t>Bộ cờ lê vòng miệng KH2-B9</t>
        </is>
      </c>
      <c r="C40" s="3" t="inlineStr">
        <is>
          <t>Bộ cờ lê vòng miệng KH2-B9</t>
        </is>
      </c>
      <c r="D40" s="2" t="inlineStr">
        <is>
          <t>Cái</t>
        </is>
      </c>
      <c r="E40" s="9" t="n">
        <v>686000</v>
      </c>
      <c r="F40" s="3" t="inlineStr">
        <is>
          <t>Sổ chi tiết bán hàng KingBlue</t>
        </is>
      </c>
    </row>
    <row r="41">
      <c r="A41" s="2" t="n">
        <v>40</v>
      </c>
      <c r="B41" s="2" t="inlineStr">
        <is>
          <t>Bộ cờ lê vòng miệng tự động KH3-B7</t>
        </is>
      </c>
      <c r="C41" s="3" t="inlineStr">
        <is>
          <t>Bộ cờ lê vòng miệng tự động KH3-B7</t>
        </is>
      </c>
      <c r="D41" s="2" t="inlineStr">
        <is>
          <t>Cái</t>
        </is>
      </c>
      <c r="E41" s="9" t="n">
        <v>616000</v>
      </c>
      <c r="F41" s="3" t="inlineStr">
        <is>
          <t>Sổ chi tiết bán hàng KingBlue</t>
        </is>
      </c>
    </row>
    <row r="42">
      <c r="A42" s="2" t="n">
        <v>41</v>
      </c>
      <c r="B42" s="2" t="inlineStr">
        <is>
          <t>Bộ loe ống đồng 2 chức năng KingBlue KB-R1323</t>
        </is>
      </c>
      <c r="C42" s="3" t="inlineStr">
        <is>
          <t>Bộ loe ống đồng 2 chức năng KingBlue KB-R1323</t>
        </is>
      </c>
      <c r="D42" s="2" t="inlineStr">
        <is>
          <t>Cái</t>
        </is>
      </c>
      <c r="E42" s="9" t="n">
        <v>1780000</v>
      </c>
      <c r="F42" s="3" t="inlineStr">
        <is>
          <t>Sổ chi tiết bán hàng KingBlue</t>
        </is>
      </c>
    </row>
    <row r="43">
      <c r="A43" s="2" t="n">
        <v>42</v>
      </c>
      <c r="B43" s="2" t="inlineStr">
        <is>
          <t>Bộ loe ống đồng KingBlue KB-C1323</t>
        </is>
      </c>
      <c r="C43" s="3" t="inlineStr">
        <is>
          <t>Bộ loe ống đồng KingBlue KB-C1323</t>
        </is>
      </c>
      <c r="D43" s="2" t="inlineStr">
        <is>
          <t>Cái</t>
        </is>
      </c>
      <c r="E43" s="9" t="n">
        <v>1200000</v>
      </c>
      <c r="F43" s="3" t="inlineStr">
        <is>
          <t>Sổ chi tiết bán hàng KingBlue</t>
        </is>
      </c>
    </row>
    <row r="44">
      <c r="A44" s="2" t="n">
        <v>43</v>
      </c>
      <c r="B44" s="2" t="inlineStr">
        <is>
          <t>Bộ lấy ốc gãy KingBlue KBYT6</t>
        </is>
      </c>
      <c r="C44" s="3" t="inlineStr">
        <is>
          <t>Bộ lấy ốc gãy KingBlue KBYT6</t>
        </is>
      </c>
      <c r="D44" s="2" t="inlineStr">
        <is>
          <t>Cái</t>
        </is>
      </c>
      <c r="E44" s="9" t="n">
        <v>86000</v>
      </c>
      <c r="F44" s="3" t="inlineStr">
        <is>
          <t>Sổ chi tiết bán hàng KingBlue</t>
        </is>
      </c>
    </row>
    <row r="45">
      <c r="A45" s="2" t="n">
        <v>44</v>
      </c>
      <c r="B45" s="2" t="inlineStr">
        <is>
          <t>Bộ lục giác KL018</t>
        </is>
      </c>
      <c r="C45" s="3" t="inlineStr">
        <is>
          <t>Bộ lục giác KL018</t>
        </is>
      </c>
      <c r="D45" s="2" t="inlineStr">
        <is>
          <t>Cái</t>
        </is>
      </c>
      <c r="E45" s="9" t="n">
        <v>433000</v>
      </c>
      <c r="F45" s="3" t="inlineStr">
        <is>
          <t>Sổ chi tiết bán hàng KingBlue</t>
        </is>
      </c>
    </row>
    <row r="46">
      <c r="A46" s="2" t="n">
        <v>45</v>
      </c>
      <c r="B46" s="2" t="inlineStr">
        <is>
          <t>Bộ lục giác KL2-09 ( đầu hoa thị)</t>
        </is>
      </c>
      <c r="C46" s="3" t="inlineStr">
        <is>
          <t>Bộ lục giác KL2-09 ( đầu hoa thị)</t>
        </is>
      </c>
      <c r="D46" s="2" t="inlineStr">
        <is>
          <t>Cái</t>
        </is>
      </c>
      <c r="E46" s="9" t="n">
        <v>158000</v>
      </c>
      <c r="F46" s="3" t="inlineStr">
        <is>
          <t>Sổ chi tiết bán hàng KingBlue</t>
        </is>
      </c>
    </row>
    <row r="47">
      <c r="A47" s="2" t="n">
        <v>46</v>
      </c>
      <c r="B47" s="2" t="inlineStr">
        <is>
          <t>Bộ lục giác KL4-09 ( đầu bi)</t>
        </is>
      </c>
      <c r="C47" s="3" t="inlineStr">
        <is>
          <t>Bộ lục giác KL4-09 ( đầu bi)</t>
        </is>
      </c>
      <c r="D47" s="2" t="inlineStr">
        <is>
          <t>Cái</t>
        </is>
      </c>
      <c r="E47" s="9" t="n">
        <v>120000</v>
      </c>
      <c r="F47" s="3" t="inlineStr">
        <is>
          <t>Sổ chi tiết bán hàng KingBlue</t>
        </is>
      </c>
    </row>
    <row r="48">
      <c r="A48" s="2" t="n">
        <v>47</v>
      </c>
      <c r="B48" s="2" t="inlineStr">
        <is>
          <t>Bộ lục giác KL5-09 ( đầu bi)</t>
        </is>
      </c>
      <c r="C48" s="3" t="inlineStr">
        <is>
          <t>Bộ lục giác KL5-09 ( đầu bi)</t>
        </is>
      </c>
      <c r="D48" s="2" t="inlineStr">
        <is>
          <t>Cái</t>
        </is>
      </c>
      <c r="E48" s="9" t="n">
        <v>132000</v>
      </c>
      <c r="F48" s="3" t="inlineStr">
        <is>
          <t>Sổ chi tiết bán hàng KingBlue</t>
        </is>
      </c>
    </row>
    <row r="49">
      <c r="A49" s="2" t="n">
        <v>48</v>
      </c>
      <c r="B49" s="2" t="inlineStr">
        <is>
          <t>Bộ lục giác KL7-09 ( đầu bi)</t>
        </is>
      </c>
      <c r="C49" s="3" t="inlineStr">
        <is>
          <t>Bộ lục giác KL7-09 ( đầu bi)</t>
        </is>
      </c>
      <c r="D49" s="2" t="inlineStr">
        <is>
          <t>Cái</t>
        </is>
      </c>
      <c r="E49" s="9" t="n">
        <v>270000</v>
      </c>
      <c r="F49" s="3" t="inlineStr">
        <is>
          <t>Sổ chi tiết bán hàng KingBlue</t>
        </is>
      </c>
    </row>
    <row r="50">
      <c r="A50" s="2" t="n">
        <v>49</v>
      </c>
      <c r="B50" s="2" t="inlineStr">
        <is>
          <t>Bộ lục giác KL9-09 (đầu hoa thị)</t>
        </is>
      </c>
      <c r="C50" s="3" t="inlineStr">
        <is>
          <t>Bộ lục giác KL9-09 (đầu hoa thị)</t>
        </is>
      </c>
      <c r="D50" s="2" t="inlineStr">
        <is>
          <t>Cái</t>
        </is>
      </c>
      <c r="E50" s="9" t="n">
        <v>275000</v>
      </c>
      <c r="F50" s="3" t="inlineStr">
        <is>
          <t>Sổ chi tiết bán hàng KingBlue</t>
        </is>
      </c>
    </row>
    <row r="51">
      <c r="A51" s="2" t="n">
        <v>50</v>
      </c>
      <c r="B51" s="2" t="inlineStr">
        <is>
          <t>Bộ lục giác gập KL-008</t>
        </is>
      </c>
      <c r="C51" s="3" t="inlineStr">
        <is>
          <t>Bộ lục giác gập KL-008</t>
        </is>
      </c>
      <c r="D51" s="2" t="inlineStr">
        <is>
          <t>Cái</t>
        </is>
      </c>
      <c r="E51" s="9" t="n">
        <v>110000</v>
      </c>
      <c r="F51" s="3" t="inlineStr">
        <is>
          <t>Sổ chi tiết bán hàng KingBlue</t>
        </is>
      </c>
    </row>
    <row r="52">
      <c r="A52" s="2" t="n">
        <v>51</v>
      </c>
      <c r="B52" s="2" t="inlineStr">
        <is>
          <t>Bộ máy Khoan Pin 20V KB20QB2</t>
        </is>
      </c>
      <c r="C52" s="3" t="inlineStr">
        <is>
          <t>Bộ máy Khoan Pin 20V KB20QB2</t>
        </is>
      </c>
      <c r="D52" s="2" t="inlineStr">
        <is>
          <t>Cái</t>
        </is>
      </c>
      <c r="E52" s="9" t="n">
        <v>1850000</v>
      </c>
      <c r="F52" s="3" t="inlineStr">
        <is>
          <t>Sổ chi tiết bán hàng KingBlue</t>
        </is>
      </c>
    </row>
    <row r="53">
      <c r="A53" s="2" t="n">
        <v>52</v>
      </c>
      <c r="B53" s="2" t="inlineStr">
        <is>
          <t>Bộ mũi khoan King Blue KHF015</t>
        </is>
      </c>
      <c r="C53" s="3" t="inlineStr">
        <is>
          <t>Bộ mũi khoan King Blue KHF015</t>
        </is>
      </c>
      <c r="D53" s="2" t="inlineStr">
        <is>
          <t>Cái</t>
        </is>
      </c>
      <c r="E53" s="9" t="n">
        <v>320000</v>
      </c>
      <c r="F53" s="3" t="inlineStr">
        <is>
          <t>Sổ chi tiết bán hàng KingBlue</t>
        </is>
      </c>
    </row>
    <row r="54">
      <c r="A54" s="2" t="n">
        <v>53</v>
      </c>
      <c r="B54" s="2" t="inlineStr">
        <is>
          <t>Bộ mũi khoan King Blue KLJ015</t>
        </is>
      </c>
      <c r="C54" s="3" t="inlineStr">
        <is>
          <t>Bộ mũi khoan King Blue KLJ015</t>
        </is>
      </c>
      <c r="D54" s="2" t="inlineStr">
        <is>
          <t>Cái</t>
        </is>
      </c>
      <c r="E54" s="9" t="n">
        <v>350000</v>
      </c>
      <c r="F54" s="3" t="inlineStr">
        <is>
          <t>Sổ chi tiết bán hàng KingBlue</t>
        </is>
      </c>
    </row>
    <row r="55">
      <c r="A55" s="2" t="n">
        <v>54</v>
      </c>
      <c r="B55" s="2" t="inlineStr">
        <is>
          <t>Bộ mũi khoan inox Kingblue KBY2-B10</t>
        </is>
      </c>
      <c r="C55" s="3" t="inlineStr">
        <is>
          <t>Bộ mũi khoan inox Kingblue KBY2-B10</t>
        </is>
      </c>
      <c r="D55" s="2" t="inlineStr">
        <is>
          <t>Cái</t>
        </is>
      </c>
      <c r="E55" s="9" t="n">
        <v>329000</v>
      </c>
      <c r="F55" s="3" t="inlineStr">
        <is>
          <t>Sổ chi tiết bán hàng KingBlue</t>
        </is>
      </c>
    </row>
    <row r="56">
      <c r="A56" s="2" t="n">
        <v>55</v>
      </c>
      <c r="B56" s="2" t="inlineStr">
        <is>
          <t>Bộ mũi khoan thép Kingblue KBY1-B10</t>
        </is>
      </c>
      <c r="C56" s="3" t="inlineStr">
        <is>
          <t>Bộ mũi khoan thép Kingblue KBY1-B10</t>
        </is>
      </c>
      <c r="D56" s="2" t="inlineStr">
        <is>
          <t>Cái</t>
        </is>
      </c>
      <c r="E56" s="9" t="n">
        <v>255000</v>
      </c>
      <c r="F56" s="3" t="inlineStr">
        <is>
          <t>Sổ chi tiết bán hàng KingBlue</t>
        </is>
      </c>
    </row>
    <row r="57">
      <c r="A57" s="2" t="n">
        <v>56</v>
      </c>
      <c r="B57" s="2" t="inlineStr">
        <is>
          <t>Bộ mũi khoan thép Kingblue KBY1-B13</t>
        </is>
      </c>
      <c r="C57" s="3" t="inlineStr">
        <is>
          <t>Bộ mũi khoan thép Kingblue KBY1-B13</t>
        </is>
      </c>
      <c r="D57" s="2" t="inlineStr">
        <is>
          <t>Cái</t>
        </is>
      </c>
      <c r="E57" s="9" t="n">
        <v>238000</v>
      </c>
      <c r="F57" s="3" t="inlineStr">
        <is>
          <t>Sổ chi tiết bán hàng KingBlue</t>
        </is>
      </c>
    </row>
    <row r="58">
      <c r="A58" s="2" t="n">
        <v>57</v>
      </c>
      <c r="B58" s="2" t="inlineStr">
        <is>
          <t>Bộ nhông hộp số máy khoan 130Nm</t>
        </is>
      </c>
      <c r="C58" s="3" t="inlineStr">
        <is>
          <t>Bộ nhông hộp số máy khoan 130Nm</t>
        </is>
      </c>
      <c r="D58" s="2" t="inlineStr">
        <is>
          <t>Cái</t>
        </is>
      </c>
      <c r="E58" s="9" t="n">
        <v>560000</v>
      </c>
      <c r="F58" s="3" t="inlineStr">
        <is>
          <t>Sổ chi tiết bán hàng KingBlue</t>
        </is>
      </c>
    </row>
    <row r="59">
      <c r="A59" s="2" t="n">
        <v>58</v>
      </c>
      <c r="B59" s="2" t="inlineStr">
        <is>
          <t>Bộ nhông hộp số máy khoan 165Nm</t>
        </is>
      </c>
      <c r="C59" s="3" t="inlineStr">
        <is>
          <t>Bộ nhông hộp số máy khoan 165Nm</t>
        </is>
      </c>
      <c r="D59" s="2" t="inlineStr">
        <is>
          <t>Cái</t>
        </is>
      </c>
      <c r="E59" s="9" t="n">
        <v>650000</v>
      </c>
      <c r="F59" s="3" t="inlineStr">
        <is>
          <t>Sổ chi tiết bán hàng KingBlue</t>
        </is>
      </c>
    </row>
    <row r="60">
      <c r="A60" s="2" t="n">
        <v>59</v>
      </c>
      <c r="B60" s="2" t="inlineStr">
        <is>
          <t>Bộ tua vít điện KingBlue KB-E5701</t>
        </is>
      </c>
      <c r="C60" s="3" t="inlineStr">
        <is>
          <t>Bộ tua vít điện KingBlue KB-E5701</t>
        </is>
      </c>
      <c r="D60" s="2" t="inlineStr">
        <is>
          <t>Cái</t>
        </is>
      </c>
      <c r="E60" s="9" t="n">
        <v>1056000</v>
      </c>
      <c r="F60" s="3" t="inlineStr">
        <is>
          <t>Sổ chi tiết bán hàng KingBlue</t>
        </is>
      </c>
    </row>
    <row r="61">
      <c r="A61" s="2" t="n">
        <v>60</v>
      </c>
      <c r="B61" s="2" t="inlineStr">
        <is>
          <t>Bộ tuvit đóng KV10-13</t>
        </is>
      </c>
      <c r="C61" s="3" t="inlineStr">
        <is>
          <t>Bộ tuvit đóng KV10-13</t>
        </is>
      </c>
      <c r="D61" s="2" t="inlineStr">
        <is>
          <t>Cái</t>
        </is>
      </c>
      <c r="E61" s="9" t="n">
        <v>275000</v>
      </c>
      <c r="F61" s="3" t="inlineStr">
        <is>
          <t>Sổ chi tiết bán hàng KingBlue</t>
        </is>
      </c>
    </row>
    <row r="62">
      <c r="A62" s="2" t="n">
        <v>61</v>
      </c>
      <c r="B62" s="2" t="inlineStr">
        <is>
          <t>Bộ tuýp cần  tự động 21 chi tiết KLG-21</t>
        </is>
      </c>
      <c r="C62" s="3" t="inlineStr">
        <is>
          <t>Bộ tuýp cần  tự động 21 chi tiết KLG-21</t>
        </is>
      </c>
      <c r="D62" s="2" t="inlineStr">
        <is>
          <t>Cái</t>
        </is>
      </c>
      <c r="E62" s="9" t="n">
        <v>888000</v>
      </c>
      <c r="F62" s="3" t="inlineStr">
        <is>
          <t>Sổ chi tiết bán hàng KingBlue</t>
        </is>
      </c>
    </row>
    <row r="63">
      <c r="A63" s="2" t="n">
        <v>62</v>
      </c>
      <c r="B63" s="2" t="inlineStr">
        <is>
          <t>Bộ tuýp cần tự động 12 chi tiết KLG-12S</t>
        </is>
      </c>
      <c r="C63" s="3" t="inlineStr">
        <is>
          <t>Bộ tuýp cần tự động 12 chi tiết KLG-12S</t>
        </is>
      </c>
      <c r="D63" s="2" t="inlineStr">
        <is>
          <t>Cái</t>
        </is>
      </c>
      <c r="E63" s="9" t="n">
        <v>304000</v>
      </c>
      <c r="F63" s="3" t="inlineStr">
        <is>
          <t>Sổ chi tiết bán hàng KingBlue</t>
        </is>
      </c>
    </row>
    <row r="64">
      <c r="A64" s="2" t="n">
        <v>63</v>
      </c>
      <c r="B64" s="2" t="inlineStr">
        <is>
          <t>Bộ tuýp cần tự động 12 chi tiết KLG12</t>
        </is>
      </c>
      <c r="C64" s="3" t="inlineStr">
        <is>
          <t>Bộ tuýp cần tự động 12 chi tiết KLG12</t>
        </is>
      </c>
      <c r="D64" s="2" t="inlineStr">
        <is>
          <t>Cái</t>
        </is>
      </c>
      <c r="E64" s="9" t="n">
        <v>508000</v>
      </c>
      <c r="F64" s="3" t="inlineStr">
        <is>
          <t>Sổ chi tiết bán hàng KingBlue</t>
        </is>
      </c>
    </row>
    <row r="65">
      <c r="A65" s="2" t="n">
        <v>64</v>
      </c>
      <c r="B65" s="2" t="inlineStr">
        <is>
          <t>Bộ tuýp cần tự động 16 chi tiết KLG-16</t>
        </is>
      </c>
      <c r="C65" s="3" t="inlineStr">
        <is>
          <t>Bộ tuýp cần tự động 16 chi tiết KLG-16</t>
        </is>
      </c>
      <c r="D65" s="2" t="inlineStr">
        <is>
          <t>Cái</t>
        </is>
      </c>
      <c r="E65" s="9" t="n">
        <v>720000</v>
      </c>
      <c r="F65" s="3" t="inlineStr">
        <is>
          <t>Sổ chi tiết bán hàng KingBlue</t>
        </is>
      </c>
    </row>
    <row r="66">
      <c r="A66" s="2" t="n">
        <v>65</v>
      </c>
      <c r="B66" s="2" t="inlineStr">
        <is>
          <t>Bộ tuýp cần tự động 24 chi tiết KLG-24</t>
        </is>
      </c>
      <c r="C66" s="3" t="inlineStr">
        <is>
          <t>Bộ tuýp cần tự động 24 chi tiết KLG-24</t>
        </is>
      </c>
      <c r="D66" s="2" t="inlineStr">
        <is>
          <t>Cái</t>
        </is>
      </c>
      <c r="E66" s="9" t="n">
        <v>1045000</v>
      </c>
      <c r="F66" s="3" t="inlineStr">
        <is>
          <t>Sổ chi tiết bán hàng KingBlue</t>
        </is>
      </c>
    </row>
    <row r="67">
      <c r="A67" s="2" t="n">
        <v>66</v>
      </c>
      <c r="B67" s="2" t="inlineStr">
        <is>
          <t>Bộ tuốc nơ vít ĐN cao cấp 113 chi tiết KV8-113</t>
        </is>
      </c>
      <c r="C67" s="3" t="inlineStr">
        <is>
          <t>Bộ tuốc nơ vít ĐN cao cấp 113 chi tiết KV8-113</t>
        </is>
      </c>
      <c r="D67" s="2" t="inlineStr">
        <is>
          <t>Cái</t>
        </is>
      </c>
      <c r="E67" s="9" t="n">
        <v>465000</v>
      </c>
      <c r="F67" s="3" t="inlineStr">
        <is>
          <t>Sổ chi tiết bán hàng KingBlue</t>
        </is>
      </c>
    </row>
    <row r="68">
      <c r="A68" s="2" t="n">
        <v>67</v>
      </c>
      <c r="B68" s="2" t="inlineStr">
        <is>
          <t>Bộ tuốc nơ vít đa năng KV7-036</t>
        </is>
      </c>
      <c r="C68" s="3" t="inlineStr">
        <is>
          <t>Bộ tuốc nơ vít đa năng KV7-036</t>
        </is>
      </c>
      <c r="D68" s="2" t="inlineStr">
        <is>
          <t>Cái</t>
        </is>
      </c>
      <c r="E68" s="9" t="n">
        <v>200000</v>
      </c>
      <c r="F68" s="3" t="inlineStr">
        <is>
          <t>Sổ chi tiết bán hàng KingBlue</t>
        </is>
      </c>
    </row>
    <row r="69">
      <c r="A69" s="2" t="n">
        <v>68</v>
      </c>
      <c r="B69" s="2" t="inlineStr">
        <is>
          <t>Bộ tuốc nơ vít điện tử KV9 - 11AT</t>
        </is>
      </c>
      <c r="C69" s="3" t="inlineStr">
        <is>
          <t>Bộ tuốc nơ vít điện tử KV9 - 11AT</t>
        </is>
      </c>
      <c r="D69" s="2" t="inlineStr">
        <is>
          <t>Cái</t>
        </is>
      </c>
      <c r="E69" s="9" t="n">
        <v>343000</v>
      </c>
      <c r="F69" s="3" t="inlineStr">
        <is>
          <t>Sổ chi tiết bán hàng KingBlue</t>
        </is>
      </c>
    </row>
    <row r="70">
      <c r="A70" s="2" t="n">
        <v>69</v>
      </c>
      <c r="B70" s="2" t="inlineStr">
        <is>
          <t>Bộ đầu hoa thị T9100E</t>
        </is>
      </c>
      <c r="C70" s="3" t="inlineStr">
        <is>
          <t>Bộ đầu hoa thị T9100E</t>
        </is>
      </c>
      <c r="D70" s="2" t="inlineStr">
        <is>
          <t>Cái</t>
        </is>
      </c>
      <c r="E70" s="9" t="n">
        <v>116000</v>
      </c>
      <c r="F70" s="3" t="inlineStr">
        <is>
          <t>Sổ chi tiết bán hàng KingBlue</t>
        </is>
      </c>
    </row>
    <row r="71">
      <c r="A71" s="2" t="n">
        <v>70</v>
      </c>
      <c r="B71" s="2" t="inlineStr">
        <is>
          <t>Bộ đầu lục giác L8100E</t>
        </is>
      </c>
      <c r="C71" s="3" t="inlineStr">
        <is>
          <t>Bộ đầu lục giác L8100E</t>
        </is>
      </c>
      <c r="D71" s="2" t="inlineStr">
        <is>
          <t>Cái</t>
        </is>
      </c>
      <c r="E71" s="9" t="n">
        <v>116000</v>
      </c>
      <c r="F71" s="3" t="inlineStr">
        <is>
          <t>Sổ chi tiết bán hàng KingBlue</t>
        </is>
      </c>
    </row>
    <row r="72">
      <c r="A72" s="2" t="n">
        <v>71</v>
      </c>
      <c r="B72" s="2" t="inlineStr">
        <is>
          <t>C2-400R</t>
        </is>
      </c>
      <c r="C72" s="3" t="inlineStr">
        <is>
          <t>C2-400R</t>
        </is>
      </c>
      <c r="D72" s="2" t="inlineStr">
        <is>
          <t>Cái</t>
        </is>
      </c>
      <c r="E72" s="9" t="n">
        <v>1546000</v>
      </c>
      <c r="F72" s="3" t="inlineStr">
        <is>
          <t>Sổ chi tiết bán hàng KingBlue</t>
        </is>
      </c>
    </row>
    <row r="73">
      <c r="A73" s="2" t="n">
        <v>72</v>
      </c>
      <c r="B73" s="2" t="inlineStr">
        <is>
          <t>C3-120R</t>
        </is>
      </c>
      <c r="C73" s="3" t="inlineStr">
        <is>
          <t>C3-120R</t>
        </is>
      </c>
      <c r="D73" s="2" t="inlineStr">
        <is>
          <t>Cái</t>
        </is>
      </c>
      <c r="E73" s="9" t="n">
        <v>94000</v>
      </c>
      <c r="F73" s="3" t="inlineStr">
        <is>
          <t>Sổ chi tiết bán hàng KingBlue</t>
        </is>
      </c>
    </row>
    <row r="74">
      <c r="A74" s="2" t="n">
        <v>73</v>
      </c>
      <c r="B74" s="2" t="inlineStr">
        <is>
          <t>C3-150R</t>
        </is>
      </c>
      <c r="C74" s="3" t="inlineStr">
        <is>
          <t>C3-150R</t>
        </is>
      </c>
      <c r="D74" s="2" t="inlineStr">
        <is>
          <t>Cái</t>
        </is>
      </c>
      <c r="E74" s="9" t="n">
        <v>120000</v>
      </c>
      <c r="F74" s="3" t="inlineStr">
        <is>
          <t>Sổ chi tiết bán hàng KingBlue</t>
        </is>
      </c>
    </row>
    <row r="75">
      <c r="A75" s="2" t="n">
        <v>74</v>
      </c>
      <c r="B75" s="2" t="inlineStr">
        <is>
          <t>CB_2KBL2 3.2*90/438</t>
        </is>
      </c>
      <c r="C75" s="3" t="inlineStr">
        <is>
          <t>CB_2KBL2 3.2*90/438</t>
        </is>
      </c>
      <c r="D75" s="2" t="inlineStr">
        <is>
          <t>Cái</t>
        </is>
      </c>
      <c r="E75" s="9" t="n">
        <v>152000</v>
      </c>
      <c r="F75" s="3" t="inlineStr">
        <is>
          <t>Sổ chi tiết bán hàng KingBlue</t>
        </is>
      </c>
    </row>
    <row r="76">
      <c r="A76" s="2" t="n">
        <v>75</v>
      </c>
      <c r="B76" s="2" t="inlineStr">
        <is>
          <t>CB_2KBL2 3.5/438</t>
        </is>
      </c>
      <c r="C76" s="3" t="inlineStr">
        <is>
          <t>CB_2KBL2 3.5/438</t>
        </is>
      </c>
      <c r="D76" s="2" t="inlineStr">
        <is>
          <t>Cái</t>
        </is>
      </c>
      <c r="E76" s="9" t="n">
        <v>156000</v>
      </c>
      <c r="F76" s="3" t="inlineStr">
        <is>
          <t>Sổ chi tiết bán hàng KingBlue</t>
        </is>
      </c>
    </row>
    <row r="77">
      <c r="A77" s="2" t="n">
        <v>76</v>
      </c>
      <c r="B77" s="2" t="inlineStr">
        <is>
          <t>CB_2KBL2 4.2/545</t>
        </is>
      </c>
      <c r="C77" s="3" t="inlineStr">
        <is>
          <t>CB_2KBL2 4.2/545</t>
        </is>
      </c>
      <c r="D77" s="2" t="inlineStr">
        <is>
          <t>Cái</t>
        </is>
      </c>
      <c r="E77" s="9" t="n">
        <v>152000</v>
      </c>
      <c r="F77" s="3" t="inlineStr">
        <is>
          <t>Sổ chi tiết bán hàng KingBlue</t>
        </is>
      </c>
    </row>
    <row r="78">
      <c r="A78" s="2" t="n">
        <v>77</v>
      </c>
      <c r="B78" s="2" t="inlineStr">
        <is>
          <t>CB_2KBLJ3.0/438</t>
        </is>
      </c>
      <c r="C78" s="3" t="inlineStr">
        <is>
          <t>CB_2KBLJ3.0/438</t>
        </is>
      </c>
      <c r="D78" s="2" t="inlineStr">
        <is>
          <t>Cái</t>
        </is>
      </c>
      <c r="E78" s="9" t="n">
        <v>156000</v>
      </c>
      <c r="F78" s="3" t="inlineStr">
        <is>
          <t>Sổ chi tiết bán hàng KingBlue</t>
        </is>
      </c>
    </row>
    <row r="79">
      <c r="A79" s="2" t="n">
        <v>78</v>
      </c>
      <c r="B79" s="2" t="inlineStr">
        <is>
          <t>CB_2KBLJ3.2/438</t>
        </is>
      </c>
      <c r="C79" s="3" t="inlineStr">
        <is>
          <t>CB_2KBLJ3.2/438</t>
        </is>
      </c>
      <c r="D79" s="2" t="inlineStr">
        <is>
          <t>Cái</t>
        </is>
      </c>
      <c r="E79" s="9" t="n">
        <v>156000</v>
      </c>
      <c r="F79" s="3" t="inlineStr">
        <is>
          <t>Sổ chi tiết bán hàng KingBlue</t>
        </is>
      </c>
    </row>
    <row r="80">
      <c r="A80" s="2" t="n">
        <v>79</v>
      </c>
      <c r="B80" s="2" t="inlineStr">
        <is>
          <t>CB_2KBLJ4.5/545</t>
        </is>
      </c>
      <c r="C80" s="3" t="inlineStr">
        <is>
          <t>CB_2KBLJ4.5/545</t>
        </is>
      </c>
      <c r="D80" s="2" t="inlineStr">
        <is>
          <t>Cái</t>
        </is>
      </c>
      <c r="E80" s="9" t="n">
        <v>156000</v>
      </c>
      <c r="F80" s="3" t="inlineStr">
        <is>
          <t>Sổ chi tiết bán hàng KingBlue</t>
        </is>
      </c>
    </row>
    <row r="81">
      <c r="A81" s="2" t="n">
        <v>80</v>
      </c>
      <c r="B81" s="2" t="inlineStr">
        <is>
          <t>CB_3KBL2 3.2*90/438</t>
        </is>
      </c>
      <c r="C81" s="3" t="inlineStr">
        <is>
          <t>CB_3KBL2 3.2*90/438</t>
        </is>
      </c>
      <c r="D81" s="2" t="inlineStr">
        <is>
          <t>Cái</t>
        </is>
      </c>
      <c r="E81" s="9" t="n">
        <v>185000</v>
      </c>
      <c r="F81" s="3" t="inlineStr">
        <is>
          <t>Sổ chi tiết bán hàng KingBlue</t>
        </is>
      </c>
    </row>
    <row r="82">
      <c r="A82" s="2" t="n">
        <v>81</v>
      </c>
      <c r="B82" s="2" t="inlineStr">
        <is>
          <t>CB_3KBL2 3.5/438</t>
        </is>
      </c>
      <c r="C82" s="3" t="inlineStr">
        <is>
          <t>CB_3KBL2 3.5/438</t>
        </is>
      </c>
      <c r="D82" s="2" t="inlineStr">
        <is>
          <t>Cái</t>
        </is>
      </c>
      <c r="E82" s="9" t="n">
        <v>169000</v>
      </c>
      <c r="F82" s="3" t="inlineStr">
        <is>
          <t>Sổ chi tiết bán hàng KingBlue</t>
        </is>
      </c>
    </row>
    <row r="83">
      <c r="A83" s="2" t="n">
        <v>82</v>
      </c>
      <c r="B83" s="2" t="inlineStr">
        <is>
          <t>CB_3KBL2 4.2/545</t>
        </is>
      </c>
      <c r="C83" s="3" t="inlineStr">
        <is>
          <t>CB_3KBL2 4.2/545</t>
        </is>
      </c>
      <c r="D83" s="2" t="inlineStr">
        <is>
          <t>Cái</t>
        </is>
      </c>
      <c r="E83" s="9" t="n">
        <v>185000</v>
      </c>
      <c r="F83" s="3" t="inlineStr">
        <is>
          <t>Sổ chi tiết bán hàng KingBlue</t>
        </is>
      </c>
    </row>
    <row r="84">
      <c r="A84" s="2" t="n">
        <v>83</v>
      </c>
      <c r="B84" s="2" t="inlineStr">
        <is>
          <t>CB_3KBLJ 4.5/545</t>
        </is>
      </c>
      <c r="C84" s="3" t="inlineStr">
        <is>
          <t>CB_3KBLJ 4.5/545</t>
        </is>
      </c>
      <c r="D84" s="2" t="inlineStr">
        <is>
          <t>Cái</t>
        </is>
      </c>
      <c r="E84" s="9" t="n">
        <v>181000</v>
      </c>
      <c r="F84" s="3" t="inlineStr">
        <is>
          <t>Sổ chi tiết bán hàng KingBlue</t>
        </is>
      </c>
    </row>
    <row r="85">
      <c r="A85" s="2" t="n">
        <v>84</v>
      </c>
      <c r="B85" s="2" t="inlineStr">
        <is>
          <t>CB_3KBLJ3.0/438</t>
        </is>
      </c>
      <c r="C85" s="3" t="inlineStr">
        <is>
          <t>CB_3KBLJ3.0/438</t>
        </is>
      </c>
      <c r="D85" s="2" t="inlineStr">
        <is>
          <t>Cái</t>
        </is>
      </c>
      <c r="E85" s="9" t="n">
        <v>191000</v>
      </c>
      <c r="F85" s="3" t="inlineStr">
        <is>
          <t>Sổ chi tiết bán hàng KingBlue</t>
        </is>
      </c>
    </row>
    <row r="86">
      <c r="A86" s="2" t="n">
        <v>85</v>
      </c>
      <c r="B86" s="2" t="inlineStr">
        <is>
          <t>CB_K18QES-KRS55</t>
        </is>
      </c>
      <c r="C86" s="3" t="inlineStr">
        <is>
          <t>CB_K18QES-KRS55</t>
        </is>
      </c>
      <c r="D86" s="2" t="inlineStr">
        <is>
          <t>Cái</t>
        </is>
      </c>
      <c r="E86" s="9" t="n">
        <v>3390000</v>
      </c>
      <c r="F86" s="3" t="inlineStr">
        <is>
          <t>Sổ chi tiết bán hàng KingBlue</t>
        </is>
      </c>
    </row>
    <row r="87">
      <c r="A87" s="2" t="n">
        <v>86</v>
      </c>
      <c r="B87" s="2" t="inlineStr">
        <is>
          <t>CB_K18QES-KRS55-6AH-SN</t>
        </is>
      </c>
      <c r="C87" s="3" t="inlineStr">
        <is>
          <t>CB_K18QES-KRS55-6AH-SN</t>
        </is>
      </c>
      <c r="D87" s="2" t="inlineStr">
        <is>
          <t>Cái</t>
        </is>
      </c>
      <c r="E87" s="9" t="n">
        <v>5100000</v>
      </c>
      <c r="F87" s="3" t="inlineStr">
        <is>
          <t>Sổ chi tiết bán hàng KingBlue</t>
        </is>
      </c>
    </row>
    <row r="88">
      <c r="A88" s="2" t="n">
        <v>87</v>
      </c>
      <c r="B88" s="2" t="inlineStr">
        <is>
          <t>CB_K18QES-KRS60</t>
        </is>
      </c>
      <c r="C88" s="3" t="inlineStr">
        <is>
          <t>CB_K18QES-KRS60</t>
        </is>
      </c>
      <c r="D88" s="2" t="inlineStr">
        <is>
          <t>Cái</t>
        </is>
      </c>
      <c r="E88" s="9" t="n">
        <v>3490000</v>
      </c>
      <c r="F88" s="3" t="inlineStr">
        <is>
          <t>Sổ chi tiết bán hàng KingBlue</t>
        </is>
      </c>
    </row>
    <row r="89">
      <c r="A89" s="2" t="n">
        <v>88</v>
      </c>
      <c r="B89" s="2" t="inlineStr">
        <is>
          <t>CB_K18QES-KRS60-6AH-SN</t>
        </is>
      </c>
      <c r="C89" s="3" t="inlineStr">
        <is>
          <t>CB_K18QES-KRS60-6AH-SN</t>
        </is>
      </c>
      <c r="D89" s="2" t="inlineStr">
        <is>
          <t>Cái</t>
        </is>
      </c>
      <c r="E89" s="9" t="n">
        <v>5200000</v>
      </c>
      <c r="F89" s="3" t="inlineStr">
        <is>
          <t>Sổ chi tiết bán hàng KingBlue</t>
        </is>
      </c>
    </row>
    <row r="90">
      <c r="A90" s="2" t="n">
        <v>89</v>
      </c>
      <c r="B90" s="2" t="inlineStr">
        <is>
          <t>CB_KBL2 3.5/4.2/438</t>
        </is>
      </c>
      <c r="C90" s="3" t="inlineStr">
        <is>
          <t>CB_KBL2 3.5/4.2/438</t>
        </is>
      </c>
      <c r="D90" s="2" t="inlineStr">
        <is>
          <t>Cái</t>
        </is>
      </c>
      <c r="E90" s="9" t="n">
        <v>152000</v>
      </c>
      <c r="F90" s="3" t="inlineStr">
        <is>
          <t>Sổ chi tiết bán hàng KingBlue</t>
        </is>
      </c>
    </row>
    <row r="91">
      <c r="A91" s="2" t="n">
        <v>90</v>
      </c>
      <c r="B91" s="2" t="inlineStr">
        <is>
          <t>CB_KBL2 3.5/4.2/545</t>
        </is>
      </c>
      <c r="C91" s="3" t="inlineStr">
        <is>
          <t>CB_KBL2 3.5/4.2/545</t>
        </is>
      </c>
      <c r="D91" s="2" t="inlineStr">
        <is>
          <t>Cái</t>
        </is>
      </c>
      <c r="E91" s="9" t="n">
        <v>152000</v>
      </c>
      <c r="F91" s="3" t="inlineStr">
        <is>
          <t>Sổ chi tiết bán hàng KingBlue</t>
        </is>
      </c>
    </row>
    <row r="92">
      <c r="A92" s="2" t="n">
        <v>91</v>
      </c>
      <c r="B92" s="2" t="inlineStr">
        <is>
          <t>CB_KBLJ3.0/4.5/438</t>
        </is>
      </c>
      <c r="C92" s="3" t="inlineStr">
        <is>
          <t>CB_KBLJ3.0/4.5/438</t>
        </is>
      </c>
      <c r="D92" s="2" t="inlineStr">
        <is>
          <t>Cái</t>
        </is>
      </c>
      <c r="E92" s="9" t="n">
        <v>156000</v>
      </c>
      <c r="F92" s="3" t="inlineStr">
        <is>
          <t>Sổ chi tiết bán hàng KingBlue</t>
        </is>
      </c>
    </row>
    <row r="93">
      <c r="A93" s="2" t="n">
        <v>92</v>
      </c>
      <c r="B93" s="2" t="inlineStr">
        <is>
          <t>CB_KBLJ3.0/4.5/545</t>
        </is>
      </c>
      <c r="C93" s="3" t="inlineStr">
        <is>
          <t>CB_KBLJ3.0/4.5/545</t>
        </is>
      </c>
      <c r="D93" s="2" t="inlineStr">
        <is>
          <t>Cái</t>
        </is>
      </c>
      <c r="E93" s="9" t="n">
        <v>156000</v>
      </c>
      <c r="F93" s="3" t="inlineStr">
        <is>
          <t>Sổ chi tiết bán hàng KingBlue</t>
        </is>
      </c>
    </row>
    <row r="94">
      <c r="A94" s="2" t="n">
        <v>93</v>
      </c>
      <c r="B94" s="2" t="inlineStr">
        <is>
          <t>CE280</t>
        </is>
      </c>
      <c r="C94" s="3" t="inlineStr">
        <is>
          <t>CE280</t>
        </is>
      </c>
      <c r="D94" s="2" t="inlineStr">
        <is>
          <t>Cái</t>
        </is>
      </c>
      <c r="E94" s="9" t="n">
        <v>467000</v>
      </c>
      <c r="F94" s="3" t="inlineStr">
        <is>
          <t>Sổ chi tiết bán hàng KingBlue</t>
        </is>
      </c>
    </row>
    <row r="95">
      <c r="A95" s="2" t="n">
        <v>94</v>
      </c>
      <c r="B95" s="2" t="inlineStr">
        <is>
          <t>CG-1000</t>
        </is>
      </c>
      <c r="C95" s="3" t="inlineStr">
        <is>
          <t>CG-1000</t>
        </is>
      </c>
      <c r="D95" s="2" t="inlineStr">
        <is>
          <t>Cái</t>
        </is>
      </c>
      <c r="E95" s="9" t="n">
        <v>2420000</v>
      </c>
      <c r="F95" s="3" t="inlineStr">
        <is>
          <t>Sổ chi tiết bán hàng KingBlue</t>
        </is>
      </c>
    </row>
    <row r="96">
      <c r="A96" s="2" t="n">
        <v>95</v>
      </c>
      <c r="B96" s="2" t="inlineStr">
        <is>
          <t>CG-1200</t>
        </is>
      </c>
      <c r="C96" s="3" t="inlineStr">
        <is>
          <t>CG-1200</t>
        </is>
      </c>
      <c r="D96" s="2" t="inlineStr">
        <is>
          <t>Cái</t>
        </is>
      </c>
      <c r="E96" s="9" t="n">
        <v>2706000</v>
      </c>
      <c r="F96" s="3" t="inlineStr">
        <is>
          <t>Sổ chi tiết bán hàng KingBlue</t>
        </is>
      </c>
    </row>
    <row r="97">
      <c r="A97" s="2" t="n">
        <v>96</v>
      </c>
      <c r="B97" s="2" t="inlineStr">
        <is>
          <t>CG-800</t>
        </is>
      </c>
      <c r="C97" s="3" t="inlineStr">
        <is>
          <t>CG-800</t>
        </is>
      </c>
      <c r="D97" s="2" t="inlineStr">
        <is>
          <t>Cái</t>
        </is>
      </c>
      <c r="E97" s="9" t="n">
        <v>2178000</v>
      </c>
      <c r="F97" s="3" t="inlineStr">
        <is>
          <t>Sổ chi tiết bán hàng KingBlue</t>
        </is>
      </c>
    </row>
    <row r="98">
      <c r="A98" s="2" t="n">
        <v>97</v>
      </c>
      <c r="B98" s="2" t="inlineStr">
        <is>
          <t>CGS-2400</t>
        </is>
      </c>
      <c r="C98" s="3" t="inlineStr">
        <is>
          <t>CGS-2400</t>
        </is>
      </c>
      <c r="D98" s="2" t="inlineStr">
        <is>
          <t>Cái</t>
        </is>
      </c>
      <c r="E98" s="9" t="n">
        <v>3960000</v>
      </c>
      <c r="F98" s="3" t="inlineStr">
        <is>
          <t>Sổ chi tiết bán hàng KingBlue</t>
        </is>
      </c>
    </row>
    <row r="99">
      <c r="A99" s="2" t="n">
        <v>98</v>
      </c>
      <c r="B99" s="2" t="inlineStr">
        <is>
          <t>CHANMAY-05X</t>
        </is>
      </c>
      <c r="C99" s="3" t="inlineStr">
        <is>
          <t>CHANMAY-05X</t>
        </is>
      </c>
      <c r="D99" s="2" t="inlineStr">
        <is>
          <t>Cái</t>
        </is>
      </c>
      <c r="E99" s="9" t="n">
        <v>220000</v>
      </c>
      <c r="F99" s="3" t="inlineStr">
        <is>
          <t>Sổ chi tiết bán hàng KingBlue</t>
        </is>
      </c>
    </row>
    <row r="100">
      <c r="A100" s="2" t="n">
        <v>99</v>
      </c>
      <c r="B100" s="2" t="inlineStr">
        <is>
          <t>CLE-300</t>
        </is>
      </c>
      <c r="C100" s="3" t="inlineStr">
        <is>
          <t>CLE-300</t>
        </is>
      </c>
      <c r="D100" s="2" t="inlineStr">
        <is>
          <t>Cái</t>
        </is>
      </c>
      <c r="E100" s="9" t="n">
        <v>89000</v>
      </c>
      <c r="F100" s="3" t="inlineStr">
        <is>
          <t>Sổ chi tiết bán hàng KingBlue</t>
        </is>
      </c>
    </row>
    <row r="101">
      <c r="A101" s="2" t="n">
        <v>100</v>
      </c>
      <c r="B101" s="2" t="inlineStr">
        <is>
          <t>CM07</t>
        </is>
      </c>
      <c r="C101" s="3" t="inlineStr">
        <is>
          <t>CM07</t>
        </is>
      </c>
      <c r="D101" s="2" t="inlineStr">
        <is>
          <t>Cái</t>
        </is>
      </c>
      <c r="E101" s="9" t="n">
        <v>14300</v>
      </c>
      <c r="F101" s="3" t="inlineStr">
        <is>
          <t>Sổ chi tiết bán hàng KingBlue</t>
        </is>
      </c>
    </row>
    <row r="102">
      <c r="A102" s="2" t="n">
        <v>101</v>
      </c>
      <c r="B102" s="2" t="inlineStr">
        <is>
          <t>CM08</t>
        </is>
      </c>
      <c r="C102" s="3" t="inlineStr">
        <is>
          <t>CM08</t>
        </is>
      </c>
      <c r="D102" s="2" t="inlineStr">
        <is>
          <t>Cái</t>
        </is>
      </c>
      <c r="E102" s="9" t="n">
        <v>154000</v>
      </c>
      <c r="F102" s="3" t="inlineStr">
        <is>
          <t>Sổ chi tiết bán hàng KingBlue</t>
        </is>
      </c>
    </row>
    <row r="103">
      <c r="A103" s="2" t="n">
        <v>102</v>
      </c>
      <c r="B103" s="2" t="inlineStr">
        <is>
          <t>CM10</t>
        </is>
      </c>
      <c r="C103" s="3" t="inlineStr">
        <is>
          <t>CM10</t>
        </is>
      </c>
      <c r="D103" s="2" t="inlineStr">
        <is>
          <t>Cái</t>
        </is>
      </c>
      <c r="E103" s="9" t="n">
        <v>17600</v>
      </c>
      <c r="F103" s="3" t="inlineStr">
        <is>
          <t>Sổ chi tiết bán hàng KingBlue</t>
        </is>
      </c>
    </row>
    <row r="104">
      <c r="A104" s="2" t="n">
        <v>103</v>
      </c>
      <c r="B104" s="2" t="inlineStr">
        <is>
          <t>CM12</t>
        </is>
      </c>
      <c r="C104" s="3" t="inlineStr">
        <is>
          <t>CM12</t>
        </is>
      </c>
      <c r="D104" s="2" t="inlineStr">
        <is>
          <t>Cái</t>
        </is>
      </c>
      <c r="E104" s="9" t="n">
        <v>19800</v>
      </c>
      <c r="F104" s="3" t="inlineStr">
        <is>
          <t>Sổ chi tiết bán hàng KingBlue</t>
        </is>
      </c>
    </row>
    <row r="105">
      <c r="A105" s="2" t="n">
        <v>104</v>
      </c>
      <c r="B105" s="2" t="inlineStr">
        <is>
          <t>CM13</t>
        </is>
      </c>
      <c r="C105" s="3" t="inlineStr">
        <is>
          <t>CM13</t>
        </is>
      </c>
      <c r="D105" s="2" t="inlineStr">
        <is>
          <t>Cái</t>
        </is>
      </c>
      <c r="E105" s="9" t="n">
        <v>105000</v>
      </c>
      <c r="F105" s="3" t="inlineStr">
        <is>
          <t>Sổ chi tiết bán hàng KingBlue</t>
        </is>
      </c>
    </row>
    <row r="106">
      <c r="A106" s="2" t="n">
        <v>105</v>
      </c>
      <c r="B106" s="2" t="inlineStr">
        <is>
          <t>CM14</t>
        </is>
      </c>
      <c r="C106" s="3" t="inlineStr">
        <is>
          <t>CM14</t>
        </is>
      </c>
      <c r="D106" s="2" t="inlineStr">
        <is>
          <t>Cái</t>
        </is>
      </c>
      <c r="E106" s="9" t="n">
        <v>21000</v>
      </c>
      <c r="F106" s="3" t="inlineStr">
        <is>
          <t>Sổ chi tiết bán hàng KingBlue</t>
        </is>
      </c>
    </row>
    <row r="107">
      <c r="A107" s="2" t="n">
        <v>106</v>
      </c>
      <c r="B107" s="2" t="inlineStr">
        <is>
          <t>CM17</t>
        </is>
      </c>
      <c r="C107" s="3" t="inlineStr">
        <is>
          <t>CM17</t>
        </is>
      </c>
      <c r="D107" s="2" t="inlineStr">
        <is>
          <t>Cái</t>
        </is>
      </c>
      <c r="E107" s="9" t="n">
        <v>154000</v>
      </c>
      <c r="F107" s="3" t="inlineStr">
        <is>
          <t>Sổ chi tiết bán hàng KingBlue</t>
        </is>
      </c>
    </row>
    <row r="108">
      <c r="A108" s="2" t="n">
        <v>107</v>
      </c>
      <c r="B108" s="2" t="inlineStr">
        <is>
          <t>CM19</t>
        </is>
      </c>
      <c r="C108" s="3" t="inlineStr">
        <is>
          <t>CM19</t>
        </is>
      </c>
      <c r="D108" s="2" t="inlineStr">
        <is>
          <t>Cái</t>
        </is>
      </c>
      <c r="E108" s="9" t="n">
        <v>86001</v>
      </c>
      <c r="F108" s="3" t="inlineStr">
        <is>
          <t>Sổ chi tiết bán hàng KingBlue</t>
        </is>
      </c>
    </row>
    <row r="109">
      <c r="A109" s="2" t="n">
        <v>108</v>
      </c>
      <c r="B109" s="2" t="inlineStr">
        <is>
          <t>COMBO_CM</t>
        </is>
      </c>
      <c r="C109" s="3" t="inlineStr">
        <is>
          <t>COMBO_CM</t>
        </is>
      </c>
      <c r="D109" s="2" t="inlineStr">
        <is>
          <t>Cái</t>
        </is>
      </c>
      <c r="E109" s="9" t="n">
        <v>225000</v>
      </c>
      <c r="F109" s="3" t="inlineStr">
        <is>
          <t>Sổ chi tiết bán hàng KingBlue</t>
        </is>
      </c>
    </row>
    <row r="110">
      <c r="A110" s="2" t="n">
        <v>109</v>
      </c>
      <c r="B110" s="2" t="inlineStr">
        <is>
          <t>Chuôi khoan rút lõi SDSV (4 cạnh vuông)</t>
        </is>
      </c>
      <c r="C110" s="3" t="inlineStr">
        <is>
          <t>Chuôi khoan rút lõi SDSV (4 cạnh vuông)</t>
        </is>
      </c>
      <c r="D110" s="2" t="inlineStr">
        <is>
          <t>Cái</t>
        </is>
      </c>
      <c r="E110" s="9" t="n">
        <v>21000</v>
      </c>
      <c r="F110" s="3" t="inlineStr">
        <is>
          <t>Sổ chi tiết bán hàng KingBlue</t>
        </is>
      </c>
    </row>
    <row r="111">
      <c r="A111" s="2" t="n">
        <v>110</v>
      </c>
      <c r="B111" s="2" t="inlineStr">
        <is>
          <t>Chuôi khoan rút lõi gài SDST-M22</t>
        </is>
      </c>
      <c r="C111" s="3" t="inlineStr">
        <is>
          <t>Chuôi khoan rút lõi gài SDST-M22</t>
        </is>
      </c>
      <c r="D111" s="2" t="inlineStr">
        <is>
          <t>Cái</t>
        </is>
      </c>
      <c r="E111" s="9" t="n">
        <v>34000</v>
      </c>
      <c r="F111" s="3" t="inlineStr">
        <is>
          <t>Sổ chi tiết bán hàng KingBlue</t>
        </is>
      </c>
    </row>
    <row r="112">
      <c r="A112" s="2" t="n">
        <v>111</v>
      </c>
      <c r="B112" s="2" t="inlineStr">
        <is>
          <t>Chuôi khoan rút lõi lục giác DLG-M22</t>
        </is>
      </c>
      <c r="C112" s="3" t="inlineStr">
        <is>
          <t>Chuôi khoan rút lõi lục giác DLG-M22</t>
        </is>
      </c>
      <c r="D112" s="2" t="inlineStr">
        <is>
          <t>Cái</t>
        </is>
      </c>
      <c r="E112" s="9" t="n">
        <v>34000</v>
      </c>
      <c r="F112" s="3" t="inlineStr">
        <is>
          <t>Sổ chi tiết bán hàng KingBlue</t>
        </is>
      </c>
    </row>
    <row r="113">
      <c r="A113" s="2" t="n">
        <v>112</v>
      </c>
      <c r="B113" s="2" t="inlineStr">
        <is>
          <t>Chuôi khoan rút lõi lục giác LGST</t>
        </is>
      </c>
      <c r="C113" s="3" t="inlineStr">
        <is>
          <t>Chuôi khoan rút lõi lục giác LGST</t>
        </is>
      </c>
      <c r="D113" s="2" t="inlineStr">
        <is>
          <t>Cái</t>
        </is>
      </c>
      <c r="E113" s="9" t="n">
        <v>24000</v>
      </c>
      <c r="F113" s="3" t="inlineStr">
        <is>
          <t>Sổ chi tiết bán hàng KingBlue</t>
        </is>
      </c>
    </row>
    <row r="114">
      <c r="A114" s="2" t="n">
        <v>113</v>
      </c>
      <c r="B114" s="2" t="inlineStr">
        <is>
          <t>Chân máy laser KB-05X</t>
        </is>
      </c>
      <c r="C114" s="3" t="inlineStr">
        <is>
          <t>Chân máy laser KB-05X</t>
        </is>
      </c>
      <c r="D114" s="2" t="inlineStr">
        <is>
          <t>Cái</t>
        </is>
      </c>
      <c r="E114" s="9" t="n">
        <v>220000</v>
      </c>
      <c r="F114" s="3" t="inlineStr">
        <is>
          <t>Sổ chi tiết bán hàng KingBlue</t>
        </is>
      </c>
    </row>
    <row r="115">
      <c r="A115" s="2" t="n">
        <v>114</v>
      </c>
      <c r="B115" s="2" t="inlineStr">
        <is>
          <t>Chén mài Bluebird M2-110x5L (Xanh)</t>
        </is>
      </c>
      <c r="C115" s="3" t="inlineStr">
        <is>
          <t>Chén mài Bluebird M2-110x5L (Xanh)</t>
        </is>
      </c>
      <c r="D115" s="2" t="inlineStr">
        <is>
          <t>Cái</t>
        </is>
      </c>
      <c r="E115" s="9" t="n">
        <v>123000</v>
      </c>
      <c r="F115" s="3" t="inlineStr">
        <is>
          <t>Sổ chi tiết bán hàng KingBlue</t>
        </is>
      </c>
    </row>
    <row r="116">
      <c r="A116" s="2" t="n">
        <v>115</v>
      </c>
      <c r="B116" s="2" t="inlineStr">
        <is>
          <t>Chén mài KingBlue M2-150x5R (Xanh)</t>
        </is>
      </c>
      <c r="C116" s="3" t="inlineStr">
        <is>
          <t>Chén mài KingBlue M2-150x5R (Xanh)</t>
        </is>
      </c>
      <c r="D116" s="2" t="inlineStr">
        <is>
          <t>Cái</t>
        </is>
      </c>
      <c r="E116" s="9" t="n">
        <v>362000</v>
      </c>
      <c r="F116" s="3" t="inlineStr">
        <is>
          <t>Sổ chi tiết bán hàng KingBlue</t>
        </is>
      </c>
    </row>
    <row r="117">
      <c r="A117" s="2" t="n">
        <v>116</v>
      </c>
      <c r="B117" s="2" t="inlineStr">
        <is>
          <t>Chén mài KingBlue M2-180x5R (Xanh)</t>
        </is>
      </c>
      <c r="C117" s="3" t="inlineStr">
        <is>
          <t>Chén mài KingBlue M2-180x5R (Xanh)</t>
        </is>
      </c>
      <c r="D117" s="2" t="inlineStr">
        <is>
          <t>Cái</t>
        </is>
      </c>
      <c r="E117" s="9" t="n">
        <v>454000</v>
      </c>
      <c r="F117" s="3" t="inlineStr">
        <is>
          <t>Sổ chi tiết bán hàng KingBlue</t>
        </is>
      </c>
    </row>
    <row r="118">
      <c r="A118" s="2" t="n">
        <v>117</v>
      </c>
      <c r="B118" s="2" t="inlineStr">
        <is>
          <t>Chén mài Kingblue M1-110x5R (vàng)</t>
        </is>
      </c>
      <c r="C118" s="3" t="inlineStr">
        <is>
          <t>Chén mài Kingblue M1-110x5R (vàng)</t>
        </is>
      </c>
      <c r="D118" s="2" t="inlineStr">
        <is>
          <t>Cái</t>
        </is>
      </c>
      <c r="E118" s="9" t="n">
        <v>73000</v>
      </c>
      <c r="F118" s="3" t="inlineStr">
        <is>
          <t>Sổ chi tiết bán hàng KingBlue</t>
        </is>
      </c>
    </row>
    <row r="119">
      <c r="A119" s="2" t="n">
        <v>118</v>
      </c>
      <c r="B119" s="2" t="inlineStr">
        <is>
          <t>Chén mài Kingblue M1-125x5R (Vàng)</t>
        </is>
      </c>
      <c r="C119" s="3" t="inlineStr">
        <is>
          <t>Chén mài Kingblue M1-125x5R (Vàng)</t>
        </is>
      </c>
      <c r="D119" s="2" t="inlineStr">
        <is>
          <t>Cái</t>
        </is>
      </c>
      <c r="E119" s="9" t="n">
        <v>105000</v>
      </c>
      <c r="F119" s="3" t="inlineStr">
        <is>
          <t>Sổ chi tiết bán hàng KingBlue</t>
        </is>
      </c>
    </row>
    <row r="120">
      <c r="A120" s="2" t="n">
        <v>119</v>
      </c>
      <c r="B120" s="2" t="inlineStr">
        <is>
          <t>Chén mài Kingblue M2-110x5R (xanh)</t>
        </is>
      </c>
      <c r="C120" s="3" t="inlineStr">
        <is>
          <t>Chén mài Kingblue M2-110x5R (xanh)</t>
        </is>
      </c>
      <c r="D120" s="2" t="inlineStr">
        <is>
          <t>Cái</t>
        </is>
      </c>
      <c r="E120" s="9" t="n">
        <v>123000</v>
      </c>
      <c r="F120" s="3" t="inlineStr">
        <is>
          <t>Sổ chi tiết bán hàng KingBlue</t>
        </is>
      </c>
    </row>
    <row r="121">
      <c r="A121" s="2" t="n">
        <v>120</v>
      </c>
      <c r="B121" s="2" t="inlineStr">
        <is>
          <t>Chén mài Kingblue M2-125x5R (Xanh)</t>
        </is>
      </c>
      <c r="C121" s="3" t="inlineStr">
        <is>
          <t>Chén mài Kingblue M2-125x5R (Xanh)</t>
        </is>
      </c>
      <c r="D121" s="2" t="inlineStr">
        <is>
          <t>Cái</t>
        </is>
      </c>
      <c r="E121" s="9" t="n">
        <v>151000</v>
      </c>
      <c r="F121" s="3" t="inlineStr">
        <is>
          <t>Sổ chi tiết bán hàng KingBlue</t>
        </is>
      </c>
    </row>
    <row r="122">
      <c r="A122" s="2" t="n">
        <v>121</v>
      </c>
      <c r="B122" s="2" t="inlineStr">
        <is>
          <t>Chén mài Kingblue MS-110x4R (đỏ)</t>
        </is>
      </c>
      <c r="C122" s="3" t="inlineStr">
        <is>
          <t>Chén mài Kingblue MS-110x4R (đỏ)</t>
        </is>
      </c>
      <c r="D122" s="2" t="inlineStr">
        <is>
          <t>Cái</t>
        </is>
      </c>
      <c r="E122" s="9" t="n">
        <v>57000</v>
      </c>
      <c r="F122" s="3" t="inlineStr">
        <is>
          <t>Sổ chi tiết bán hàng KingBlue</t>
        </is>
      </c>
    </row>
    <row r="123">
      <c r="A123" s="2" t="n">
        <v>122</v>
      </c>
      <c r="B123" s="2" t="inlineStr">
        <is>
          <t>Chén mài Kingblue MS-125x4R (Đỏ)</t>
        </is>
      </c>
      <c r="C123" s="3" t="inlineStr">
        <is>
          <t>Chén mài Kingblue MS-125x4R (Đỏ)</t>
        </is>
      </c>
      <c r="D123" s="2" t="inlineStr">
        <is>
          <t>Cái</t>
        </is>
      </c>
      <c r="E123" s="9" t="n">
        <v>89000</v>
      </c>
      <c r="F123" s="3" t="inlineStr">
        <is>
          <t>Sổ chi tiết bán hàng KingBlue</t>
        </is>
      </c>
    </row>
    <row r="124">
      <c r="A124" s="2" t="n">
        <v>123</v>
      </c>
      <c r="B124" s="2" t="inlineStr">
        <is>
          <t>Combo máy khoan 3 Chức Năng 18V K18QES (thân máy + KRS-55N + Pin 6.0Ah + Sạc nhanh</t>
        </is>
      </c>
      <c r="C124" s="3" t="inlineStr">
        <is>
          <t>Combo máy khoan 3 Chức Năng 18V K18QES (thân máy + KRS-55N + Pin 6.0Ah + Sạc nhanh</t>
        </is>
      </c>
      <c r="D124" s="2" t="inlineStr">
        <is>
          <t>Cái</t>
        </is>
      </c>
      <c r="E124" s="9" t="n">
        <v>5100000</v>
      </c>
      <c r="F124" s="3" t="inlineStr">
        <is>
          <t>Sổ chi tiết bán hàng KingBlue</t>
        </is>
      </c>
    </row>
    <row r="125">
      <c r="A125" s="2" t="n">
        <v>124</v>
      </c>
      <c r="B125" s="2" t="inlineStr">
        <is>
          <t>Combo máy khoan 3 Chức Năng 18V K18QES (thân máy + KRS-55N)</t>
        </is>
      </c>
      <c r="C125" s="3" t="inlineStr">
        <is>
          <t>Combo máy khoan 3 Chức Năng 18V K18QES (thân máy + KRS-55N)</t>
        </is>
      </c>
      <c r="D125" s="2" t="inlineStr">
        <is>
          <t>Cái</t>
        </is>
      </c>
      <c r="E125" s="9" t="n">
        <v>3390000</v>
      </c>
      <c r="F125" s="3" t="inlineStr">
        <is>
          <t>Sổ chi tiết bán hàng KingBlue</t>
        </is>
      </c>
    </row>
    <row r="126">
      <c r="A126" s="2" t="n">
        <v>125</v>
      </c>
      <c r="B126" s="2" t="inlineStr">
        <is>
          <t>Combo máy khoan 3 Chức Năng 18V K18QES (thân máy + KRS-60N + Pin 6.0Ah + Sạc nhanh</t>
        </is>
      </c>
      <c r="C126" s="3" t="inlineStr">
        <is>
          <t>Combo máy khoan 3 Chức Năng 18V K18QES (thân máy + KRS-60N + Pin 6.0Ah + Sạc nhanh</t>
        </is>
      </c>
      <c r="D126" s="2" t="inlineStr">
        <is>
          <t>Cái</t>
        </is>
      </c>
      <c r="E126" s="9" t="n">
        <v>5200000</v>
      </c>
      <c r="F126" s="3" t="inlineStr">
        <is>
          <t>Sổ chi tiết bán hàng KingBlue</t>
        </is>
      </c>
    </row>
    <row r="127">
      <c r="A127" s="2" t="n">
        <v>126</v>
      </c>
      <c r="B127" s="2" t="inlineStr">
        <is>
          <t>Combo máy khoan 3 Chức Năng 18V K18QES (thân máy + KRS-60N)</t>
        </is>
      </c>
      <c r="C127" s="3" t="inlineStr">
        <is>
          <t>Combo máy khoan 3 Chức Năng 18V K18QES (thân máy + KRS-60N)</t>
        </is>
      </c>
      <c r="D127" s="2" t="inlineStr">
        <is>
          <t>Cái</t>
        </is>
      </c>
      <c r="E127" s="9" t="n">
        <v>3490000</v>
      </c>
      <c r="F127" s="3" t="inlineStr">
        <is>
          <t>Sổ chi tiết bán hàng KingBlue</t>
        </is>
      </c>
    </row>
    <row r="128">
      <c r="A128" s="2" t="n">
        <v>127</v>
      </c>
      <c r="B128" s="2" t="inlineStr">
        <is>
          <t>Combo mũi khoan bê tông 2KBL2 3.2*90/438</t>
        </is>
      </c>
      <c r="C128" s="3" t="inlineStr">
        <is>
          <t>Combo mũi khoan bê tông 2KBL2 3.2*90/438</t>
        </is>
      </c>
      <c r="D128" s="2" t="inlineStr">
        <is>
          <t>Cái</t>
        </is>
      </c>
      <c r="E128" s="9" t="n">
        <v>152000</v>
      </c>
      <c r="F128" s="3" t="inlineStr">
        <is>
          <t>Sổ chi tiết bán hàng KingBlue</t>
        </is>
      </c>
    </row>
    <row r="129">
      <c r="A129" s="2" t="n">
        <v>128</v>
      </c>
      <c r="B129" s="2" t="inlineStr">
        <is>
          <t>Combo mũi khoan bê tông 2KBL2 3.5/438</t>
        </is>
      </c>
      <c r="C129" s="3" t="inlineStr">
        <is>
          <t>Combo mũi khoan bê tông 2KBL2 3.5/438</t>
        </is>
      </c>
      <c r="D129" s="2" t="inlineStr">
        <is>
          <t>Cái</t>
        </is>
      </c>
      <c r="E129" s="9" t="n">
        <v>156000</v>
      </c>
      <c r="F129" s="3" t="inlineStr">
        <is>
          <t>Sổ chi tiết bán hàng KingBlue</t>
        </is>
      </c>
    </row>
    <row r="130">
      <c r="A130" s="2" t="n">
        <v>129</v>
      </c>
      <c r="B130" s="2" t="inlineStr">
        <is>
          <t>Combo mũi khoan bê tông 2KBL2 4.2/545</t>
        </is>
      </c>
      <c r="C130" s="3" t="inlineStr">
        <is>
          <t>Combo mũi khoan bê tông 2KBL2 4.2/545</t>
        </is>
      </c>
      <c r="D130" s="2" t="inlineStr">
        <is>
          <t>Cái</t>
        </is>
      </c>
      <c r="E130" s="9" t="n">
        <v>152000</v>
      </c>
      <c r="F130" s="3" t="inlineStr">
        <is>
          <t>Sổ chi tiết bán hàng KingBlue</t>
        </is>
      </c>
    </row>
    <row r="131">
      <c r="A131" s="2" t="n">
        <v>130</v>
      </c>
      <c r="B131" s="2" t="inlineStr">
        <is>
          <t>Combo mũi khoan bê tông 3KBL2 3.2*90/438</t>
        </is>
      </c>
      <c r="C131" s="3" t="inlineStr">
        <is>
          <t>Combo mũi khoan bê tông 3KBL2 3.2*90/438</t>
        </is>
      </c>
      <c r="D131" s="2" t="inlineStr">
        <is>
          <t>Cái</t>
        </is>
      </c>
      <c r="E131" s="9" t="n">
        <v>185000</v>
      </c>
      <c r="F131" s="3" t="inlineStr">
        <is>
          <t>Sổ chi tiết bán hàng KingBlue</t>
        </is>
      </c>
    </row>
    <row r="132">
      <c r="A132" s="2" t="n">
        <v>131</v>
      </c>
      <c r="B132" s="2" t="inlineStr">
        <is>
          <t>Combo mũi khoan bê tông 3KBL2 3.5/438</t>
        </is>
      </c>
      <c r="C132" s="3" t="inlineStr">
        <is>
          <t>Combo mũi khoan bê tông 3KBL2 3.5/438</t>
        </is>
      </c>
      <c r="D132" s="2" t="inlineStr">
        <is>
          <t>Cái</t>
        </is>
      </c>
      <c r="E132" s="9" t="n">
        <v>169000</v>
      </c>
      <c r="F132" s="3" t="inlineStr">
        <is>
          <t>Sổ chi tiết bán hàng KingBlue</t>
        </is>
      </c>
    </row>
    <row r="133">
      <c r="A133" s="2" t="n">
        <v>132</v>
      </c>
      <c r="B133" s="2" t="inlineStr">
        <is>
          <t>Combo mũi khoan bê tông 3KBL2 4.2/545</t>
        </is>
      </c>
      <c r="C133" s="3" t="inlineStr">
        <is>
          <t>Combo mũi khoan bê tông 3KBL2 4.2/545</t>
        </is>
      </c>
      <c r="D133" s="2" t="inlineStr">
        <is>
          <t>Cái</t>
        </is>
      </c>
      <c r="E133" s="9" t="n">
        <v>185000</v>
      </c>
      <c r="F133" s="3" t="inlineStr">
        <is>
          <t>Sổ chi tiết bán hàng KingBlue</t>
        </is>
      </c>
    </row>
    <row r="134">
      <c r="A134" s="2" t="n">
        <v>133</v>
      </c>
      <c r="B134" s="2" t="inlineStr">
        <is>
          <t>Combo mũi khoan bê tông KBL2 3.5/4.2/438</t>
        </is>
      </c>
      <c r="C134" s="3" t="inlineStr">
        <is>
          <t>Combo mũi khoan bê tông KBL2 3.5/4.2/438</t>
        </is>
      </c>
      <c r="D134" s="2" t="inlineStr">
        <is>
          <t>Cái</t>
        </is>
      </c>
      <c r="E134" s="9" t="n">
        <v>152000</v>
      </c>
      <c r="F134" s="3" t="inlineStr">
        <is>
          <t>Sổ chi tiết bán hàng KingBlue</t>
        </is>
      </c>
    </row>
    <row r="135">
      <c r="A135" s="2" t="n">
        <v>134</v>
      </c>
      <c r="B135" s="2" t="inlineStr">
        <is>
          <t>Combo mũi khoan bê tông KBL2 3.5/4.2/545</t>
        </is>
      </c>
      <c r="C135" s="3" t="inlineStr">
        <is>
          <t>Combo mũi khoan bê tông KBL2 3.5/4.2/545</t>
        </is>
      </c>
      <c r="D135" s="2" t="inlineStr">
        <is>
          <t>Cái</t>
        </is>
      </c>
      <c r="E135" s="9" t="n">
        <v>152000</v>
      </c>
      <c r="F135" s="3" t="inlineStr">
        <is>
          <t>Sổ chi tiết bán hàng KingBlue</t>
        </is>
      </c>
    </row>
    <row r="136">
      <c r="A136" s="2" t="n">
        <v>135</v>
      </c>
      <c r="B136" s="2" t="inlineStr">
        <is>
          <t>Combo mũi khoan tường không tắc kê 2KBLJ3.0/438</t>
        </is>
      </c>
      <c r="C136" s="3" t="inlineStr">
        <is>
          <t>Combo mũi khoan tường không tắc kê 2KBLJ3.0/438</t>
        </is>
      </c>
      <c r="D136" s="2" t="inlineStr">
        <is>
          <t>Cái</t>
        </is>
      </c>
      <c r="E136" s="9" t="n">
        <v>156000</v>
      </c>
      <c r="F136" s="3" t="inlineStr">
        <is>
          <t>Sổ chi tiết bán hàng KingBlue</t>
        </is>
      </c>
    </row>
    <row r="137">
      <c r="A137" s="2" t="n">
        <v>136</v>
      </c>
      <c r="B137" s="2" t="inlineStr">
        <is>
          <t>Combo mũi khoan tường không tắc kê 2KBLJ3.2/438</t>
        </is>
      </c>
      <c r="C137" s="3" t="inlineStr">
        <is>
          <t>Combo mũi khoan tường không tắc kê 2KBLJ3.2/438</t>
        </is>
      </c>
      <c r="D137" s="2" t="inlineStr">
        <is>
          <t>Cái</t>
        </is>
      </c>
      <c r="E137" s="9" t="n">
        <v>156000</v>
      </c>
      <c r="F137" s="3" t="inlineStr">
        <is>
          <t>Sổ chi tiết bán hàng KingBlue</t>
        </is>
      </c>
    </row>
    <row r="138">
      <c r="A138" s="2" t="n">
        <v>137</v>
      </c>
      <c r="B138" s="2" t="inlineStr">
        <is>
          <t>Combo mũi khoan tường không tắc kê 2KBLJ4.5/545</t>
        </is>
      </c>
      <c r="C138" s="3" t="inlineStr">
        <is>
          <t>Combo mũi khoan tường không tắc kê 2KBLJ4.5/545</t>
        </is>
      </c>
      <c r="D138" s="2" t="inlineStr">
        <is>
          <t>Cái</t>
        </is>
      </c>
      <c r="E138" s="9" t="n">
        <v>156000</v>
      </c>
      <c r="F138" s="3" t="inlineStr">
        <is>
          <t>Sổ chi tiết bán hàng KingBlue</t>
        </is>
      </c>
    </row>
    <row r="139">
      <c r="A139" s="2" t="n">
        <v>138</v>
      </c>
      <c r="B139" s="2" t="inlineStr">
        <is>
          <t>Combo mũi khoan tường không tắc kê 3KBLJ 4.5/545</t>
        </is>
      </c>
      <c r="C139" s="3" t="inlineStr">
        <is>
          <t>Combo mũi khoan tường không tắc kê 3KBLJ 4.5/545</t>
        </is>
      </c>
      <c r="D139" s="2" t="inlineStr">
        <is>
          <t>Cái</t>
        </is>
      </c>
      <c r="E139" s="9" t="n">
        <v>181000</v>
      </c>
      <c r="F139" s="3" t="inlineStr">
        <is>
          <t>Sổ chi tiết bán hàng KingBlue</t>
        </is>
      </c>
    </row>
    <row r="140">
      <c r="A140" s="2" t="n">
        <v>139</v>
      </c>
      <c r="B140" s="2" t="inlineStr">
        <is>
          <t>Combo mũi khoan tường không tắc kê 3KBLJ3.0/438</t>
        </is>
      </c>
      <c r="C140" s="3" t="inlineStr">
        <is>
          <t>Combo mũi khoan tường không tắc kê 3KBLJ3.0/438</t>
        </is>
      </c>
      <c r="D140" s="2" t="inlineStr">
        <is>
          <t>Cái</t>
        </is>
      </c>
      <c r="E140" s="9" t="n">
        <v>191000</v>
      </c>
      <c r="F140" s="3" t="inlineStr">
        <is>
          <t>Sổ chi tiết bán hàng KingBlue</t>
        </is>
      </c>
    </row>
    <row r="141">
      <c r="A141" s="2" t="n">
        <v>140</v>
      </c>
      <c r="B141" s="2" t="inlineStr">
        <is>
          <t>Combo mũi khoan tường không tắc kê KBLJ3.0/4.5/438</t>
        </is>
      </c>
      <c r="C141" s="3" t="inlineStr">
        <is>
          <t>Combo mũi khoan tường không tắc kê KBLJ3.0/4.5/438</t>
        </is>
      </c>
      <c r="D141" s="2" t="inlineStr">
        <is>
          <t>Cái</t>
        </is>
      </c>
      <c r="E141" s="9" t="n">
        <v>156000</v>
      </c>
      <c r="F141" s="3" t="inlineStr">
        <is>
          <t>Sổ chi tiết bán hàng KingBlue</t>
        </is>
      </c>
    </row>
    <row r="142">
      <c r="A142" s="2" t="n">
        <v>141</v>
      </c>
      <c r="B142" s="2" t="inlineStr">
        <is>
          <t>Combo mũi khoan tường không tắc kê KBLJ3.0/4.5/545</t>
        </is>
      </c>
      <c r="C142" s="3" t="inlineStr">
        <is>
          <t>Combo mũi khoan tường không tắc kê KBLJ3.0/4.5/545</t>
        </is>
      </c>
      <c r="D142" s="2" t="inlineStr">
        <is>
          <t>Cái</t>
        </is>
      </c>
      <c r="E142" s="9" t="n">
        <v>156000</v>
      </c>
      <c r="F142" s="3" t="inlineStr">
        <is>
          <t>Sổ chi tiết bán hàng KingBlue</t>
        </is>
      </c>
    </row>
    <row r="143">
      <c r="A143" s="2" t="n">
        <v>142</v>
      </c>
      <c r="B143" s="2" t="inlineStr">
        <is>
          <t>Cò omron Nhật</t>
        </is>
      </c>
      <c r="C143" s="3" t="inlineStr">
        <is>
          <t>Cò omron Nhật</t>
        </is>
      </c>
      <c r="D143" s="2" t="inlineStr">
        <is>
          <t>Cái</t>
        </is>
      </c>
      <c r="E143" s="9" t="n">
        <v>220000</v>
      </c>
      <c r="F143" s="3" t="inlineStr">
        <is>
          <t>Sổ chi tiết bán hàng KingBlue</t>
        </is>
      </c>
    </row>
    <row r="144">
      <c r="A144" s="2" t="n">
        <v>143</v>
      </c>
      <c r="B144" s="2" t="inlineStr">
        <is>
          <t>Công cụ đóng đinh bán tự động KB-ST18</t>
        </is>
      </c>
      <c r="C144" s="3" t="inlineStr">
        <is>
          <t>Công cụ đóng đinh bán tự động KB-ST18</t>
        </is>
      </c>
      <c r="D144" s="2" t="inlineStr">
        <is>
          <t>Cái</t>
        </is>
      </c>
      <c r="E144" s="9" t="n">
        <v>303000</v>
      </c>
      <c r="F144" s="3" t="inlineStr">
        <is>
          <t>Sổ chi tiết bán hàng KingBlue</t>
        </is>
      </c>
    </row>
    <row r="145">
      <c r="A145" s="2" t="n">
        <v>144</v>
      </c>
      <c r="B145" s="2" t="inlineStr">
        <is>
          <t>Cưa KingBlue KB-D300</t>
        </is>
      </c>
      <c r="C145" s="3" t="inlineStr">
        <is>
          <t>Cưa KingBlue KB-D300</t>
        </is>
      </c>
      <c r="D145" s="2" t="inlineStr">
        <is>
          <t>Cái</t>
        </is>
      </c>
      <c r="E145" s="9" t="n">
        <v>198000</v>
      </c>
      <c r="F145" s="3" t="inlineStr">
        <is>
          <t>Sổ chi tiết bán hàng KingBlue</t>
        </is>
      </c>
    </row>
    <row r="146">
      <c r="A146" s="2" t="n">
        <v>145</v>
      </c>
      <c r="B146" s="2" t="inlineStr">
        <is>
          <t>Cưa KingBlue KB-E350</t>
        </is>
      </c>
      <c r="C146" s="3" t="inlineStr">
        <is>
          <t>Cưa KingBlue KB-E350</t>
        </is>
      </c>
      <c r="D146" s="2" t="inlineStr">
        <is>
          <t>Cái</t>
        </is>
      </c>
      <c r="E146" s="9" t="n">
        <v>273000</v>
      </c>
      <c r="F146" s="3" t="inlineStr">
        <is>
          <t>Sổ chi tiết bán hàng KingBlue</t>
        </is>
      </c>
    </row>
    <row r="147">
      <c r="A147" s="2" t="n">
        <v>146</v>
      </c>
      <c r="B147" s="2" t="inlineStr">
        <is>
          <t>Cưa KingBlue KB-S330</t>
        </is>
      </c>
      <c r="C147" s="3" t="inlineStr">
        <is>
          <t>Cưa KingBlue KB-S330</t>
        </is>
      </c>
      <c r="D147" s="2" t="inlineStr">
        <is>
          <t>Cái</t>
        </is>
      </c>
      <c r="E147" s="9" t="n">
        <v>298000</v>
      </c>
      <c r="F147" s="3" t="inlineStr">
        <is>
          <t>Sổ chi tiết bán hàng KingBlue</t>
        </is>
      </c>
    </row>
    <row r="148">
      <c r="A148" s="2" t="n">
        <v>147</v>
      </c>
      <c r="B148" s="2" t="inlineStr">
        <is>
          <t>Cưa cành trên cao CE280</t>
        </is>
      </c>
      <c r="C148" s="3" t="inlineStr">
        <is>
          <t>Cưa cành trên cao CE280</t>
        </is>
      </c>
      <c r="D148" s="2" t="inlineStr">
        <is>
          <t>Cái</t>
        </is>
      </c>
      <c r="E148" s="9" t="n">
        <v>467000</v>
      </c>
      <c r="F148" s="3" t="inlineStr">
        <is>
          <t>Sổ chi tiết bán hàng KingBlue</t>
        </is>
      </c>
    </row>
    <row r="149">
      <c r="A149" s="2" t="n">
        <v>148</v>
      </c>
      <c r="B149" s="2" t="inlineStr">
        <is>
          <t>Cưa gấp KingBlue ES180i</t>
        </is>
      </c>
      <c r="C149" s="3" t="inlineStr">
        <is>
          <t>Cưa gấp KingBlue ES180i</t>
        </is>
      </c>
      <c r="D149" s="2" t="inlineStr">
        <is>
          <t>Cái</t>
        </is>
      </c>
      <c r="E149" s="9" t="n">
        <v>132000</v>
      </c>
      <c r="F149" s="3" t="inlineStr">
        <is>
          <t>Sổ chi tiết bán hàng KingBlue</t>
        </is>
      </c>
    </row>
    <row r="150">
      <c r="A150" s="2" t="n">
        <v>149</v>
      </c>
      <c r="B150" s="2" t="inlineStr">
        <is>
          <t>Cưa gấp KingBlue ES250</t>
        </is>
      </c>
      <c r="C150" s="3" t="inlineStr">
        <is>
          <t>Cưa gấp KingBlue ES250</t>
        </is>
      </c>
      <c r="D150" s="2" t="inlineStr">
        <is>
          <t>Cái</t>
        </is>
      </c>
      <c r="E150" s="9" t="n">
        <v>176000</v>
      </c>
      <c r="F150" s="3" t="inlineStr">
        <is>
          <t>Sổ chi tiết bán hàng KingBlue</t>
        </is>
      </c>
    </row>
    <row r="151">
      <c r="A151" s="2" t="n">
        <v>150</v>
      </c>
      <c r="B151" s="2" t="inlineStr">
        <is>
          <t>Cưa tay KJC300</t>
        </is>
      </c>
      <c r="C151" s="3" t="inlineStr">
        <is>
          <t>Cưa tay KJC300</t>
        </is>
      </c>
      <c r="D151" s="2" t="inlineStr">
        <is>
          <t>Cái</t>
        </is>
      </c>
      <c r="E151" s="9" t="n">
        <v>97000</v>
      </c>
      <c r="F151" s="3" t="inlineStr">
        <is>
          <t>Sổ chi tiết bán hàng KingBlue</t>
        </is>
      </c>
    </row>
    <row r="152">
      <c r="A152" s="2" t="n">
        <v>151</v>
      </c>
      <c r="B152" s="2" t="inlineStr">
        <is>
          <t>Cảo 3 chấu K3C3</t>
        </is>
      </c>
      <c r="C152" s="3" t="inlineStr">
        <is>
          <t>Cảo 3 chấu K3C3</t>
        </is>
      </c>
      <c r="D152" s="2" t="inlineStr">
        <is>
          <t>Cái</t>
        </is>
      </c>
      <c r="E152" s="9" t="n">
        <v>250000</v>
      </c>
      <c r="F152" s="3" t="inlineStr">
        <is>
          <t>Sổ chi tiết bán hàng KingBlue</t>
        </is>
      </c>
    </row>
    <row r="153">
      <c r="A153" s="2" t="n">
        <v>152</v>
      </c>
      <c r="B153" s="2" t="inlineStr">
        <is>
          <t>Cảo 3 chấu K3C4</t>
        </is>
      </c>
      <c r="C153" s="3" t="inlineStr">
        <is>
          <t>Cảo 3 chấu K3C4</t>
        </is>
      </c>
      <c r="D153" s="2" t="inlineStr">
        <is>
          <t>Cái</t>
        </is>
      </c>
      <c r="E153" s="9" t="n">
        <v>300000</v>
      </c>
      <c r="F153" s="3" t="inlineStr">
        <is>
          <t>Sổ chi tiết bán hàng KingBlue</t>
        </is>
      </c>
    </row>
    <row r="154">
      <c r="A154" s="2" t="n">
        <v>153</v>
      </c>
      <c r="B154" s="2" t="inlineStr">
        <is>
          <t>Cảo 3 chấu K3C6</t>
        </is>
      </c>
      <c r="C154" s="3" t="inlineStr">
        <is>
          <t>Cảo 3 chấu K3C6</t>
        </is>
      </c>
      <c r="D154" s="2" t="inlineStr">
        <is>
          <t>Cái</t>
        </is>
      </c>
      <c r="E154" s="9" t="n">
        <v>420000</v>
      </c>
      <c r="F154" s="3" t="inlineStr">
        <is>
          <t>Sổ chi tiết bán hàng KingBlue</t>
        </is>
      </c>
    </row>
    <row r="155">
      <c r="A155" s="2" t="n">
        <v>154</v>
      </c>
      <c r="B155" s="2" t="inlineStr">
        <is>
          <t>Cảo 3 chấu K3C8</t>
        </is>
      </c>
      <c r="C155" s="3" t="inlineStr">
        <is>
          <t>Cảo 3 chấu K3C8</t>
        </is>
      </c>
      <c r="D155" s="2" t="inlineStr">
        <is>
          <t>Cái</t>
        </is>
      </c>
      <c r="E155" s="9" t="n">
        <v>714000</v>
      </c>
      <c r="F155" s="3" t="inlineStr">
        <is>
          <t>Sổ chi tiết bán hàng KingBlue</t>
        </is>
      </c>
    </row>
    <row r="156">
      <c r="A156" s="2" t="n">
        <v>155</v>
      </c>
      <c r="B156" s="2" t="inlineStr">
        <is>
          <t>Cảo chữ C - KCC2</t>
        </is>
      </c>
      <c r="C156" s="3" t="inlineStr">
        <is>
          <t>Cảo chữ C - KCC2</t>
        </is>
      </c>
      <c r="D156" s="2" t="inlineStr">
        <is>
          <t>Cái</t>
        </is>
      </c>
      <c r="E156" s="9" t="n">
        <v>62000</v>
      </c>
      <c r="F156" s="3" t="inlineStr">
        <is>
          <t>Sổ chi tiết bán hàng KingBlue</t>
        </is>
      </c>
    </row>
    <row r="157">
      <c r="A157" s="2" t="n">
        <v>156</v>
      </c>
      <c r="B157" s="2" t="inlineStr">
        <is>
          <t>Cảo chữ C - KCC3</t>
        </is>
      </c>
      <c r="C157" s="3" t="inlineStr">
        <is>
          <t>Cảo chữ C - KCC3</t>
        </is>
      </c>
      <c r="D157" s="2" t="inlineStr">
        <is>
          <t>Cái</t>
        </is>
      </c>
      <c r="E157" s="9" t="n">
        <v>99000</v>
      </c>
      <c r="F157" s="3" t="inlineStr">
        <is>
          <t>Sổ chi tiết bán hàng KingBlue</t>
        </is>
      </c>
    </row>
    <row r="158">
      <c r="A158" s="2" t="n">
        <v>157</v>
      </c>
      <c r="B158" s="2" t="inlineStr">
        <is>
          <t>Cảo chữ C - KCC4</t>
        </is>
      </c>
      <c r="C158" s="3" t="inlineStr">
        <is>
          <t>Cảo chữ C - KCC4</t>
        </is>
      </c>
      <c r="D158" s="2" t="inlineStr">
        <is>
          <t>Cái</t>
        </is>
      </c>
      <c r="E158" s="9" t="n">
        <v>132000</v>
      </c>
      <c r="F158" s="3" t="inlineStr">
        <is>
          <t>Sổ chi tiết bán hàng KingBlue</t>
        </is>
      </c>
    </row>
    <row r="159">
      <c r="A159" s="2" t="n">
        <v>158</v>
      </c>
      <c r="B159" s="2" t="inlineStr">
        <is>
          <t>Cảo chữ C - KCC6</t>
        </is>
      </c>
      <c r="C159" s="3" t="inlineStr">
        <is>
          <t>Cảo chữ C - KCC6</t>
        </is>
      </c>
      <c r="D159" s="2" t="inlineStr">
        <is>
          <t>Cái</t>
        </is>
      </c>
      <c r="E159" s="9" t="n">
        <v>185000</v>
      </c>
      <c r="F159" s="3" t="inlineStr">
        <is>
          <t>Sổ chi tiết bán hàng KingBlue</t>
        </is>
      </c>
    </row>
    <row r="160">
      <c r="A160" s="2" t="n">
        <v>159</v>
      </c>
      <c r="B160" s="2" t="inlineStr">
        <is>
          <t>Cảo chữ F - KFC12.400</t>
        </is>
      </c>
      <c r="C160" s="3" t="inlineStr">
        <is>
          <t>Cảo chữ F - KFC12.400</t>
        </is>
      </c>
      <c r="D160" s="2" t="inlineStr">
        <is>
          <t>Cái</t>
        </is>
      </c>
      <c r="E160" s="9" t="n">
        <v>445000</v>
      </c>
      <c r="F160" s="3" t="inlineStr">
        <is>
          <t>Sổ chi tiết bán hàng KingBlue</t>
        </is>
      </c>
    </row>
    <row r="161">
      <c r="A161" s="2" t="n">
        <v>160</v>
      </c>
      <c r="B161" s="2" t="inlineStr">
        <is>
          <t>Cảo chữ F - KFC12.600</t>
        </is>
      </c>
      <c r="C161" s="3" t="inlineStr">
        <is>
          <t>Cảo chữ F - KFC12.600</t>
        </is>
      </c>
      <c r="D161" s="2" t="inlineStr">
        <is>
          <t>Cái</t>
        </is>
      </c>
      <c r="E161" s="9" t="n">
        <v>520000</v>
      </c>
      <c r="F161" s="3" t="inlineStr">
        <is>
          <t>Sổ chi tiết bán hàng KingBlue</t>
        </is>
      </c>
    </row>
    <row r="162">
      <c r="A162" s="2" t="n">
        <v>161</v>
      </c>
      <c r="B162" s="2" t="inlineStr">
        <is>
          <t>Cảo chữ F - KFC8.150</t>
        </is>
      </c>
      <c r="C162" s="3" t="inlineStr">
        <is>
          <t>Cảo chữ F - KFC8.150</t>
        </is>
      </c>
      <c r="D162" s="2" t="inlineStr">
        <is>
          <t>Cái</t>
        </is>
      </c>
      <c r="E162" s="9" t="n">
        <v>252000</v>
      </c>
      <c r="F162" s="3" t="inlineStr">
        <is>
          <t>Sổ chi tiết bán hàng KingBlue</t>
        </is>
      </c>
    </row>
    <row r="163">
      <c r="A163" s="2" t="n">
        <v>162</v>
      </c>
      <c r="B163" s="2" t="inlineStr">
        <is>
          <t>Cảo chữ F - KFC8.200</t>
        </is>
      </c>
      <c r="C163" s="3" t="inlineStr">
        <is>
          <t>Cảo chữ F - KFC8.200</t>
        </is>
      </c>
      <c r="D163" s="2" t="inlineStr">
        <is>
          <t>Cái</t>
        </is>
      </c>
      <c r="E163" s="9" t="n">
        <v>222000</v>
      </c>
      <c r="F163" s="3" t="inlineStr">
        <is>
          <t>Sổ chi tiết bán hàng KingBlue</t>
        </is>
      </c>
    </row>
    <row r="164">
      <c r="A164" s="2" t="n">
        <v>163</v>
      </c>
      <c r="B164" s="2" t="inlineStr">
        <is>
          <t>Cảo chữ F - KFC8.250</t>
        </is>
      </c>
      <c r="C164" s="3" t="inlineStr">
        <is>
          <t>Cảo chữ F - KFC8.250</t>
        </is>
      </c>
      <c r="D164" s="2" t="inlineStr">
        <is>
          <t>Cái</t>
        </is>
      </c>
      <c r="E164" s="9" t="n">
        <v>233000</v>
      </c>
      <c r="F164" s="3" t="inlineStr">
        <is>
          <t>Sổ chi tiết bán hàng KingBlue</t>
        </is>
      </c>
    </row>
    <row r="165">
      <c r="A165" s="2" t="n">
        <v>164</v>
      </c>
      <c r="B165" s="2" t="inlineStr">
        <is>
          <t>Cảo chữ F - KFC8.300</t>
        </is>
      </c>
      <c r="C165" s="3" t="inlineStr">
        <is>
          <t>Cảo chữ F - KFC8.300</t>
        </is>
      </c>
      <c r="D165" s="2" t="inlineStr">
        <is>
          <t>Cái</t>
        </is>
      </c>
      <c r="E165" s="9" t="n">
        <v>245000</v>
      </c>
      <c r="F165" s="3" t="inlineStr">
        <is>
          <t>Sổ chi tiết bán hàng KingBlue</t>
        </is>
      </c>
    </row>
    <row r="166">
      <c r="A166" s="2" t="n">
        <v>165</v>
      </c>
      <c r="B166" s="2" t="inlineStr">
        <is>
          <t>Cảo chữ F - KFC8.450</t>
        </is>
      </c>
      <c r="C166" s="3" t="inlineStr">
        <is>
          <t>Cảo chữ F - KFC8.450</t>
        </is>
      </c>
      <c r="D166" s="2" t="inlineStr">
        <is>
          <t>Cái</t>
        </is>
      </c>
      <c r="E166" s="9" t="n">
        <v>238000</v>
      </c>
      <c r="F166" s="3" t="inlineStr">
        <is>
          <t>Sổ chi tiết bán hàng KingBlue</t>
        </is>
      </c>
    </row>
    <row r="167">
      <c r="A167" s="2" t="n">
        <v>166</v>
      </c>
      <c r="B167" s="2" t="inlineStr">
        <is>
          <t>Cảo chữ F - KFCN10.300</t>
        </is>
      </c>
      <c r="C167" s="3" t="inlineStr">
        <is>
          <t>Cảo chữ F - KFCN10.300</t>
        </is>
      </c>
      <c r="D167" s="2" t="inlineStr">
        <is>
          <t>Cái</t>
        </is>
      </c>
      <c r="E167" s="9" t="n">
        <v>641000</v>
      </c>
      <c r="F167" s="3" t="inlineStr">
        <is>
          <t>Sổ chi tiết bán hàng KingBlue</t>
        </is>
      </c>
    </row>
    <row r="168">
      <c r="A168" s="2" t="n">
        <v>167</v>
      </c>
      <c r="B168" s="2" t="inlineStr">
        <is>
          <t>Cảo chữ F - KFCN10.400</t>
        </is>
      </c>
      <c r="C168" s="3" t="inlineStr">
        <is>
          <t>Cảo chữ F - KFCN10.400</t>
        </is>
      </c>
      <c r="D168" s="2" t="inlineStr">
        <is>
          <t>Cái</t>
        </is>
      </c>
      <c r="E168" s="9" t="n">
        <v>700000</v>
      </c>
      <c r="F168" s="3" t="inlineStr">
        <is>
          <t>Sổ chi tiết bán hàng KingBlue</t>
        </is>
      </c>
    </row>
    <row r="169">
      <c r="A169" s="2" t="n">
        <v>168</v>
      </c>
      <c r="B169" s="2" t="inlineStr">
        <is>
          <t>Cần siết lực (cần nổ) KLC-01</t>
        </is>
      </c>
      <c r="C169" s="3" t="inlineStr">
        <is>
          <t>Cần siết lực (cần nổ) KLC-01</t>
        </is>
      </c>
      <c r="D169" s="2" t="inlineStr">
        <is>
          <t>Cái</t>
        </is>
      </c>
      <c r="E169" s="9" t="n">
        <v>714000</v>
      </c>
      <c r="F169" s="3" t="inlineStr">
        <is>
          <t>Sổ chi tiết bán hàng KingBlue</t>
        </is>
      </c>
    </row>
    <row r="170">
      <c r="A170" s="2" t="n">
        <v>169</v>
      </c>
      <c r="B170" s="2" t="inlineStr">
        <is>
          <t>Cần siết tự động 1/2 (72 răng) KLG-01</t>
        </is>
      </c>
      <c r="C170" s="3" t="inlineStr">
        <is>
          <t>Cần siết tự động 1/2 (72 răng) KLG-01</t>
        </is>
      </c>
      <c r="D170" s="2" t="inlineStr">
        <is>
          <t>Cái</t>
        </is>
      </c>
      <c r="E170" s="9" t="n">
        <v>191000</v>
      </c>
      <c r="F170" s="3" t="inlineStr">
        <is>
          <t>Sổ chi tiết bán hàng KingBlue</t>
        </is>
      </c>
    </row>
    <row r="171">
      <c r="A171" s="2" t="n">
        <v>170</v>
      </c>
      <c r="B171" s="2" t="inlineStr">
        <is>
          <t>Cần siết tự động đa năng 8 in 1 KGX-08</t>
        </is>
      </c>
      <c r="C171" s="3" t="inlineStr">
        <is>
          <t>Cần siết tự động đa năng 8 in 1 KGX-08</t>
        </is>
      </c>
      <c r="D171" s="2" t="inlineStr">
        <is>
          <t>Cái</t>
        </is>
      </c>
      <c r="E171" s="9" t="n">
        <v>383000</v>
      </c>
      <c r="F171" s="3" t="inlineStr">
        <is>
          <t>Sổ chi tiết bán hàng KingBlue</t>
        </is>
      </c>
    </row>
    <row r="172">
      <c r="A172" s="2" t="n">
        <v>171</v>
      </c>
      <c r="B172" s="2" t="inlineStr">
        <is>
          <t>Cờ lê KH1-08</t>
        </is>
      </c>
      <c r="C172" s="3" t="inlineStr">
        <is>
          <t>Cờ lê KH1-08</t>
        </is>
      </c>
      <c r="D172" s="2" t="inlineStr">
        <is>
          <t>Cái</t>
        </is>
      </c>
      <c r="E172" s="9" t="n">
        <v>30000</v>
      </c>
      <c r="F172" s="3" t="inlineStr">
        <is>
          <t>Sổ chi tiết bán hàng KingBlue</t>
        </is>
      </c>
    </row>
    <row r="173">
      <c r="A173" s="2" t="n">
        <v>172</v>
      </c>
      <c r="B173" s="2" t="inlineStr">
        <is>
          <t>Cờ lê KH1-10</t>
        </is>
      </c>
      <c r="C173" s="3" t="inlineStr">
        <is>
          <t>Cờ lê KH1-10</t>
        </is>
      </c>
      <c r="D173" s="2" t="inlineStr">
        <is>
          <t>Cái</t>
        </is>
      </c>
      <c r="E173" s="9" t="n">
        <v>34000</v>
      </c>
      <c r="F173" s="3" t="inlineStr">
        <is>
          <t>Sổ chi tiết bán hàng KingBlue</t>
        </is>
      </c>
    </row>
    <row r="174">
      <c r="A174" s="2" t="n">
        <v>173</v>
      </c>
      <c r="B174" s="2" t="inlineStr">
        <is>
          <t>Cờ lê KH1-12</t>
        </is>
      </c>
      <c r="C174" s="3" t="inlineStr">
        <is>
          <t>Cờ lê KH1-12</t>
        </is>
      </c>
      <c r="D174" s="2" t="inlineStr">
        <is>
          <t>Cái</t>
        </is>
      </c>
      <c r="E174" s="9" t="n">
        <v>34000</v>
      </c>
      <c r="F174" s="3" t="inlineStr">
        <is>
          <t>Sổ chi tiết bán hàng KingBlue</t>
        </is>
      </c>
    </row>
    <row r="175">
      <c r="A175" s="2" t="n">
        <v>174</v>
      </c>
      <c r="B175" s="2" t="inlineStr">
        <is>
          <t>Cờ lê KH1-13</t>
        </is>
      </c>
      <c r="C175" s="3" t="inlineStr">
        <is>
          <t>Cờ lê KH1-13</t>
        </is>
      </c>
      <c r="D175" s="2" t="inlineStr">
        <is>
          <t>Cái</t>
        </is>
      </c>
      <c r="E175" s="9" t="n">
        <v>35000</v>
      </c>
      <c r="F175" s="3" t="inlineStr">
        <is>
          <t>Sổ chi tiết bán hàng KingBlue</t>
        </is>
      </c>
    </row>
    <row r="176">
      <c r="A176" s="2" t="n">
        <v>175</v>
      </c>
      <c r="B176" s="2" t="inlineStr">
        <is>
          <t>Cờ lê KH1-14</t>
        </is>
      </c>
      <c r="C176" s="3" t="inlineStr">
        <is>
          <t>Cờ lê KH1-14</t>
        </is>
      </c>
      <c r="D176" s="2" t="inlineStr">
        <is>
          <t>Cái</t>
        </is>
      </c>
      <c r="E176" s="9" t="n">
        <v>42000</v>
      </c>
      <c r="F176" s="3" t="inlineStr">
        <is>
          <t>Sổ chi tiết bán hàng KingBlue</t>
        </is>
      </c>
    </row>
    <row r="177">
      <c r="A177" s="2" t="n">
        <v>176</v>
      </c>
      <c r="B177" s="2" t="inlineStr">
        <is>
          <t>Cờ lê KH1-17</t>
        </is>
      </c>
      <c r="C177" s="3" t="inlineStr">
        <is>
          <t>Cờ lê KH1-17</t>
        </is>
      </c>
      <c r="D177" s="2" t="inlineStr">
        <is>
          <t>Cái</t>
        </is>
      </c>
      <c r="E177" s="9" t="n">
        <v>55000</v>
      </c>
      <c r="F177" s="3" t="inlineStr">
        <is>
          <t>Sổ chi tiết bán hàng KingBlue</t>
        </is>
      </c>
    </row>
    <row r="178">
      <c r="A178" s="2" t="n">
        <v>177</v>
      </c>
      <c r="B178" s="2" t="inlineStr">
        <is>
          <t>Cờ lê KH1-19</t>
        </is>
      </c>
      <c r="C178" s="3" t="inlineStr">
        <is>
          <t>Cờ lê KH1-19</t>
        </is>
      </c>
      <c r="D178" s="2" t="inlineStr">
        <is>
          <t>Cái</t>
        </is>
      </c>
      <c r="E178" s="9" t="n">
        <v>40000</v>
      </c>
      <c r="F178" s="3" t="inlineStr">
        <is>
          <t>Sổ chi tiết bán hàng KingBlue</t>
        </is>
      </c>
    </row>
    <row r="179">
      <c r="A179" s="2" t="n">
        <v>178</v>
      </c>
      <c r="B179" s="2" t="inlineStr">
        <is>
          <t>Cờ lê KH1-21</t>
        </is>
      </c>
      <c r="C179" s="3" t="inlineStr">
        <is>
          <t>Cờ lê KH1-21</t>
        </is>
      </c>
      <c r="D179" s="2" t="inlineStr">
        <is>
          <t>Cái</t>
        </is>
      </c>
      <c r="E179" s="9" t="n">
        <v>57000</v>
      </c>
      <c r="F179" s="3" t="inlineStr">
        <is>
          <t>Sổ chi tiết bán hàng KingBlue</t>
        </is>
      </c>
    </row>
    <row r="180">
      <c r="A180" s="2" t="n">
        <v>179</v>
      </c>
      <c r="B180" s="2" t="inlineStr">
        <is>
          <t>Cờ lê KH1-22</t>
        </is>
      </c>
      <c r="C180" s="3" t="inlineStr">
        <is>
          <t>Cờ lê KH1-22</t>
        </is>
      </c>
      <c r="D180" s="2" t="inlineStr">
        <is>
          <t>Cái</t>
        </is>
      </c>
      <c r="E180" s="9" t="n">
        <v>84000</v>
      </c>
      <c r="F180" s="3" t="inlineStr">
        <is>
          <t>Sổ chi tiết bán hàng KingBlue</t>
        </is>
      </c>
    </row>
    <row r="181">
      <c r="A181" s="2" t="n">
        <v>180</v>
      </c>
      <c r="B181" s="2" t="inlineStr">
        <is>
          <t>Cờ lê KH1-27</t>
        </is>
      </c>
      <c r="C181" s="3" t="inlineStr">
        <is>
          <t>Cờ lê KH1-27</t>
        </is>
      </c>
      <c r="D181" s="2" t="inlineStr">
        <is>
          <t>Cái</t>
        </is>
      </c>
      <c r="E181" s="9" t="n">
        <v>92000</v>
      </c>
      <c r="F181" s="3" t="inlineStr">
        <is>
          <t>Sổ chi tiết bán hàng KingBlue</t>
        </is>
      </c>
    </row>
    <row r="182">
      <c r="A182" s="2" t="n">
        <v>181</v>
      </c>
      <c r="B182" s="2" t="inlineStr">
        <is>
          <t>Cờ lê KH1-30</t>
        </is>
      </c>
      <c r="C182" s="3" t="inlineStr">
        <is>
          <t>Cờ lê KH1-30</t>
        </is>
      </c>
      <c r="D182" s="2" t="inlineStr">
        <is>
          <t>Cái</t>
        </is>
      </c>
      <c r="E182" s="9" t="n">
        <v>103000</v>
      </c>
      <c r="F182" s="3" t="inlineStr">
        <is>
          <t>Sổ chi tiết bán hàng KingBlue</t>
        </is>
      </c>
    </row>
    <row r="183">
      <c r="A183" s="2" t="n">
        <v>182</v>
      </c>
      <c r="B183" s="2" t="inlineStr">
        <is>
          <t>Cờ lê KH1-32</t>
        </is>
      </c>
      <c r="C183" s="3" t="inlineStr">
        <is>
          <t>Cờ lê KH1-32</t>
        </is>
      </c>
      <c r="D183" s="2" t="inlineStr">
        <is>
          <t>Cái</t>
        </is>
      </c>
      <c r="E183" s="9" t="n">
        <v>119000</v>
      </c>
      <c r="F183" s="3" t="inlineStr">
        <is>
          <t>Sổ chi tiết bán hàng KingBlue</t>
        </is>
      </c>
    </row>
    <row r="184">
      <c r="A184" s="2" t="n">
        <v>183</v>
      </c>
      <c r="B184" s="2" t="inlineStr">
        <is>
          <t>Cờ lê lực 17mm</t>
        </is>
      </c>
      <c r="C184" s="3" t="inlineStr">
        <is>
          <t>Cờ lê lực 17mm</t>
        </is>
      </c>
      <c r="D184" s="2" t="inlineStr">
        <is>
          <t>Cái</t>
        </is>
      </c>
      <c r="E184" s="9" t="n">
        <v>1040000</v>
      </c>
      <c r="F184" s="3" t="inlineStr">
        <is>
          <t>Sổ chi tiết bán hàng KingBlue</t>
        </is>
      </c>
    </row>
    <row r="185">
      <c r="A185" s="2" t="n">
        <v>184</v>
      </c>
      <c r="B185" s="2" t="inlineStr">
        <is>
          <t>Cờ lê lực 22mm</t>
        </is>
      </c>
      <c r="C185" s="3" t="inlineStr">
        <is>
          <t>Cờ lê lực 22mm</t>
        </is>
      </c>
      <c r="D185" s="2" t="inlineStr">
        <is>
          <t>Cái</t>
        </is>
      </c>
      <c r="E185" s="9" t="n">
        <v>1100000</v>
      </c>
      <c r="F185" s="3" t="inlineStr">
        <is>
          <t>Sổ chi tiết bán hàng KingBlue</t>
        </is>
      </c>
    </row>
    <row r="186">
      <c r="A186" s="2" t="n">
        <v>185</v>
      </c>
      <c r="B186" s="2" t="inlineStr">
        <is>
          <t>Cờ lê lực 24mm</t>
        </is>
      </c>
      <c r="C186" s="3" t="inlineStr">
        <is>
          <t>Cờ lê lực 24mm</t>
        </is>
      </c>
      <c r="D186" s="2" t="inlineStr">
        <is>
          <t>Cái</t>
        </is>
      </c>
      <c r="E186" s="9" t="n">
        <v>1180000</v>
      </c>
      <c r="F186" s="3" t="inlineStr">
        <is>
          <t>Sổ chi tiết bán hàng KingBlue</t>
        </is>
      </c>
    </row>
    <row r="187">
      <c r="A187" s="2" t="n">
        <v>186</v>
      </c>
      <c r="B187" s="2" t="inlineStr">
        <is>
          <t>Cờ lê lực 26mm</t>
        </is>
      </c>
      <c r="C187" s="3" t="inlineStr">
        <is>
          <t>Cờ lê lực 26mm</t>
        </is>
      </c>
      <c r="D187" s="2" t="inlineStr">
        <is>
          <t>Cái</t>
        </is>
      </c>
      <c r="E187" s="9" t="n">
        <v>1280000</v>
      </c>
      <c r="F187" s="3" t="inlineStr">
        <is>
          <t>Sổ chi tiết bán hàng KingBlue</t>
        </is>
      </c>
    </row>
    <row r="188">
      <c r="A188" s="2" t="n">
        <v>187</v>
      </c>
      <c r="B188" s="2" t="inlineStr">
        <is>
          <t>Cờ lê lực thao tác nhanh 17mm</t>
        </is>
      </c>
      <c r="C188" s="3" t="inlineStr">
        <is>
          <t>Cờ lê lực thao tác nhanh 17mm</t>
        </is>
      </c>
      <c r="D188" s="2" t="inlineStr">
        <is>
          <t>Cái</t>
        </is>
      </c>
      <c r="E188" s="9" t="n">
        <v>1660000</v>
      </c>
      <c r="F188" s="3" t="inlineStr">
        <is>
          <t>Sổ chi tiết bán hàng KingBlue</t>
        </is>
      </c>
    </row>
    <row r="189">
      <c r="A189" s="2" t="n">
        <v>188</v>
      </c>
      <c r="B189" s="2" t="inlineStr">
        <is>
          <t>Cờ lê lực thao tác nhanh 22mm</t>
        </is>
      </c>
      <c r="C189" s="3" t="inlineStr">
        <is>
          <t>Cờ lê lực thao tác nhanh 22mm</t>
        </is>
      </c>
      <c r="D189" s="2" t="inlineStr">
        <is>
          <t>Cái</t>
        </is>
      </c>
      <c r="E189" s="9" t="n">
        <v>1760000</v>
      </c>
      <c r="F189" s="3" t="inlineStr">
        <is>
          <t>Sổ chi tiết bán hàng KingBlue</t>
        </is>
      </c>
    </row>
    <row r="190">
      <c r="A190" s="2" t="n">
        <v>189</v>
      </c>
      <c r="B190" s="2" t="inlineStr">
        <is>
          <t>Cờ lê vòng miệng thép KH2-08</t>
        </is>
      </c>
      <c r="C190" s="3" t="inlineStr">
        <is>
          <t>Cờ lê vòng miệng thép KH2-08</t>
        </is>
      </c>
      <c r="D190" s="2" t="inlineStr">
        <is>
          <t>Cái</t>
        </is>
      </c>
      <c r="E190" s="9" t="n">
        <v>34000</v>
      </c>
      <c r="F190" s="3" t="inlineStr">
        <is>
          <t>Sổ chi tiết bán hàng KingBlue</t>
        </is>
      </c>
    </row>
    <row r="191">
      <c r="A191" s="2" t="n">
        <v>190</v>
      </c>
      <c r="B191" s="2" t="inlineStr">
        <is>
          <t>Cờ lê vòng miệng thép KH2-10</t>
        </is>
      </c>
      <c r="C191" s="3" t="inlineStr">
        <is>
          <t>Cờ lê vòng miệng thép KH2-10</t>
        </is>
      </c>
      <c r="D191" s="2" t="inlineStr">
        <is>
          <t>Cái</t>
        </is>
      </c>
      <c r="E191" s="9" t="n">
        <v>38000</v>
      </c>
      <c r="F191" s="3" t="inlineStr">
        <is>
          <t>Sổ chi tiết bán hàng KingBlue</t>
        </is>
      </c>
    </row>
    <row r="192">
      <c r="A192" s="2" t="n">
        <v>191</v>
      </c>
      <c r="B192" s="2" t="inlineStr">
        <is>
          <t>Cờ lê vòng miệng thép KH2-12</t>
        </is>
      </c>
      <c r="C192" s="3" t="inlineStr">
        <is>
          <t>Cờ lê vòng miệng thép KH2-12</t>
        </is>
      </c>
      <c r="D192" s="2" t="inlineStr">
        <is>
          <t>Cái</t>
        </is>
      </c>
      <c r="E192" s="9" t="n">
        <v>34000</v>
      </c>
      <c r="F192" s="3" t="inlineStr">
        <is>
          <t>Sổ chi tiết bán hàng KingBlue</t>
        </is>
      </c>
    </row>
    <row r="193">
      <c r="A193" s="2" t="n">
        <v>192</v>
      </c>
      <c r="B193" s="2" t="inlineStr">
        <is>
          <t>Cờ lê vòng miệng thép KH2-13</t>
        </is>
      </c>
      <c r="C193" s="3" t="inlineStr">
        <is>
          <t>Cờ lê vòng miệng thép KH2-13</t>
        </is>
      </c>
      <c r="D193" s="2" t="inlineStr">
        <is>
          <t>Cái</t>
        </is>
      </c>
      <c r="E193" s="9" t="n">
        <v>45000</v>
      </c>
      <c r="F193" s="3" t="inlineStr">
        <is>
          <t>Sổ chi tiết bán hàng KingBlue</t>
        </is>
      </c>
    </row>
    <row r="194">
      <c r="A194" s="2" t="n">
        <v>193</v>
      </c>
      <c r="B194" s="2" t="inlineStr">
        <is>
          <t>Cờ lê vòng miệng thép KH2-14</t>
        </is>
      </c>
      <c r="C194" s="3" t="inlineStr">
        <is>
          <t>Cờ lê vòng miệng thép KH2-14</t>
        </is>
      </c>
      <c r="D194" s="2" t="inlineStr">
        <is>
          <t>Cái</t>
        </is>
      </c>
      <c r="E194" s="9" t="n">
        <v>53000</v>
      </c>
      <c r="F194" s="3" t="inlineStr">
        <is>
          <t>Sổ chi tiết bán hàng KingBlue</t>
        </is>
      </c>
    </row>
    <row r="195">
      <c r="A195" s="2" t="n">
        <v>194</v>
      </c>
      <c r="B195" s="2" t="inlineStr">
        <is>
          <t>Cờ lê vòng miệng thép KH2-17</t>
        </is>
      </c>
      <c r="C195" s="3" t="inlineStr">
        <is>
          <t>Cờ lê vòng miệng thép KH2-17</t>
        </is>
      </c>
      <c r="D195" s="2" t="inlineStr">
        <is>
          <t>Cái</t>
        </is>
      </c>
      <c r="E195" s="9" t="n">
        <v>48000</v>
      </c>
      <c r="F195" s="3" t="inlineStr">
        <is>
          <t>Sổ chi tiết bán hàng KingBlue</t>
        </is>
      </c>
    </row>
    <row r="196">
      <c r="A196" s="2" t="n">
        <v>195</v>
      </c>
      <c r="B196" s="2" t="inlineStr">
        <is>
          <t>Cờ lê vòng miệng thép KH2-19</t>
        </is>
      </c>
      <c r="C196" s="3" t="inlineStr">
        <is>
          <t>Cờ lê vòng miệng thép KH2-19</t>
        </is>
      </c>
      <c r="D196" s="2" t="inlineStr">
        <is>
          <t>Cái</t>
        </is>
      </c>
      <c r="E196" s="9" t="n">
        <v>58000</v>
      </c>
      <c r="F196" s="3" t="inlineStr">
        <is>
          <t>Sổ chi tiết bán hàng KingBlue</t>
        </is>
      </c>
    </row>
    <row r="197">
      <c r="A197" s="2" t="n">
        <v>196</v>
      </c>
      <c r="B197" s="2" t="inlineStr">
        <is>
          <t>Cờ lê vòng miệng thép KH2-22</t>
        </is>
      </c>
      <c r="C197" s="3" t="inlineStr">
        <is>
          <t>Cờ lê vòng miệng thép KH2-22</t>
        </is>
      </c>
      <c r="D197" s="2" t="inlineStr">
        <is>
          <t>Cái</t>
        </is>
      </c>
      <c r="E197" s="9" t="n">
        <v>86000</v>
      </c>
      <c r="F197" s="3" t="inlineStr">
        <is>
          <t>Sổ chi tiết bán hàng KingBlue</t>
        </is>
      </c>
    </row>
    <row r="198">
      <c r="A198" s="2" t="n">
        <v>197</v>
      </c>
      <c r="B198" s="2" t="inlineStr">
        <is>
          <t>Cờ lê vòng miệng thép KH2-24</t>
        </is>
      </c>
      <c r="C198" s="3" t="inlineStr">
        <is>
          <t>Cờ lê vòng miệng thép KH2-24</t>
        </is>
      </c>
      <c r="D198" s="2" t="inlineStr">
        <is>
          <t>Cái</t>
        </is>
      </c>
      <c r="E198" s="9" t="n">
        <v>97000</v>
      </c>
      <c r="F198" s="3" t="inlineStr">
        <is>
          <t>Sổ chi tiết bán hàng KingBlue</t>
        </is>
      </c>
    </row>
    <row r="199">
      <c r="A199" s="2" t="n">
        <v>198</v>
      </c>
      <c r="B199" s="2" t="inlineStr">
        <is>
          <t>Cờ lê vòng miệng thép KH2-27</t>
        </is>
      </c>
      <c r="C199" s="3" t="inlineStr">
        <is>
          <t>Cờ lê vòng miệng thép KH2-27</t>
        </is>
      </c>
      <c r="D199" s="2" t="inlineStr">
        <is>
          <t>Cái</t>
        </is>
      </c>
      <c r="E199" s="9" t="n">
        <v>128000</v>
      </c>
      <c r="F199" s="3" t="inlineStr">
        <is>
          <t>Sổ chi tiết bán hàng KingBlue</t>
        </is>
      </c>
    </row>
    <row r="200">
      <c r="A200" s="2" t="n">
        <v>199</v>
      </c>
      <c r="B200" s="2" t="inlineStr">
        <is>
          <t>Cờ lê vòng miệng tự động ( càng cua đảo chiều) KH3-08</t>
        </is>
      </c>
      <c r="C200" s="3" t="inlineStr">
        <is>
          <t>Cờ lê vòng miệng tự động ( càng cua đảo chiều) KH3-08</t>
        </is>
      </c>
      <c r="D200" s="2" t="inlineStr">
        <is>
          <t>Cái</t>
        </is>
      </c>
      <c r="E200" s="9" t="n">
        <v>54000</v>
      </c>
      <c r="F200" s="3" t="inlineStr">
        <is>
          <t>Sổ chi tiết bán hàng KingBlue</t>
        </is>
      </c>
    </row>
    <row r="201">
      <c r="A201" s="2" t="n">
        <v>200</v>
      </c>
      <c r="B201" s="2" t="inlineStr">
        <is>
          <t>Cờ lê vòng miệng tự động ( càng cua đảo chiều) KH3-10</t>
        </is>
      </c>
      <c r="C201" s="3" t="inlineStr">
        <is>
          <t>Cờ lê vòng miệng tự động ( càng cua đảo chiều) KH3-10</t>
        </is>
      </c>
      <c r="D201" s="2" t="inlineStr">
        <is>
          <t>Cái</t>
        </is>
      </c>
      <c r="E201" s="9" t="n">
        <v>86000</v>
      </c>
      <c r="F201" s="3" t="inlineStr">
        <is>
          <t>Sổ chi tiết bán hàng KingBlue</t>
        </is>
      </c>
    </row>
    <row r="202">
      <c r="A202" s="2" t="n">
        <v>201</v>
      </c>
      <c r="B202" s="2" t="inlineStr">
        <is>
          <t>Cờ lê vòng miệng tự động ( càng cua đảo chiều) KH3-12</t>
        </is>
      </c>
      <c r="C202" s="3" t="inlineStr">
        <is>
          <t>Cờ lê vòng miệng tự động ( càng cua đảo chiều) KH3-12</t>
        </is>
      </c>
      <c r="D202" s="2" t="inlineStr">
        <is>
          <t>Cái</t>
        </is>
      </c>
      <c r="E202" s="9" t="n">
        <v>70000</v>
      </c>
      <c r="F202" s="3" t="inlineStr">
        <is>
          <t>Sổ chi tiết bán hàng KingBlue</t>
        </is>
      </c>
    </row>
    <row r="203">
      <c r="A203" s="2" t="n">
        <v>202</v>
      </c>
      <c r="B203" s="2" t="inlineStr">
        <is>
          <t>Cờ lê vòng miệng tự động ( càng cua đảo chiều) KH3-13</t>
        </is>
      </c>
      <c r="C203" s="3" t="inlineStr">
        <is>
          <t>Cờ lê vòng miệng tự động ( càng cua đảo chiều) KH3-13</t>
        </is>
      </c>
      <c r="D203" s="2" t="inlineStr">
        <is>
          <t>Cái</t>
        </is>
      </c>
      <c r="E203" s="9" t="n">
        <v>105000</v>
      </c>
      <c r="F203" s="3" t="inlineStr">
        <is>
          <t>Sổ chi tiết bán hàng KingBlue</t>
        </is>
      </c>
    </row>
    <row r="204">
      <c r="A204" s="2" t="n">
        <v>203</v>
      </c>
      <c r="B204" s="2" t="inlineStr">
        <is>
          <t>Cờ lê vòng miệng tự động ( càng cua đảo chiều) KH3-14</t>
        </is>
      </c>
      <c r="C204" s="3" t="inlineStr">
        <is>
          <t>Cờ lê vòng miệng tự động ( càng cua đảo chiều) KH3-14</t>
        </is>
      </c>
      <c r="D204" s="2" t="inlineStr">
        <is>
          <t>Cái</t>
        </is>
      </c>
      <c r="E204" s="9" t="n">
        <v>79000</v>
      </c>
      <c r="F204" s="3" t="inlineStr">
        <is>
          <t>Sổ chi tiết bán hàng KingBlue</t>
        </is>
      </c>
    </row>
    <row r="205">
      <c r="A205" s="2" t="n">
        <v>204</v>
      </c>
      <c r="B205" s="2" t="inlineStr">
        <is>
          <t>Cờ lê vòng miệng tự động ( càng cua đảo chiều) KH3-17</t>
        </is>
      </c>
      <c r="C205" s="3" t="inlineStr">
        <is>
          <t>Cờ lê vòng miệng tự động ( càng cua đảo chiều) KH3-17</t>
        </is>
      </c>
      <c r="D205" s="2" t="inlineStr">
        <is>
          <t>Cái</t>
        </is>
      </c>
      <c r="E205" s="9" t="n">
        <v>135000</v>
      </c>
      <c r="F205" s="3" t="inlineStr">
        <is>
          <t>Sổ chi tiết bán hàng KingBlue</t>
        </is>
      </c>
    </row>
    <row r="206">
      <c r="A206" s="2" t="n">
        <v>205</v>
      </c>
      <c r="B206" s="2" t="inlineStr">
        <is>
          <t>Cờ lê vòng miệng tự động ( càng cua đảo chiều) KH3-19</t>
        </is>
      </c>
      <c r="C206" s="3" t="inlineStr">
        <is>
          <t>Cờ lê vòng miệng tự động ( càng cua đảo chiều) KH3-19</t>
        </is>
      </c>
      <c r="D206" s="2" t="inlineStr">
        <is>
          <t>Cái</t>
        </is>
      </c>
      <c r="E206" s="9" t="n">
        <v>151000</v>
      </c>
      <c r="F206" s="3" t="inlineStr">
        <is>
          <t>Sổ chi tiết bán hàng KingBlue</t>
        </is>
      </c>
    </row>
    <row r="207">
      <c r="A207" s="2" t="n">
        <v>206</v>
      </c>
      <c r="B207" s="2" t="inlineStr">
        <is>
          <t>D1-107x1.2 (hộp sắt)</t>
        </is>
      </c>
      <c r="C207" s="3" t="inlineStr">
        <is>
          <t>D1-107x1.2 (hộp sắt)</t>
        </is>
      </c>
      <c r="D207" s="2" t="inlineStr">
        <is>
          <t>Cái</t>
        </is>
      </c>
      <c r="E207" s="9" t="n">
        <v>5300</v>
      </c>
      <c r="F207" s="3" t="inlineStr">
        <is>
          <t>Sổ chi tiết bán hàng KingBlue</t>
        </is>
      </c>
    </row>
    <row r="208">
      <c r="A208" s="2" t="n">
        <v>207</v>
      </c>
      <c r="B208" s="2" t="inlineStr">
        <is>
          <t>D1-125x1.6</t>
        </is>
      </c>
      <c r="C208" s="3" t="inlineStr">
        <is>
          <t>D1-125x1.6</t>
        </is>
      </c>
      <c r="D208" s="2" t="inlineStr">
        <is>
          <t>Cái</t>
        </is>
      </c>
      <c r="E208" s="9" t="n">
        <v>10900</v>
      </c>
      <c r="F208" s="3" t="inlineStr">
        <is>
          <t>Sổ chi tiết bán hàng KingBlue</t>
        </is>
      </c>
    </row>
    <row r="209">
      <c r="A209" s="2" t="n">
        <v>208</v>
      </c>
      <c r="B209" s="2" t="inlineStr">
        <is>
          <t>D10M_I1500</t>
        </is>
      </c>
      <c r="C209" s="3" t="inlineStr">
        <is>
          <t>D10M_I1500</t>
        </is>
      </c>
      <c r="D209" s="2" t="inlineStr">
        <is>
          <t>Cái</t>
        </is>
      </c>
      <c r="E209" s="9" t="n">
        <v>320000</v>
      </c>
      <c r="F209" s="3" t="inlineStr">
        <is>
          <t>Sổ chi tiết bán hàng KingBlue</t>
        </is>
      </c>
    </row>
    <row r="210">
      <c r="A210" s="2" t="n">
        <v>209</v>
      </c>
      <c r="B210" s="2" t="inlineStr">
        <is>
          <t>D3-100x6.0</t>
        </is>
      </c>
      <c r="C210" s="3" t="inlineStr">
        <is>
          <t>D3-100x6.0</t>
        </is>
      </c>
      <c r="D210" s="2" t="inlineStr">
        <is>
          <t>Cái</t>
        </is>
      </c>
      <c r="E210" s="9" t="n">
        <v>14000</v>
      </c>
      <c r="F210" s="3" t="inlineStr">
        <is>
          <t>Sổ chi tiết bán hàng KingBlue</t>
        </is>
      </c>
    </row>
    <row r="211">
      <c r="A211" s="2" t="n">
        <v>210</v>
      </c>
      <c r="B211" s="2" t="inlineStr">
        <is>
          <t>D3-103x2.8</t>
        </is>
      </c>
      <c r="C211" s="3" t="inlineStr">
        <is>
          <t>D3-103x2.8</t>
        </is>
      </c>
      <c r="D211" s="2" t="inlineStr">
        <is>
          <t>Cái</t>
        </is>
      </c>
      <c r="E211" s="9" t="n">
        <v>8300</v>
      </c>
      <c r="F211" s="3" t="inlineStr">
        <is>
          <t>Sổ chi tiết bán hàng KingBlue</t>
        </is>
      </c>
    </row>
    <row r="212">
      <c r="A212" s="2" t="n">
        <v>211</v>
      </c>
      <c r="B212" s="2" t="inlineStr">
        <is>
          <t>D3-107x1.2 (hộp sắt)</t>
        </is>
      </c>
      <c r="C212" s="3" t="inlineStr">
        <is>
          <t>D3-107x1.2 (hộp sắt)</t>
        </is>
      </c>
      <c r="D212" s="2" t="inlineStr">
        <is>
          <t>Cái</t>
        </is>
      </c>
      <c r="E212" s="9" t="n">
        <v>6600</v>
      </c>
      <c r="F212" s="3" t="inlineStr">
        <is>
          <t>Sổ chi tiết bán hàng KingBlue</t>
        </is>
      </c>
    </row>
    <row r="213">
      <c r="A213" s="2" t="n">
        <v>212</v>
      </c>
      <c r="B213" s="2" t="inlineStr">
        <is>
          <t>D3-125x1.8</t>
        </is>
      </c>
      <c r="C213" s="3" t="inlineStr">
        <is>
          <t>D3-125x1.8</t>
        </is>
      </c>
      <c r="D213" s="2" t="inlineStr">
        <is>
          <t>Cái</t>
        </is>
      </c>
      <c r="E213" s="9" t="n">
        <v>8800</v>
      </c>
      <c r="F213" s="3" t="inlineStr">
        <is>
          <t>Sổ chi tiết bán hàng KingBlue</t>
        </is>
      </c>
    </row>
    <row r="214">
      <c r="A214" s="2" t="n">
        <v>213</v>
      </c>
      <c r="B214" s="2" t="inlineStr">
        <is>
          <t>D3-125x6.0</t>
        </is>
      </c>
      <c r="C214" s="3" t="inlineStr">
        <is>
          <t>D3-125x6.0</t>
        </is>
      </c>
      <c r="D214" s="2" t="inlineStr">
        <is>
          <t>Cái</t>
        </is>
      </c>
      <c r="E214" s="9" t="n">
        <v>18000</v>
      </c>
      <c r="F214" s="3" t="inlineStr">
        <is>
          <t>Sổ chi tiết bán hàng KingBlue</t>
        </is>
      </c>
    </row>
    <row r="215">
      <c r="A215" s="2" t="n">
        <v>214</v>
      </c>
      <c r="B215" s="2" t="inlineStr">
        <is>
          <t>D3-150x2.0</t>
        </is>
      </c>
      <c r="C215" s="3" t="inlineStr">
        <is>
          <t>D3-150x2.0</t>
        </is>
      </c>
      <c r="D215" s="2" t="inlineStr">
        <is>
          <t>Cái</t>
        </is>
      </c>
      <c r="E215" s="9" t="n">
        <v>21000</v>
      </c>
      <c r="F215" s="3" t="inlineStr">
        <is>
          <t>Sổ chi tiết bán hàng KingBlue</t>
        </is>
      </c>
    </row>
    <row r="216">
      <c r="A216" s="2" t="n">
        <v>215</v>
      </c>
      <c r="B216" s="2" t="inlineStr">
        <is>
          <t>D3-180x2.0</t>
        </is>
      </c>
      <c r="C216" s="3" t="inlineStr">
        <is>
          <t>D3-180x2.0</t>
        </is>
      </c>
      <c r="D216" s="2" t="inlineStr">
        <is>
          <t>Cái</t>
        </is>
      </c>
      <c r="E216" s="9" t="n">
        <v>28400</v>
      </c>
      <c r="F216" s="3" t="inlineStr">
        <is>
          <t>Sổ chi tiết bán hàng KingBlue</t>
        </is>
      </c>
    </row>
    <row r="217">
      <c r="A217" s="2" t="n">
        <v>216</v>
      </c>
      <c r="B217" s="2" t="inlineStr">
        <is>
          <t>D3-300x2.8S</t>
        </is>
      </c>
      <c r="C217" s="3" t="inlineStr">
        <is>
          <t>D3-300x2.8S</t>
        </is>
      </c>
      <c r="D217" s="2" t="inlineStr">
        <is>
          <t>Cái</t>
        </is>
      </c>
      <c r="E217" s="9" t="n">
        <v>44100</v>
      </c>
      <c r="F217" s="3" t="inlineStr">
        <is>
          <t>Sổ chi tiết bán hàng KingBlue</t>
        </is>
      </c>
    </row>
    <row r="218">
      <c r="A218" s="2" t="n">
        <v>217</v>
      </c>
      <c r="B218" s="2" t="inlineStr">
        <is>
          <t>D3-350x3.0S</t>
        </is>
      </c>
      <c r="C218" s="3" t="inlineStr">
        <is>
          <t>D3-350x3.0S</t>
        </is>
      </c>
      <c r="D218" s="2" t="inlineStr">
        <is>
          <t>Cái</t>
        </is>
      </c>
      <c r="E218" s="9" t="n">
        <v>50500</v>
      </c>
      <c r="F218" s="3" t="inlineStr">
        <is>
          <t>Sổ chi tiết bán hàng KingBlue</t>
        </is>
      </c>
    </row>
    <row r="219">
      <c r="A219" s="2" t="n">
        <v>218</v>
      </c>
      <c r="B219" s="2" t="inlineStr">
        <is>
          <t>D3-400x3.0S</t>
        </is>
      </c>
      <c r="C219" s="3" t="inlineStr">
        <is>
          <t>D3-400x3.0S</t>
        </is>
      </c>
      <c r="D219" s="2" t="inlineStr">
        <is>
          <t>Cái</t>
        </is>
      </c>
      <c r="E219" s="9" t="n">
        <v>61000</v>
      </c>
      <c r="F219" s="3" t="inlineStr">
        <is>
          <t>Sổ chi tiết bán hàng KingBlue</t>
        </is>
      </c>
    </row>
    <row r="220">
      <c r="A220" s="2" t="n">
        <v>219</v>
      </c>
      <c r="B220" s="2" t="inlineStr">
        <is>
          <t>D4-107x1.2</t>
        </is>
      </c>
      <c r="C220" s="3" t="inlineStr">
        <is>
          <t>D4-107x1.2</t>
        </is>
      </c>
      <c r="D220" s="2" t="inlineStr">
        <is>
          <t>Cái</t>
        </is>
      </c>
      <c r="E220" s="9" t="n">
        <v>5300</v>
      </c>
      <c r="F220" s="3" t="inlineStr">
        <is>
          <t>Sổ chi tiết bán hàng KingBlue</t>
        </is>
      </c>
    </row>
    <row r="221">
      <c r="A221" s="2" t="n">
        <v>220</v>
      </c>
      <c r="B221" s="2" t="inlineStr">
        <is>
          <t>D4-350x3.0</t>
        </is>
      </c>
      <c r="C221" s="3" t="inlineStr">
        <is>
          <t>D4-350x3.0</t>
        </is>
      </c>
      <c r="D221" s="2" t="inlineStr">
        <is>
          <t>Cái</t>
        </is>
      </c>
      <c r="E221" s="9" t="n">
        <v>39000</v>
      </c>
      <c r="F221" s="3" t="inlineStr">
        <is>
          <t>Sổ chi tiết bán hàng KingBlue</t>
        </is>
      </c>
    </row>
    <row r="222">
      <c r="A222" s="2" t="n">
        <v>221</v>
      </c>
      <c r="B222" s="2" t="inlineStr">
        <is>
          <t>D4212</t>
        </is>
      </c>
      <c r="C222" s="3" t="inlineStr">
        <is>
          <t>D4212</t>
        </is>
      </c>
      <c r="D222" s="2" t="inlineStr">
        <is>
          <t>Cái</t>
        </is>
      </c>
      <c r="E222" s="9" t="n">
        <v>44000</v>
      </c>
      <c r="F222" s="3" t="inlineStr">
        <is>
          <t>Sổ chi tiết bán hàng KingBlue</t>
        </is>
      </c>
    </row>
    <row r="223">
      <c r="A223" s="2" t="n">
        <v>222</v>
      </c>
      <c r="B223" s="2" t="inlineStr">
        <is>
          <t>DLG-M22</t>
        </is>
      </c>
      <c r="C223" s="3" t="inlineStr">
        <is>
          <t>DLG-M22</t>
        </is>
      </c>
      <c r="D223" s="2" t="inlineStr">
        <is>
          <t>Cái</t>
        </is>
      </c>
      <c r="E223" s="9" t="n">
        <v>34000</v>
      </c>
      <c r="F223" s="3" t="inlineStr">
        <is>
          <t>Sổ chi tiết bán hàng KingBlue</t>
        </is>
      </c>
    </row>
    <row r="224">
      <c r="A224" s="2" t="n">
        <v>223</v>
      </c>
      <c r="B224" s="2" t="inlineStr">
        <is>
          <t>DTD310</t>
        </is>
      </c>
      <c r="C224" s="3" t="inlineStr">
        <is>
          <t>DTD310</t>
        </is>
      </c>
      <c r="D224" s="2" t="inlineStr">
        <is>
          <t>Cái</t>
        </is>
      </c>
      <c r="E224" s="9" t="n">
        <v>100000</v>
      </c>
      <c r="F224" s="3" t="inlineStr">
        <is>
          <t>Sổ chi tiết bán hàng KingBlue</t>
        </is>
      </c>
    </row>
    <row r="225">
      <c r="A225" s="2" t="n">
        <v>224</v>
      </c>
      <c r="B225" s="2" t="inlineStr">
        <is>
          <t>Dao cắt ống kim loại KPG-032</t>
        </is>
      </c>
      <c r="C225" s="3" t="inlineStr">
        <is>
          <t>Dao cắt ống kim loại KPG-032</t>
        </is>
      </c>
      <c r="D225" s="2" t="inlineStr">
        <is>
          <t>Cái</t>
        </is>
      </c>
      <c r="E225" s="9" t="n">
        <v>303000</v>
      </c>
      <c r="F225" s="3" t="inlineStr">
        <is>
          <t>Sổ chi tiết bán hàng KingBlue</t>
        </is>
      </c>
    </row>
    <row r="226">
      <c r="A226" s="2" t="n">
        <v>225</v>
      </c>
      <c r="B226" s="2" t="inlineStr">
        <is>
          <t>Dao cắt ống đồng KPG-022</t>
        </is>
      </c>
      <c r="C226" s="3" t="inlineStr">
        <is>
          <t>Dao cắt ống đồng KPG-022</t>
        </is>
      </c>
      <c r="D226" s="2" t="inlineStr">
        <is>
          <t>Cái</t>
        </is>
      </c>
      <c r="E226" s="9" t="n">
        <v>319000</v>
      </c>
      <c r="F226" s="3" t="inlineStr">
        <is>
          <t>Sổ chi tiết bán hàng KingBlue</t>
        </is>
      </c>
    </row>
    <row r="227">
      <c r="A227" s="2" t="n">
        <v>226</v>
      </c>
      <c r="B227" s="2" t="inlineStr">
        <is>
          <t>Dao cắt ống đồng KPG-042</t>
        </is>
      </c>
      <c r="C227" s="3" t="inlineStr">
        <is>
          <t>Dao cắt ống đồng KPG-042</t>
        </is>
      </c>
      <c r="D227" s="2" t="inlineStr">
        <is>
          <t>Cái</t>
        </is>
      </c>
      <c r="E227" s="9" t="n">
        <v>270000</v>
      </c>
      <c r="F227" s="3" t="inlineStr">
        <is>
          <t>Sổ chi tiết bán hàng KingBlue</t>
        </is>
      </c>
    </row>
    <row r="228">
      <c r="A228" s="2" t="n">
        <v>227</v>
      </c>
      <c r="B228" s="2" t="inlineStr">
        <is>
          <t>Dao rọc cáp đa năng KJH-04</t>
        </is>
      </c>
      <c r="C228" s="3" t="inlineStr">
        <is>
          <t>Dao rọc cáp đa năng KJH-04</t>
        </is>
      </c>
      <c r="D228" s="2" t="inlineStr">
        <is>
          <t>Cái</t>
        </is>
      </c>
      <c r="E228" s="9" t="n">
        <v>164000</v>
      </c>
      <c r="F228" s="3" t="inlineStr">
        <is>
          <t>Sổ chi tiết bán hàng KingBlue</t>
        </is>
      </c>
    </row>
    <row r="229">
      <c r="A229" s="2" t="n">
        <v>228</v>
      </c>
      <c r="B229" s="2" t="inlineStr">
        <is>
          <t>Dao rọc cáp đa năng KJH-05</t>
        </is>
      </c>
      <c r="C229" s="3" t="inlineStr">
        <is>
          <t>Dao rọc cáp đa năng KJH-05</t>
        </is>
      </c>
      <c r="D229" s="2" t="inlineStr">
        <is>
          <t>Cái</t>
        </is>
      </c>
      <c r="E229" s="9" t="n">
        <v>161000</v>
      </c>
      <c r="F229" s="3" t="inlineStr">
        <is>
          <t>Sổ chi tiết bán hàng KingBlue</t>
        </is>
      </c>
    </row>
    <row r="230">
      <c r="A230" s="2" t="n">
        <v>229</v>
      </c>
      <c r="B230" s="2" t="inlineStr">
        <is>
          <t>Dao rọc cáp đa năng KJH-06</t>
        </is>
      </c>
      <c r="C230" s="3" t="inlineStr">
        <is>
          <t>Dao rọc cáp đa năng KJH-06</t>
        </is>
      </c>
      <c r="D230" s="2" t="inlineStr">
        <is>
          <t>Cái</t>
        </is>
      </c>
      <c r="E230" s="9" t="n">
        <v>196000</v>
      </c>
      <c r="F230" s="3" t="inlineStr">
        <is>
          <t>Sổ chi tiết bán hàng KingBlue</t>
        </is>
      </c>
    </row>
    <row r="231">
      <c r="A231" s="2" t="n">
        <v>230</v>
      </c>
      <c r="B231" s="2" t="inlineStr">
        <is>
          <t>Dao rọc giấy KJH-01</t>
        </is>
      </c>
      <c r="C231" s="3" t="inlineStr">
        <is>
          <t>Dao rọc giấy KJH-01</t>
        </is>
      </c>
      <c r="D231" s="2" t="inlineStr">
        <is>
          <t>Cái</t>
        </is>
      </c>
      <c r="E231" s="9" t="n">
        <v>30000</v>
      </c>
      <c r="F231" s="3" t="inlineStr">
        <is>
          <t>Sổ chi tiết bán hàng KingBlue</t>
        </is>
      </c>
    </row>
    <row r="232">
      <c r="A232" s="2" t="n">
        <v>231</v>
      </c>
      <c r="B232" s="2" t="inlineStr">
        <is>
          <t>Dao rọc giấy KJH-02</t>
        </is>
      </c>
      <c r="C232" s="3" t="inlineStr">
        <is>
          <t>Dao rọc giấy KJH-02</t>
        </is>
      </c>
      <c r="D232" s="2" t="inlineStr">
        <is>
          <t>Cái</t>
        </is>
      </c>
      <c r="E232" s="9" t="n">
        <v>28000</v>
      </c>
      <c r="F232" s="3" t="inlineStr">
        <is>
          <t>Sổ chi tiết bán hàng KingBlue</t>
        </is>
      </c>
    </row>
    <row r="233">
      <c r="A233" s="2" t="n">
        <v>232</v>
      </c>
      <c r="B233" s="2" t="inlineStr">
        <is>
          <t>Dao rọc giấy bản nhỏ KJH-A1</t>
        </is>
      </c>
      <c r="C233" s="3" t="inlineStr">
        <is>
          <t>Dao rọc giấy bản nhỏ KJH-A1</t>
        </is>
      </c>
      <c r="D233" s="2" t="inlineStr">
        <is>
          <t>Cái</t>
        </is>
      </c>
      <c r="E233" s="9" t="n">
        <v>10500</v>
      </c>
      <c r="F233" s="3" t="inlineStr">
        <is>
          <t>Sổ chi tiết bán hàng KingBlue</t>
        </is>
      </c>
    </row>
    <row r="234">
      <c r="A234" s="2" t="n">
        <v>233</v>
      </c>
      <c r="B234" s="2" t="inlineStr">
        <is>
          <t>Dây 10,5mm/100m</t>
        </is>
      </c>
      <c r="C234" s="3" t="inlineStr">
        <is>
          <t>Dây 10,5mm/100m</t>
        </is>
      </c>
      <c r="D234" s="2" t="inlineStr">
        <is>
          <t>Cái</t>
        </is>
      </c>
      <c r="E234" s="9" t="n">
        <v>39000</v>
      </c>
      <c r="F234" s="3" t="inlineStr">
        <is>
          <t>Sổ chi tiết bán hàng KingBlue</t>
        </is>
      </c>
    </row>
    <row r="235">
      <c r="A235" s="2" t="n">
        <v>234</v>
      </c>
      <c r="B235" s="2" t="inlineStr">
        <is>
          <t>Dây bố thép 10m - Phụ kiện máy rửa xe KBA-I1500</t>
        </is>
      </c>
      <c r="C235" s="3" t="inlineStr">
        <is>
          <t>Dây bố thép 10m - Phụ kiện máy rửa xe KBA-I1500</t>
        </is>
      </c>
      <c r="D235" s="2" t="inlineStr">
        <is>
          <t>Cái</t>
        </is>
      </c>
      <c r="E235" s="9" t="n">
        <v>320000</v>
      </c>
      <c r="F235" s="3" t="inlineStr">
        <is>
          <t>Sổ chi tiết bán hàng KingBlue</t>
        </is>
      </c>
    </row>
    <row r="236">
      <c r="A236" s="2" t="n">
        <v>235</v>
      </c>
      <c r="B236" s="2" t="inlineStr">
        <is>
          <t>Dụng cụ khò gas mini K54M</t>
        </is>
      </c>
      <c r="C236" s="3" t="inlineStr">
        <is>
          <t>Dụng cụ khò gas mini K54M</t>
        </is>
      </c>
      <c r="D236" s="2" t="inlineStr">
        <is>
          <t>Cái</t>
        </is>
      </c>
      <c r="E236" s="9" t="n">
        <v>264000</v>
      </c>
      <c r="F236" s="3" t="inlineStr">
        <is>
          <t>Sổ chi tiết bán hàng KingBlue</t>
        </is>
      </c>
    </row>
    <row r="237">
      <c r="A237" s="2" t="n">
        <v>236</v>
      </c>
      <c r="B237" s="2" t="inlineStr">
        <is>
          <t>Dụng cụ vát mép (ba via) ống đồng KingBlue, KB-1301</t>
        </is>
      </c>
      <c r="C237" s="3" t="inlineStr">
        <is>
          <t>Dụng cụ vát mép (ba via) ống đồng KingBlue, KB-1301</t>
        </is>
      </c>
      <c r="D237" s="2" t="inlineStr">
        <is>
          <t>Cái</t>
        </is>
      </c>
      <c r="E237" s="9" t="n">
        <v>150000</v>
      </c>
      <c r="F237" s="3" t="inlineStr">
        <is>
          <t>Sổ chi tiết bán hàng KingBlue</t>
        </is>
      </c>
    </row>
    <row r="238">
      <c r="A238" s="2" t="n">
        <v>237</v>
      </c>
      <c r="B238" s="2" t="inlineStr">
        <is>
          <t>E2-110X20</t>
        </is>
      </c>
      <c r="C238" s="3" t="inlineStr">
        <is>
          <t>E2-110X20</t>
        </is>
      </c>
      <c r="D238" s="2" t="inlineStr">
        <is>
          <t>Cái</t>
        </is>
      </c>
      <c r="E238" s="9" t="n">
        <v>65000</v>
      </c>
      <c r="F238" s="3" t="inlineStr">
        <is>
          <t>Sổ chi tiết bán hàng KingBlue</t>
        </is>
      </c>
    </row>
    <row r="239">
      <c r="A239" s="2" t="n">
        <v>238</v>
      </c>
      <c r="B239" s="2" t="inlineStr">
        <is>
          <t>E3-105DN</t>
        </is>
      </c>
      <c r="C239" s="3" t="inlineStr">
        <is>
          <t>E3-105DN</t>
        </is>
      </c>
      <c r="D239" s="2" t="inlineStr">
        <is>
          <t>Cái</t>
        </is>
      </c>
      <c r="E239" s="9" t="n">
        <v>90000</v>
      </c>
      <c r="F239" s="3" t="inlineStr">
        <is>
          <t>Sổ chi tiết bán hàng KingBlue</t>
        </is>
      </c>
    </row>
    <row r="240">
      <c r="A240" s="2" t="n">
        <v>239</v>
      </c>
      <c r="B240" s="2" t="inlineStr">
        <is>
          <t>E3-125DN</t>
        </is>
      </c>
      <c r="C240" s="3" t="inlineStr">
        <is>
          <t>E3-125DN</t>
        </is>
      </c>
      <c r="D240" s="2" t="inlineStr">
        <is>
          <t>Cái</t>
        </is>
      </c>
      <c r="E240" s="9" t="n">
        <v>112000</v>
      </c>
      <c r="F240" s="3" t="inlineStr">
        <is>
          <t>Sổ chi tiết bán hàng KingBlue</t>
        </is>
      </c>
    </row>
    <row r="241">
      <c r="A241" s="2" t="n">
        <v>240</v>
      </c>
      <c r="B241" s="2" t="inlineStr">
        <is>
          <t>ES180i</t>
        </is>
      </c>
      <c r="C241" s="3" t="inlineStr">
        <is>
          <t>ES180i</t>
        </is>
      </c>
      <c r="D241" s="2" t="inlineStr">
        <is>
          <t>Cái</t>
        </is>
      </c>
      <c r="E241" s="9" t="n">
        <v>132000</v>
      </c>
      <c r="F241" s="3" t="inlineStr">
        <is>
          <t>Sổ chi tiết bán hàng KingBlue</t>
        </is>
      </c>
    </row>
    <row r="242">
      <c r="A242" s="2" t="n">
        <v>241</v>
      </c>
      <c r="B242" s="2" t="inlineStr">
        <is>
          <t>ES250</t>
        </is>
      </c>
      <c r="C242" s="3" t="inlineStr">
        <is>
          <t>ES250</t>
        </is>
      </c>
      <c r="D242" s="2" t="inlineStr">
        <is>
          <t>Cái</t>
        </is>
      </c>
      <c r="E242" s="9" t="n">
        <v>176000</v>
      </c>
      <c r="F242" s="3" t="inlineStr">
        <is>
          <t>Sổ chi tiết bán hàng KingBlue</t>
        </is>
      </c>
    </row>
    <row r="243">
      <c r="A243" s="2" t="n">
        <v>242</v>
      </c>
      <c r="B243" s="2" t="inlineStr">
        <is>
          <t>F1-110DN</t>
        </is>
      </c>
      <c r="C243" s="3" t="inlineStr">
        <is>
          <t>F1-110DN</t>
        </is>
      </c>
      <c r="D243" s="2" t="inlineStr">
        <is>
          <t>Cái</t>
        </is>
      </c>
      <c r="E243" s="9" t="n">
        <v>123000</v>
      </c>
      <c r="F243" s="3" t="inlineStr">
        <is>
          <t>Sổ chi tiết bán hàng KingBlue</t>
        </is>
      </c>
    </row>
    <row r="244">
      <c r="A244" s="2" t="n">
        <v>243</v>
      </c>
      <c r="B244" s="2" t="inlineStr">
        <is>
          <t>F1-125DN</t>
        </is>
      </c>
      <c r="C244" s="3" t="inlineStr">
        <is>
          <t>F1-125DN</t>
        </is>
      </c>
      <c r="D244" s="2" t="inlineStr">
        <is>
          <t>Cái</t>
        </is>
      </c>
      <c r="E244" s="9" t="n">
        <v>102000</v>
      </c>
      <c r="F244" s="3" t="inlineStr">
        <is>
          <t>Sổ chi tiết bán hàng KingBlue</t>
        </is>
      </c>
    </row>
    <row r="245">
      <c r="A245" s="2" t="n">
        <v>244</v>
      </c>
      <c r="B245" s="2" t="inlineStr">
        <is>
          <t>F1-150DN</t>
        </is>
      </c>
      <c r="C245" s="3" t="inlineStr">
        <is>
          <t>F1-150DN</t>
        </is>
      </c>
      <c r="D245" s="2" t="inlineStr">
        <is>
          <t>Cái</t>
        </is>
      </c>
      <c r="E245" s="9" t="n">
        <v>175000</v>
      </c>
      <c r="F245" s="3" t="inlineStr">
        <is>
          <t>Sổ chi tiết bán hàng KingBlue</t>
        </is>
      </c>
    </row>
    <row r="246">
      <c r="A246" s="2" t="n">
        <v>245</v>
      </c>
      <c r="B246" s="2" t="inlineStr">
        <is>
          <t>F1-180DN</t>
        </is>
      </c>
      <c r="C246" s="3" t="inlineStr">
        <is>
          <t>F1-180DN</t>
        </is>
      </c>
      <c r="D246" s="2" t="inlineStr">
        <is>
          <t>Cái</t>
        </is>
      </c>
      <c r="E246" s="9" t="n">
        <v>189000</v>
      </c>
      <c r="F246" s="3" t="inlineStr">
        <is>
          <t>Sổ chi tiết bán hàng KingBlue</t>
        </is>
      </c>
    </row>
    <row r="247">
      <c r="A247" s="2" t="n">
        <v>246</v>
      </c>
      <c r="B247" s="2" t="inlineStr">
        <is>
          <t>G1-125R</t>
        </is>
      </c>
      <c r="C247" s="3" t="inlineStr">
        <is>
          <t>G1-125R</t>
        </is>
      </c>
      <c r="D247" s="2" t="inlineStr">
        <is>
          <t>Cái</t>
        </is>
      </c>
      <c r="E247" s="9" t="n">
        <v>79000</v>
      </c>
      <c r="F247" s="3" t="inlineStr">
        <is>
          <t>Sổ chi tiết bán hàng KingBlue</t>
        </is>
      </c>
    </row>
    <row r="248">
      <c r="A248" s="2" t="n">
        <v>247</v>
      </c>
      <c r="B248" s="2" t="inlineStr">
        <is>
          <t>G1-133R</t>
        </is>
      </c>
      <c r="C248" s="3" t="inlineStr">
        <is>
          <t>G1-133R</t>
        </is>
      </c>
      <c r="D248" s="2" t="inlineStr">
        <is>
          <t>Cái</t>
        </is>
      </c>
      <c r="E248" s="9" t="n">
        <v>105000</v>
      </c>
      <c r="F248" s="3" t="inlineStr">
        <is>
          <t>Sổ chi tiết bán hàng KingBlue</t>
        </is>
      </c>
    </row>
    <row r="249">
      <c r="A249" s="2" t="n">
        <v>248</v>
      </c>
      <c r="B249" s="2" t="inlineStr">
        <is>
          <t>G1-156R</t>
        </is>
      </c>
      <c r="C249" s="3" t="inlineStr">
        <is>
          <t>G1-156R</t>
        </is>
      </c>
      <c r="D249" s="2" t="inlineStr">
        <is>
          <t>Cái</t>
        </is>
      </c>
      <c r="E249" s="9" t="n">
        <v>155000</v>
      </c>
      <c r="F249" s="3" t="inlineStr">
        <is>
          <t>Sổ chi tiết bán hàng KingBlue</t>
        </is>
      </c>
    </row>
    <row r="250">
      <c r="A250" s="2" t="n">
        <v>249</v>
      </c>
      <c r="B250" s="2" t="inlineStr">
        <is>
          <t>G1-350R</t>
        </is>
      </c>
      <c r="C250" s="3" t="inlineStr">
        <is>
          <t>G1-350R</t>
        </is>
      </c>
      <c r="D250" s="2" t="inlineStr">
        <is>
          <t>Cái</t>
        </is>
      </c>
      <c r="E250" s="9" t="n">
        <v>525000</v>
      </c>
      <c r="F250" s="3" t="inlineStr">
        <is>
          <t>Sổ chi tiết bán hàng KingBlue</t>
        </is>
      </c>
    </row>
    <row r="251">
      <c r="A251" s="2" t="n">
        <v>250</v>
      </c>
      <c r="B251" s="2" t="inlineStr">
        <is>
          <t>G1-400R</t>
        </is>
      </c>
      <c r="C251" s="3" t="inlineStr">
        <is>
          <t>G1-400R</t>
        </is>
      </c>
      <c r="D251" s="2" t="inlineStr">
        <is>
          <t>Cái</t>
        </is>
      </c>
      <c r="E251" s="9" t="n">
        <v>758000</v>
      </c>
      <c r="F251" s="3" t="inlineStr">
        <is>
          <t>Sổ chi tiết bán hàng KingBlue</t>
        </is>
      </c>
    </row>
    <row r="252">
      <c r="A252" s="2" t="n">
        <v>251</v>
      </c>
      <c r="B252" s="2" t="inlineStr">
        <is>
          <t>G3-300R</t>
        </is>
      </c>
      <c r="C252" s="3" t="inlineStr">
        <is>
          <t>G3-300R</t>
        </is>
      </c>
      <c r="D252" s="2" t="inlineStr">
        <is>
          <t>Cái</t>
        </is>
      </c>
      <c r="E252" s="9" t="n">
        <v>898000</v>
      </c>
      <c r="F252" s="3" t="inlineStr">
        <is>
          <t>Sổ chi tiết bán hàng KingBlue</t>
        </is>
      </c>
    </row>
    <row r="253">
      <c r="A253" s="2" t="n">
        <v>252</v>
      </c>
      <c r="B253" s="2" t="inlineStr">
        <is>
          <t>G3-450R</t>
        </is>
      </c>
      <c r="C253" s="3" t="inlineStr">
        <is>
          <t>G3-450R</t>
        </is>
      </c>
      <c r="D253" s="2" t="inlineStr">
        <is>
          <t>Cái</t>
        </is>
      </c>
      <c r="E253" s="9" t="n">
        <v>1744000</v>
      </c>
      <c r="F253" s="3" t="inlineStr">
        <is>
          <t>Sổ chi tiết bán hàng KingBlue</t>
        </is>
      </c>
    </row>
    <row r="254">
      <c r="A254" s="2" t="n">
        <v>253</v>
      </c>
      <c r="B254" s="2" t="inlineStr">
        <is>
          <t>G3-500R</t>
        </is>
      </c>
      <c r="C254" s="3" t="inlineStr">
        <is>
          <t>G3-500R</t>
        </is>
      </c>
      <c r="D254" s="2" t="inlineStr">
        <is>
          <t>Cái</t>
        </is>
      </c>
      <c r="E254" s="9" t="n">
        <v>2350000</v>
      </c>
      <c r="F254" s="3" t="inlineStr">
        <is>
          <t>Sổ chi tiết bán hàng KingBlue</t>
        </is>
      </c>
    </row>
    <row r="255">
      <c r="A255" s="2" t="n">
        <v>254</v>
      </c>
      <c r="B255" s="2" t="inlineStr">
        <is>
          <t>GT-110L</t>
        </is>
      </c>
      <c r="C255" s="3" t="inlineStr">
        <is>
          <t>GT-110L</t>
        </is>
      </c>
      <c r="D255" s="2" t="inlineStr">
        <is>
          <t>Cái</t>
        </is>
      </c>
      <c r="E255" s="9" t="n">
        <v>65000</v>
      </c>
      <c r="F255" s="3" t="inlineStr">
        <is>
          <t>Sổ chi tiết bán hàng KingBlue</t>
        </is>
      </c>
    </row>
    <row r="256">
      <c r="A256" s="2" t="n">
        <v>255</v>
      </c>
      <c r="B256" s="2" t="inlineStr">
        <is>
          <t>GT-110R</t>
        </is>
      </c>
      <c r="C256" s="3" t="inlineStr">
        <is>
          <t>GT-110R</t>
        </is>
      </c>
      <c r="D256" s="2" t="inlineStr">
        <is>
          <t>Cái</t>
        </is>
      </c>
      <c r="E256" s="9" t="n">
        <v>65000</v>
      </c>
      <c r="F256" s="3" t="inlineStr">
        <is>
          <t>Sổ chi tiết bán hàng KingBlue</t>
        </is>
      </c>
    </row>
    <row r="257">
      <c r="A257" s="2" t="n">
        <v>256</v>
      </c>
      <c r="B257" s="2" t="inlineStr">
        <is>
          <t>GT-230R</t>
        </is>
      </c>
      <c r="C257" s="3" t="inlineStr">
        <is>
          <t>GT-230R</t>
        </is>
      </c>
      <c r="D257" s="2" t="inlineStr">
        <is>
          <t>Cái</t>
        </is>
      </c>
      <c r="E257" s="9" t="n">
        <v>225000</v>
      </c>
      <c r="F257" s="3" t="inlineStr">
        <is>
          <t>Sổ chi tiết bán hàng KingBlue</t>
        </is>
      </c>
    </row>
    <row r="258">
      <c r="A258" s="2" t="n">
        <v>257</v>
      </c>
      <c r="B258" s="2" t="inlineStr">
        <is>
          <t>Ghim KFG-1.2/8/11.3</t>
        </is>
      </c>
      <c r="C258" s="3" t="inlineStr">
        <is>
          <t>Ghim KFG-1.2/8/11.3</t>
        </is>
      </c>
      <c r="D258" s="2" t="inlineStr">
        <is>
          <t>Cái</t>
        </is>
      </c>
      <c r="E258" s="9" t="n">
        <v>66000</v>
      </c>
      <c r="F258" s="3" t="inlineStr">
        <is>
          <t>Sổ chi tiết bán hàng KingBlue</t>
        </is>
      </c>
    </row>
    <row r="259">
      <c r="A259" s="2" t="n">
        <v>258</v>
      </c>
      <c r="B259" s="2" t="inlineStr">
        <is>
          <t>Ghim KFG-13/6</t>
        </is>
      </c>
      <c r="C259" s="3" t="inlineStr">
        <is>
          <t>Ghim KFG-13/6</t>
        </is>
      </c>
      <c r="D259" s="2" t="inlineStr">
        <is>
          <t>Cái</t>
        </is>
      </c>
      <c r="E259" s="9" t="n">
        <v>34000</v>
      </c>
      <c r="F259" s="3" t="inlineStr">
        <is>
          <t>Sổ chi tiết bán hàng KingBlue</t>
        </is>
      </c>
    </row>
    <row r="260">
      <c r="A260" s="2" t="n">
        <v>259</v>
      </c>
      <c r="B260" s="2" t="inlineStr">
        <is>
          <t>Ghim KFG-16/6</t>
        </is>
      </c>
      <c r="C260" s="3" t="inlineStr">
        <is>
          <t>Ghim KFG-16/6</t>
        </is>
      </c>
      <c r="D260" s="2" t="inlineStr">
        <is>
          <t>Cái</t>
        </is>
      </c>
      <c r="E260" s="9" t="n">
        <v>27000</v>
      </c>
      <c r="F260" s="3" t="inlineStr">
        <is>
          <t>Sổ chi tiết bán hàng KingBlue</t>
        </is>
      </c>
    </row>
    <row r="261">
      <c r="A261" s="2" t="n">
        <v>260</v>
      </c>
      <c r="B261" s="2" t="inlineStr">
        <is>
          <t>Ghim KFG-16/8</t>
        </is>
      </c>
      <c r="C261" s="3" t="inlineStr">
        <is>
          <t>Ghim KFG-16/8</t>
        </is>
      </c>
      <c r="D261" s="2" t="inlineStr">
        <is>
          <t>Cái</t>
        </is>
      </c>
      <c r="E261" s="9" t="n">
        <v>43000</v>
      </c>
      <c r="F261" s="3" t="inlineStr">
        <is>
          <t>Sổ chi tiết bán hàng KingBlue</t>
        </is>
      </c>
    </row>
    <row r="262">
      <c r="A262" s="2" t="n">
        <v>261</v>
      </c>
      <c r="B262" s="2" t="inlineStr">
        <is>
          <t>H4212</t>
        </is>
      </c>
      <c r="C262" s="3" t="inlineStr">
        <is>
          <t>H4212</t>
        </is>
      </c>
      <c r="D262" s="2" t="inlineStr">
        <is>
          <t>Cái</t>
        </is>
      </c>
      <c r="E262" s="9" t="n">
        <v>66000</v>
      </c>
      <c r="F262" s="3" t="inlineStr">
        <is>
          <t>Sổ chi tiết bán hàng KingBlue</t>
        </is>
      </c>
    </row>
    <row r="263">
      <c r="A263" s="2" t="n">
        <v>262</v>
      </c>
      <c r="B263" s="2" t="inlineStr">
        <is>
          <t>HK1-50</t>
        </is>
      </c>
      <c r="C263" s="3" t="inlineStr">
        <is>
          <t>HK1-50</t>
        </is>
      </c>
      <c r="D263" s="2" t="inlineStr">
        <is>
          <t>Cái</t>
        </is>
      </c>
      <c r="E263" s="9" t="n">
        <v>226000</v>
      </c>
      <c r="F263" s="3" t="inlineStr">
        <is>
          <t>Sổ chi tiết bán hàng KingBlue</t>
        </is>
      </c>
    </row>
    <row r="264">
      <c r="A264" s="2" t="n">
        <v>263</v>
      </c>
      <c r="B264" s="2" t="inlineStr">
        <is>
          <t>HK2-118</t>
        </is>
      </c>
      <c r="C264" s="3" t="inlineStr">
        <is>
          <t>HK2-118</t>
        </is>
      </c>
      <c r="D264" s="2" t="inlineStr">
        <is>
          <t>Cái</t>
        </is>
      </c>
      <c r="E264" s="9" t="n">
        <v>505000</v>
      </c>
      <c r="F264" s="3" t="inlineStr">
        <is>
          <t>Sổ chi tiết bán hàng KingBlue</t>
        </is>
      </c>
    </row>
    <row r="265">
      <c r="A265" s="2" t="n">
        <v>264</v>
      </c>
      <c r="B265" s="2" t="inlineStr">
        <is>
          <t>HK2-130</t>
        </is>
      </c>
      <c r="C265" s="3" t="inlineStr">
        <is>
          <t>HK2-130</t>
        </is>
      </c>
      <c r="D265" s="2" t="inlineStr">
        <is>
          <t>Cái</t>
        </is>
      </c>
      <c r="E265" s="9" t="n">
        <v>336000</v>
      </c>
      <c r="F265" s="3" t="inlineStr">
        <is>
          <t>Sổ chi tiết bán hàng KingBlue</t>
        </is>
      </c>
    </row>
    <row r="266">
      <c r="A266" s="2" t="n">
        <v>265</v>
      </c>
      <c r="B266" s="2" t="inlineStr">
        <is>
          <t>HKE-200</t>
        </is>
      </c>
      <c r="C266" s="3" t="inlineStr">
        <is>
          <t>HKE-200</t>
        </is>
      </c>
      <c r="D266" s="2" t="inlineStr">
        <is>
          <t>Cái</t>
        </is>
      </c>
      <c r="E266" s="9" t="n">
        <v>671000</v>
      </c>
      <c r="F266" s="3" t="inlineStr">
        <is>
          <t>Sổ chi tiết bán hàng KingBlue</t>
        </is>
      </c>
    </row>
    <row r="267">
      <c r="A267" s="2" t="n">
        <v>266</v>
      </c>
      <c r="B267" s="2" t="inlineStr">
        <is>
          <t>HSS-M42A-300x1.6</t>
        </is>
      </c>
      <c r="C267" s="3" t="inlineStr">
        <is>
          <t>HSS-M42A-300x1.6</t>
        </is>
      </c>
      <c r="D267" s="2" t="inlineStr">
        <is>
          <t>Cái</t>
        </is>
      </c>
      <c r="E267" s="9" t="n">
        <v>1960000</v>
      </c>
      <c r="F267" s="3" t="inlineStr">
        <is>
          <t>Sổ chi tiết bán hàng KingBlue</t>
        </is>
      </c>
    </row>
    <row r="268">
      <c r="A268" s="2" t="n">
        <v>267</v>
      </c>
      <c r="B268" s="2" t="inlineStr">
        <is>
          <t>HSS-M42A-350x2.0</t>
        </is>
      </c>
      <c r="C268" s="3" t="inlineStr">
        <is>
          <t>HSS-M42A-350x2.0</t>
        </is>
      </c>
      <c r="D268" s="2" t="inlineStr">
        <is>
          <t>Cái</t>
        </is>
      </c>
      <c r="E268" s="9" t="n">
        <v>2844000</v>
      </c>
      <c r="F268" s="3" t="inlineStr">
        <is>
          <t>Sổ chi tiết bán hàng KingBlue</t>
        </is>
      </c>
    </row>
    <row r="269">
      <c r="A269" s="2" t="n">
        <v>268</v>
      </c>
      <c r="B269" s="2" t="inlineStr">
        <is>
          <t>HSS-M42A-400x2.5</t>
        </is>
      </c>
      <c r="C269" s="3" t="inlineStr">
        <is>
          <t>HSS-M42A-400x2.5</t>
        </is>
      </c>
      <c r="D269" s="2" t="inlineStr">
        <is>
          <t>Cái</t>
        </is>
      </c>
      <c r="E269" s="9" t="n">
        <v>4026000</v>
      </c>
      <c r="F269" s="3" t="inlineStr">
        <is>
          <t>Sổ chi tiết bán hàng KingBlue</t>
        </is>
      </c>
    </row>
    <row r="270">
      <c r="A270" s="2" t="n">
        <v>269</v>
      </c>
      <c r="B270" s="2" t="inlineStr">
        <is>
          <t>Hít kính HK1-50</t>
        </is>
      </c>
      <c r="C270" s="3" t="inlineStr">
        <is>
          <t>Hít kính HK1-50</t>
        </is>
      </c>
      <c r="D270" s="2" t="inlineStr">
        <is>
          <t>Cái</t>
        </is>
      </c>
      <c r="E270" s="9" t="n">
        <v>226000</v>
      </c>
      <c r="F270" s="3" t="inlineStr">
        <is>
          <t>Sổ chi tiết bán hàng KingBlue</t>
        </is>
      </c>
    </row>
    <row r="271">
      <c r="A271" s="2" t="n">
        <v>270</v>
      </c>
      <c r="B271" s="2" t="inlineStr">
        <is>
          <t>Hít kính HK2-130</t>
        </is>
      </c>
      <c r="C271" s="3" t="inlineStr">
        <is>
          <t>Hít kính HK2-130</t>
        </is>
      </c>
      <c r="D271" s="2" t="inlineStr">
        <is>
          <t>Cái</t>
        </is>
      </c>
      <c r="E271" s="9" t="n">
        <v>336000</v>
      </c>
      <c r="F271" s="3" t="inlineStr">
        <is>
          <t>Sổ chi tiết bán hàng KingBlue</t>
        </is>
      </c>
    </row>
    <row r="272">
      <c r="A272" s="2" t="n">
        <v>271</v>
      </c>
      <c r="B272" s="2" t="inlineStr">
        <is>
          <t>Hít kính điện tử HKE-200</t>
        </is>
      </c>
      <c r="C272" s="3" t="inlineStr">
        <is>
          <t>Hít kính điện tử HKE-200</t>
        </is>
      </c>
      <c r="D272" s="2" t="inlineStr">
        <is>
          <t>Cái</t>
        </is>
      </c>
      <c r="E272" s="9" t="n">
        <v>671000</v>
      </c>
      <c r="F272" s="3" t="inlineStr">
        <is>
          <t>Sổ chi tiết bán hàng KingBlue</t>
        </is>
      </c>
    </row>
    <row r="273">
      <c r="A273" s="2" t="n">
        <v>272</v>
      </c>
      <c r="B273" s="2" t="inlineStr">
        <is>
          <t>Hít kính-căn chỉnh mạch gạch HK2-118</t>
        </is>
      </c>
      <c r="C273" s="3" t="inlineStr">
        <is>
          <t>Hít kính-căn chỉnh mạch gạch HK2-118</t>
        </is>
      </c>
      <c r="D273" s="2" t="inlineStr">
        <is>
          <t>Cái</t>
        </is>
      </c>
      <c r="E273" s="9" t="n">
        <v>505000</v>
      </c>
      <c r="F273" s="3" t="inlineStr">
        <is>
          <t>Sổ chi tiết bán hàng KingBlue</t>
        </is>
      </c>
    </row>
    <row r="274">
      <c r="A274" s="2" t="n">
        <v>273</v>
      </c>
      <c r="B274" s="2" t="inlineStr">
        <is>
          <t>JH-06</t>
        </is>
      </c>
      <c r="C274" s="3" t="inlineStr">
        <is>
          <t>JH-06</t>
        </is>
      </c>
      <c r="D274" s="2" t="inlineStr">
        <is>
          <t>Cái</t>
        </is>
      </c>
      <c r="E274" s="9" t="n">
        <v>400000</v>
      </c>
      <c r="F274" s="3" t="inlineStr">
        <is>
          <t>Sổ chi tiết bán hàng KingBlue</t>
        </is>
      </c>
    </row>
    <row r="275">
      <c r="A275" s="2" t="n">
        <v>274</v>
      </c>
      <c r="B275" s="2" t="inlineStr">
        <is>
          <t>JH-100</t>
        </is>
      </c>
      <c r="C275" s="3" t="inlineStr">
        <is>
          <t>JH-100</t>
        </is>
      </c>
      <c r="D275" s="2" t="inlineStr">
        <is>
          <t>Cái</t>
        </is>
      </c>
      <c r="E275" s="9" t="n">
        <v>292000</v>
      </c>
      <c r="F275" s="3" t="inlineStr">
        <is>
          <t>Sổ chi tiết bán hàng KingBlue</t>
        </is>
      </c>
    </row>
    <row r="276">
      <c r="A276" s="2" t="n">
        <v>275</v>
      </c>
      <c r="B276" s="2" t="inlineStr">
        <is>
          <t>JH-59</t>
        </is>
      </c>
      <c r="C276" s="3" t="inlineStr">
        <is>
          <t>JH-59</t>
        </is>
      </c>
      <c r="D276" s="2" t="inlineStr">
        <is>
          <t>Cái</t>
        </is>
      </c>
      <c r="E276" s="9" t="n">
        <v>20400</v>
      </c>
      <c r="F276" s="3" t="inlineStr">
        <is>
          <t>Sổ chi tiết bán hàng KingBlue</t>
        </is>
      </c>
    </row>
    <row r="277">
      <c r="A277" s="2" t="n">
        <v>276</v>
      </c>
      <c r="B277" s="2" t="inlineStr">
        <is>
          <t>JH-80</t>
        </is>
      </c>
      <c r="C277" s="3" t="inlineStr">
        <is>
          <t>JH-80</t>
        </is>
      </c>
      <c r="D277" s="2" t="inlineStr">
        <is>
          <t>Cái</t>
        </is>
      </c>
      <c r="E277" s="9" t="n">
        <v>12100</v>
      </c>
      <c r="F277" s="3" t="inlineStr">
        <is>
          <t>Sổ chi tiết bán hàng KingBlue</t>
        </is>
      </c>
    </row>
    <row r="278">
      <c r="A278" s="2" t="n">
        <v>277</v>
      </c>
      <c r="B278" s="2" t="inlineStr">
        <is>
          <t>K1-110x24T</t>
        </is>
      </c>
      <c r="C278" s="3" t="inlineStr">
        <is>
          <t>K1-110x24T</t>
        </is>
      </c>
      <c r="D278" s="2" t="inlineStr">
        <is>
          <t>Cái</t>
        </is>
      </c>
      <c r="E278" s="9" t="n">
        <v>210000</v>
      </c>
      <c r="F278" s="3" t="inlineStr">
        <is>
          <t>Sổ chi tiết bán hàng KingBlue</t>
        </is>
      </c>
    </row>
    <row r="279">
      <c r="A279" s="2" t="n">
        <v>278</v>
      </c>
      <c r="B279" s="2" t="inlineStr">
        <is>
          <t>K1-150*20*32T</t>
        </is>
      </c>
      <c r="C279" s="3" t="inlineStr">
        <is>
          <t>K1-150*20*32T</t>
        </is>
      </c>
      <c r="D279" s="2" t="inlineStr">
        <is>
          <t>Cái</t>
        </is>
      </c>
      <c r="E279" s="9" t="n">
        <v>298000</v>
      </c>
      <c r="F279" s="3" t="inlineStr">
        <is>
          <t>Sổ chi tiết bán hàng KingBlue</t>
        </is>
      </c>
    </row>
    <row r="280">
      <c r="A280" s="2" t="n">
        <v>279</v>
      </c>
      <c r="B280" s="2" t="inlineStr">
        <is>
          <t>K1-185X32T</t>
        </is>
      </c>
      <c r="C280" s="3" t="inlineStr">
        <is>
          <t>K1-185X32T</t>
        </is>
      </c>
      <c r="D280" s="2" t="inlineStr">
        <is>
          <t>Cái</t>
        </is>
      </c>
      <c r="E280" s="9" t="n">
        <v>328000</v>
      </c>
      <c r="F280" s="3" t="inlineStr">
        <is>
          <t>Sổ chi tiết bán hàng KingBlue</t>
        </is>
      </c>
    </row>
    <row r="281">
      <c r="A281" s="2" t="n">
        <v>280</v>
      </c>
      <c r="B281" s="2" t="inlineStr">
        <is>
          <t>K1-305x80T-NEW</t>
        </is>
      </c>
      <c r="C281" s="3" t="inlineStr">
        <is>
          <t>K1-305x80T-NEW</t>
        </is>
      </c>
      <c r="D281" s="2" t="inlineStr">
        <is>
          <t>Cái</t>
        </is>
      </c>
      <c r="E281" s="9" t="n">
        <v>1634000</v>
      </c>
      <c r="F281" s="3" t="inlineStr">
        <is>
          <t>Sổ chi tiết bán hàng KingBlue</t>
        </is>
      </c>
    </row>
    <row r="282">
      <c r="A282" s="2" t="n">
        <v>281</v>
      </c>
      <c r="B282" s="2" t="inlineStr">
        <is>
          <t>K1-355x80T</t>
        </is>
      </c>
      <c r="C282" s="3" t="inlineStr">
        <is>
          <t>K1-355x80T</t>
        </is>
      </c>
      <c r="D282" s="2" t="inlineStr">
        <is>
          <t>Cái</t>
        </is>
      </c>
      <c r="E282" s="9" t="n">
        <v>1682000</v>
      </c>
      <c r="F282" s="3" t="inlineStr">
        <is>
          <t>Sổ chi tiết bán hàng KingBlue</t>
        </is>
      </c>
    </row>
    <row r="283">
      <c r="A283" s="2" t="n">
        <v>282</v>
      </c>
      <c r="B283" s="2" t="inlineStr">
        <is>
          <t>K1-355x80T-NEW</t>
        </is>
      </c>
      <c r="C283" s="3" t="inlineStr">
        <is>
          <t>K1-355x80T-NEW</t>
        </is>
      </c>
      <c r="D283" s="2" t="inlineStr">
        <is>
          <t>Cái</t>
        </is>
      </c>
      <c r="E283" s="9" t="n">
        <v>1936000</v>
      </c>
      <c r="F283" s="3" t="inlineStr">
        <is>
          <t>Sổ chi tiết bán hàng KingBlue</t>
        </is>
      </c>
    </row>
    <row r="284">
      <c r="A284" s="2" t="n">
        <v>283</v>
      </c>
      <c r="B284" s="2" t="inlineStr">
        <is>
          <t>K10000</t>
        </is>
      </c>
      <c r="C284" s="3" t="inlineStr">
        <is>
          <t>K10000</t>
        </is>
      </c>
      <c r="D284" s="2" t="inlineStr">
        <is>
          <t>Cái</t>
        </is>
      </c>
      <c r="E284" s="9" t="n">
        <v>1580000</v>
      </c>
      <c r="F284" s="3" t="inlineStr">
        <is>
          <t>Sổ chi tiết bán hàng KingBlue</t>
        </is>
      </c>
    </row>
    <row r="285">
      <c r="A285" s="2" t="n">
        <v>284</v>
      </c>
      <c r="B285" s="2" t="inlineStr">
        <is>
          <t>K18MGS</t>
        </is>
      </c>
      <c r="C285" s="3" t="inlineStr">
        <is>
          <t>K18MGS</t>
        </is>
      </c>
      <c r="D285" s="2" t="inlineStr">
        <is>
          <t>Cái</t>
        </is>
      </c>
      <c r="E285" s="9" t="n">
        <v>1260000</v>
      </c>
      <c r="F285" s="3" t="inlineStr">
        <is>
          <t>Sổ chi tiết bán hàng KingBlue</t>
        </is>
      </c>
    </row>
    <row r="286">
      <c r="A286" s="2" t="n">
        <v>285</v>
      </c>
      <c r="B286" s="2" t="inlineStr">
        <is>
          <t>K18QES</t>
        </is>
      </c>
      <c r="C286" s="3" t="inlineStr">
        <is>
          <t>K18QES</t>
        </is>
      </c>
      <c r="D286" s="2" t="inlineStr">
        <is>
          <t>Cái</t>
        </is>
      </c>
      <c r="E286" s="9" t="n">
        <v>2200000</v>
      </c>
      <c r="F286" s="3" t="inlineStr">
        <is>
          <t>Sổ chi tiết bán hàng KingBlue</t>
        </is>
      </c>
    </row>
    <row r="287">
      <c r="A287" s="2" t="n">
        <v>286</v>
      </c>
      <c r="B287" s="2" t="inlineStr">
        <is>
          <t>K18SVS</t>
        </is>
      </c>
      <c r="C287" s="3" t="inlineStr">
        <is>
          <t>K18SVS</t>
        </is>
      </c>
      <c r="D287" s="2" t="inlineStr">
        <is>
          <t>Cái</t>
        </is>
      </c>
      <c r="E287" s="9" t="n">
        <v>1530000</v>
      </c>
      <c r="F287" s="3" t="inlineStr">
        <is>
          <t>Sổ chi tiết bán hàng KingBlue</t>
        </is>
      </c>
    </row>
    <row r="288">
      <c r="A288" s="2" t="n">
        <v>287</v>
      </c>
      <c r="B288" s="2" t="inlineStr">
        <is>
          <t>K18VFS</t>
        </is>
      </c>
      <c r="C288" s="3" t="inlineStr">
        <is>
          <t>K18VFS</t>
        </is>
      </c>
      <c r="D288" s="2" t="inlineStr">
        <is>
          <t>Cái</t>
        </is>
      </c>
      <c r="E288" s="9" t="n">
        <v>1450000</v>
      </c>
      <c r="F288" s="3" t="inlineStr">
        <is>
          <t>Sổ chi tiết bán hàng KingBlue</t>
        </is>
      </c>
    </row>
    <row r="289">
      <c r="A289" s="2" t="n">
        <v>288</v>
      </c>
      <c r="B289" s="2" t="inlineStr">
        <is>
          <t>K2-110X30T</t>
        </is>
      </c>
      <c r="C289" s="3" t="inlineStr">
        <is>
          <t>K2-110X30T</t>
        </is>
      </c>
      <c r="D289" s="2" t="inlineStr">
        <is>
          <t>Cái</t>
        </is>
      </c>
      <c r="E289" s="9" t="n">
        <v>147000</v>
      </c>
      <c r="F289" s="3" t="inlineStr">
        <is>
          <t>Sổ chi tiết bán hàng KingBlue</t>
        </is>
      </c>
    </row>
    <row r="290">
      <c r="A290" s="2" t="n">
        <v>289</v>
      </c>
      <c r="B290" s="2" t="inlineStr">
        <is>
          <t>K2-110X40T</t>
        </is>
      </c>
      <c r="C290" s="3" t="inlineStr">
        <is>
          <t>K2-110X40T</t>
        </is>
      </c>
      <c r="D290" s="2" t="inlineStr">
        <is>
          <t>Cái</t>
        </is>
      </c>
      <c r="E290" s="9" t="n">
        <v>156000</v>
      </c>
      <c r="F290" s="3" t="inlineStr">
        <is>
          <t>Sổ chi tiết bán hàng KingBlue</t>
        </is>
      </c>
    </row>
    <row r="291">
      <c r="A291" s="2" t="n">
        <v>290</v>
      </c>
      <c r="B291" s="2" t="inlineStr">
        <is>
          <t>K3C3</t>
        </is>
      </c>
      <c r="C291" s="3" t="inlineStr">
        <is>
          <t>K3C3</t>
        </is>
      </c>
      <c r="D291" s="2" t="inlineStr">
        <is>
          <t>Cái</t>
        </is>
      </c>
      <c r="E291" s="9" t="n">
        <v>250000</v>
      </c>
      <c r="F291" s="3" t="inlineStr">
        <is>
          <t>Sổ chi tiết bán hàng KingBlue</t>
        </is>
      </c>
    </row>
    <row r="292">
      <c r="A292" s="2" t="n">
        <v>291</v>
      </c>
      <c r="B292" s="2" t="inlineStr">
        <is>
          <t>K3C4</t>
        </is>
      </c>
      <c r="C292" s="3" t="inlineStr">
        <is>
          <t>K3C4</t>
        </is>
      </c>
      <c r="D292" s="2" t="inlineStr">
        <is>
          <t>Cái</t>
        </is>
      </c>
      <c r="E292" s="9" t="n">
        <v>300000</v>
      </c>
      <c r="F292" s="3" t="inlineStr">
        <is>
          <t>Sổ chi tiết bán hàng KingBlue</t>
        </is>
      </c>
    </row>
    <row r="293">
      <c r="A293" s="2" t="n">
        <v>292</v>
      </c>
      <c r="B293" s="2" t="inlineStr">
        <is>
          <t>K3C6</t>
        </is>
      </c>
      <c r="C293" s="3" t="inlineStr">
        <is>
          <t>K3C6</t>
        </is>
      </c>
      <c r="D293" s="2" t="inlineStr">
        <is>
          <t>Cái</t>
        </is>
      </c>
      <c r="E293" s="9" t="n">
        <v>420000</v>
      </c>
      <c r="F293" s="3" t="inlineStr">
        <is>
          <t>Sổ chi tiết bán hàng KingBlue</t>
        </is>
      </c>
    </row>
    <row r="294">
      <c r="A294" s="2" t="n">
        <v>293</v>
      </c>
      <c r="B294" s="2" t="inlineStr">
        <is>
          <t>K3C8</t>
        </is>
      </c>
      <c r="C294" s="3" t="inlineStr">
        <is>
          <t>K3C8</t>
        </is>
      </c>
      <c r="D294" s="2" t="inlineStr">
        <is>
          <t>Cái</t>
        </is>
      </c>
      <c r="E294" s="9" t="n">
        <v>714000</v>
      </c>
      <c r="F294" s="3" t="inlineStr">
        <is>
          <t>Sổ chi tiết bán hàng KingBlue</t>
        </is>
      </c>
    </row>
    <row r="295">
      <c r="A295" s="2" t="n">
        <v>294</v>
      </c>
      <c r="B295" s="2" t="inlineStr">
        <is>
          <t>K45M</t>
        </is>
      </c>
      <c r="C295" s="3" t="inlineStr">
        <is>
          <t>K45M</t>
        </is>
      </c>
      <c r="D295" s="2" t="inlineStr">
        <is>
          <t>Cái</t>
        </is>
      </c>
      <c r="E295" s="9" t="n">
        <v>185000</v>
      </c>
      <c r="F295" s="3" t="inlineStr">
        <is>
          <t>Sổ chi tiết bán hàng KingBlue</t>
        </is>
      </c>
    </row>
    <row r="296">
      <c r="A296" s="2" t="n">
        <v>295</v>
      </c>
      <c r="B296" s="2" t="inlineStr">
        <is>
          <t>K49M</t>
        </is>
      </c>
      <c r="C296" s="3" t="inlineStr">
        <is>
          <t>K49M</t>
        </is>
      </c>
      <c r="D296" s="2" t="inlineStr">
        <is>
          <t>Cái</t>
        </is>
      </c>
      <c r="E296" s="9" t="n">
        <v>193000</v>
      </c>
      <c r="F296" s="3" t="inlineStr">
        <is>
          <t>Sổ chi tiết bán hàng KingBlue</t>
        </is>
      </c>
    </row>
    <row r="297">
      <c r="A297" s="2" t="n">
        <v>296</v>
      </c>
      <c r="B297" s="2" t="inlineStr">
        <is>
          <t>K54M</t>
        </is>
      </c>
      <c r="C297" s="3" t="inlineStr">
        <is>
          <t>K54M</t>
        </is>
      </c>
      <c r="D297" s="2" t="inlineStr">
        <is>
          <t>Cái</t>
        </is>
      </c>
      <c r="E297" s="9" t="n">
        <v>264000</v>
      </c>
      <c r="F297" s="3" t="inlineStr">
        <is>
          <t>Sổ chi tiết bán hàng KingBlue</t>
        </is>
      </c>
    </row>
    <row r="298">
      <c r="A298" s="2" t="n">
        <v>297</v>
      </c>
      <c r="B298" s="2" t="inlineStr">
        <is>
          <t>KAC100</t>
        </is>
      </c>
      <c r="C298" s="3" t="inlineStr">
        <is>
          <t>KAC100</t>
        </is>
      </c>
      <c r="D298" s="2" t="inlineStr">
        <is>
          <t>Cái</t>
        </is>
      </c>
      <c r="E298" s="9" t="n">
        <v>169000</v>
      </c>
      <c r="F298" s="3" t="inlineStr">
        <is>
          <t>Sổ chi tiết bán hàng KingBlue</t>
        </is>
      </c>
    </row>
    <row r="299">
      <c r="A299" s="2" t="n">
        <v>298</v>
      </c>
      <c r="B299" s="2" t="inlineStr">
        <is>
          <t>KAC20</t>
        </is>
      </c>
      <c r="C299" s="3" t="inlineStr">
        <is>
          <t>KAC20</t>
        </is>
      </c>
      <c r="D299" s="2" t="inlineStr">
        <is>
          <t>Cái</t>
        </is>
      </c>
      <c r="E299" s="9" t="n">
        <v>109000</v>
      </c>
      <c r="F299" s="3" t="inlineStr">
        <is>
          <t>Sổ chi tiết bán hàng KingBlue</t>
        </is>
      </c>
    </row>
    <row r="300">
      <c r="A300" s="2" t="n">
        <v>299</v>
      </c>
      <c r="B300" s="2" t="inlineStr">
        <is>
          <t>KB-02X</t>
        </is>
      </c>
      <c r="C300" s="3" t="inlineStr">
        <is>
          <t>KB-02X</t>
        </is>
      </c>
      <c r="D300" s="2" t="inlineStr">
        <is>
          <t>Cái</t>
        </is>
      </c>
      <c r="E300" s="9" t="n">
        <v>780000</v>
      </c>
      <c r="F300" s="3" t="inlineStr">
        <is>
          <t>Sổ chi tiết bán hàng KingBlue</t>
        </is>
      </c>
    </row>
    <row r="301">
      <c r="A301" s="2" t="n">
        <v>300</v>
      </c>
      <c r="B301" s="2" t="inlineStr">
        <is>
          <t>KB-02XS</t>
        </is>
      </c>
      <c r="C301" s="3" t="inlineStr">
        <is>
          <t>KB-02XS</t>
        </is>
      </c>
      <c r="D301" s="2" t="inlineStr">
        <is>
          <t>Cái</t>
        </is>
      </c>
      <c r="E301" s="9" t="n">
        <v>950000</v>
      </c>
      <c r="F301" s="3" t="inlineStr">
        <is>
          <t>Sổ chi tiết bán hàng KingBlue</t>
        </is>
      </c>
    </row>
    <row r="302">
      <c r="A302" s="2" t="n">
        <v>301</v>
      </c>
      <c r="B302" s="2" t="inlineStr">
        <is>
          <t>KB-05X (NEW)</t>
        </is>
      </c>
      <c r="C302" s="3" t="inlineStr">
        <is>
          <t>KB-05X (NEW)</t>
        </is>
      </c>
      <c r="D302" s="2" t="inlineStr">
        <is>
          <t>Cái</t>
        </is>
      </c>
      <c r="E302" s="9" t="n">
        <v>1430000</v>
      </c>
      <c r="F302" s="3" t="inlineStr">
        <is>
          <t>Sổ chi tiết bán hàng KingBlue</t>
        </is>
      </c>
    </row>
    <row r="303">
      <c r="A303" s="2" t="n">
        <v>302</v>
      </c>
      <c r="B303" s="2" t="inlineStr">
        <is>
          <t>KB-05XS</t>
        </is>
      </c>
      <c r="C303" s="3" t="inlineStr">
        <is>
          <t>KB-05XS</t>
        </is>
      </c>
      <c r="D303" s="2" t="inlineStr">
        <is>
          <t>Cái</t>
        </is>
      </c>
      <c r="E303" s="9" t="n">
        <v>2160000</v>
      </c>
      <c r="F303" s="3" t="inlineStr">
        <is>
          <t>Sổ chi tiết bán hàng KingBlue</t>
        </is>
      </c>
    </row>
    <row r="304">
      <c r="A304" s="2" t="n">
        <v>303</v>
      </c>
      <c r="B304" s="2" t="inlineStr">
        <is>
          <t>KB-12XS</t>
        </is>
      </c>
      <c r="C304" s="3" t="inlineStr">
        <is>
          <t>KB-12XS</t>
        </is>
      </c>
      <c r="D304" s="2" t="inlineStr">
        <is>
          <t>Cái</t>
        </is>
      </c>
      <c r="E304" s="9" t="n">
        <v>1680000</v>
      </c>
      <c r="F304" s="3" t="inlineStr">
        <is>
          <t>Sổ chi tiết bán hàng KingBlue</t>
        </is>
      </c>
    </row>
    <row r="305">
      <c r="A305" s="2" t="n">
        <v>304</v>
      </c>
      <c r="B305" s="2" t="inlineStr">
        <is>
          <t>KB-12XV</t>
        </is>
      </c>
      <c r="C305" s="3" t="inlineStr">
        <is>
          <t>KB-12XV</t>
        </is>
      </c>
      <c r="D305" s="2" t="inlineStr">
        <is>
          <t>Cái</t>
        </is>
      </c>
      <c r="E305" s="9" t="n">
        <v>2380000</v>
      </c>
      <c r="F305" s="3" t="inlineStr">
        <is>
          <t>Sổ chi tiết bán hàng KingBlue</t>
        </is>
      </c>
    </row>
    <row r="306">
      <c r="A306" s="2" t="n">
        <v>305</v>
      </c>
      <c r="B306" s="2" t="inlineStr">
        <is>
          <t>KB-1301</t>
        </is>
      </c>
      <c r="C306" s="3" t="inlineStr">
        <is>
          <t>KB-1301</t>
        </is>
      </c>
      <c r="D306" s="2" t="inlineStr">
        <is>
          <t>Cái</t>
        </is>
      </c>
      <c r="E306" s="9" t="n">
        <v>150000</v>
      </c>
      <c r="F306" s="3" t="inlineStr">
        <is>
          <t>Sổ chi tiết bán hàng KingBlue</t>
        </is>
      </c>
    </row>
    <row r="307">
      <c r="A307" s="2" t="n">
        <v>306</v>
      </c>
      <c r="B307" s="2" t="inlineStr">
        <is>
          <t>KB-1304</t>
        </is>
      </c>
      <c r="C307" s="3" t="inlineStr">
        <is>
          <t>KB-1304</t>
        </is>
      </c>
      <c r="D307" s="2" t="inlineStr">
        <is>
          <t>Cái</t>
        </is>
      </c>
      <c r="E307" s="9" t="n">
        <v>230000</v>
      </c>
      <c r="F307" s="3" t="inlineStr">
        <is>
          <t>Sổ chi tiết bán hàng KingBlue</t>
        </is>
      </c>
    </row>
    <row r="308">
      <c r="A308" s="2" t="n">
        <v>307</v>
      </c>
      <c r="B308" s="2" t="inlineStr">
        <is>
          <t>KB-16XV</t>
        </is>
      </c>
      <c r="C308" s="3" t="inlineStr">
        <is>
          <t>KB-16XV</t>
        </is>
      </c>
      <c r="D308" s="2" t="inlineStr">
        <is>
          <t>Cái</t>
        </is>
      </c>
      <c r="E308" s="9" t="n">
        <v>2560000</v>
      </c>
      <c r="F308" s="3" t="inlineStr">
        <is>
          <t>Sổ chi tiết bán hàng KingBlue</t>
        </is>
      </c>
    </row>
    <row r="309">
      <c r="A309" s="2" t="n">
        <v>308</v>
      </c>
      <c r="B309" s="2" t="inlineStr">
        <is>
          <t>KB-2.5CFM</t>
        </is>
      </c>
      <c r="C309" s="3" t="inlineStr">
        <is>
          <t>KB-2.5CFM</t>
        </is>
      </c>
      <c r="D309" s="2" t="inlineStr">
        <is>
          <t>Cái</t>
        </is>
      </c>
      <c r="E309" s="9" t="n">
        <v>3380000</v>
      </c>
      <c r="F309" s="3" t="inlineStr">
        <is>
          <t>Sổ chi tiết bán hàng KingBlue</t>
        </is>
      </c>
    </row>
    <row r="310">
      <c r="A310" s="2" t="n">
        <v>309</v>
      </c>
      <c r="B310" s="2" t="inlineStr">
        <is>
          <t>KB-C1323</t>
        </is>
      </c>
      <c r="C310" s="3" t="inlineStr">
        <is>
          <t>KB-C1323</t>
        </is>
      </c>
      <c r="D310" s="2" t="inlineStr">
        <is>
          <t>Cái</t>
        </is>
      </c>
      <c r="E310" s="9" t="n">
        <v>1200000</v>
      </c>
      <c r="F310" s="3" t="inlineStr">
        <is>
          <t>Sổ chi tiết bán hàng KingBlue</t>
        </is>
      </c>
    </row>
    <row r="311">
      <c r="A311" s="2" t="n">
        <v>310</v>
      </c>
      <c r="B311" s="2" t="inlineStr">
        <is>
          <t>KB-D300</t>
        </is>
      </c>
      <c r="C311" s="3" t="inlineStr">
        <is>
          <t>KB-D300</t>
        </is>
      </c>
      <c r="D311" s="2" t="inlineStr">
        <is>
          <t>Cái</t>
        </is>
      </c>
      <c r="E311" s="9" t="n">
        <v>198000</v>
      </c>
      <c r="F311" s="3" t="inlineStr">
        <is>
          <t>Sổ chi tiết bán hàng KingBlue</t>
        </is>
      </c>
    </row>
    <row r="312">
      <c r="A312" s="2" t="n">
        <v>311</v>
      </c>
      <c r="B312" s="2" t="inlineStr">
        <is>
          <t>KB-E350</t>
        </is>
      </c>
      <c r="C312" s="3" t="inlineStr">
        <is>
          <t>KB-E350</t>
        </is>
      </c>
      <c r="D312" s="2" t="inlineStr">
        <is>
          <t>Cái</t>
        </is>
      </c>
      <c r="E312" s="9" t="n">
        <v>273000</v>
      </c>
      <c r="F312" s="3" t="inlineStr">
        <is>
          <t>Sổ chi tiết bán hàng KingBlue</t>
        </is>
      </c>
    </row>
    <row r="313">
      <c r="A313" s="2" t="n">
        <v>312</v>
      </c>
      <c r="B313" s="2" t="inlineStr">
        <is>
          <t>KB-E5701</t>
        </is>
      </c>
      <c r="C313" s="3" t="inlineStr">
        <is>
          <t>KB-E5701</t>
        </is>
      </c>
      <c r="D313" s="2" t="inlineStr">
        <is>
          <t>Cái</t>
        </is>
      </c>
      <c r="E313" s="9" t="n">
        <v>1056000</v>
      </c>
      <c r="F313" s="3" t="inlineStr">
        <is>
          <t>Sổ chi tiết bán hàng KingBlue</t>
        </is>
      </c>
    </row>
    <row r="314">
      <c r="A314" s="2" t="n">
        <v>313</v>
      </c>
      <c r="B314" s="2" t="inlineStr">
        <is>
          <t>KB-LE350</t>
        </is>
      </c>
      <c r="C314" s="3" t="inlineStr">
        <is>
          <t>KB-LE350</t>
        </is>
      </c>
      <c r="D314" s="2" t="inlineStr">
        <is>
          <t>Cái</t>
        </is>
      </c>
      <c r="E314" s="9" t="n">
        <v>179000</v>
      </c>
      <c r="F314" s="3" t="inlineStr">
        <is>
          <t>Sổ chi tiết bán hàng KingBlue</t>
        </is>
      </c>
    </row>
    <row r="315">
      <c r="A315" s="2" t="n">
        <v>314</v>
      </c>
      <c r="B315" s="2" t="inlineStr">
        <is>
          <t>KB-LS330</t>
        </is>
      </c>
      <c r="C315" s="3" t="inlineStr">
        <is>
          <t>KB-LS330</t>
        </is>
      </c>
      <c r="D315" s="2" t="inlineStr">
        <is>
          <t>Cái</t>
        </is>
      </c>
      <c r="E315" s="9" t="n">
        <v>175000</v>
      </c>
      <c r="F315" s="3" t="inlineStr">
        <is>
          <t>Sổ chi tiết bán hàng KingBlue</t>
        </is>
      </c>
    </row>
    <row r="316">
      <c r="A316" s="2" t="n">
        <v>315</v>
      </c>
      <c r="B316" s="2" t="inlineStr">
        <is>
          <t>KB-R1323</t>
        </is>
      </c>
      <c r="C316" s="3" t="inlineStr">
        <is>
          <t>KB-R1323</t>
        </is>
      </c>
      <c r="D316" s="2" t="inlineStr">
        <is>
          <t>Cái</t>
        </is>
      </c>
      <c r="E316" s="9" t="n">
        <v>1780000</v>
      </c>
      <c r="F316" s="3" t="inlineStr">
        <is>
          <t>Sổ chi tiết bán hàng KingBlue</t>
        </is>
      </c>
    </row>
    <row r="317">
      <c r="A317" s="2" t="n">
        <v>316</v>
      </c>
      <c r="B317" s="2" t="inlineStr">
        <is>
          <t>KB-S330</t>
        </is>
      </c>
      <c r="C317" s="3" t="inlineStr">
        <is>
          <t>KB-S330</t>
        </is>
      </c>
      <c r="D317" s="2" t="inlineStr">
        <is>
          <t>Cái</t>
        </is>
      </c>
      <c r="E317" s="9" t="n">
        <v>298000</v>
      </c>
      <c r="F317" s="3" t="inlineStr">
        <is>
          <t>Sổ chi tiết bán hàng KingBlue</t>
        </is>
      </c>
    </row>
    <row r="318">
      <c r="A318" s="2" t="n">
        <v>317</v>
      </c>
      <c r="B318" s="2" t="inlineStr">
        <is>
          <t>KB-ST18</t>
        </is>
      </c>
      <c r="C318" s="3" t="inlineStr">
        <is>
          <t>KB-ST18</t>
        </is>
      </c>
      <c r="D318" s="2" t="inlineStr">
        <is>
          <t>Cái</t>
        </is>
      </c>
      <c r="E318" s="9" t="n">
        <v>303000</v>
      </c>
      <c r="F318" s="3" t="inlineStr">
        <is>
          <t>Sổ chi tiết bán hàng KingBlue</t>
        </is>
      </c>
    </row>
    <row r="319">
      <c r="A319" s="2" t="n">
        <v>318</v>
      </c>
      <c r="B319" s="2" t="inlineStr">
        <is>
          <t>KB001-B7</t>
        </is>
      </c>
      <c r="C319" s="3" t="inlineStr">
        <is>
          <t>KB001-B7</t>
        </is>
      </c>
      <c r="D319" s="2" t="inlineStr">
        <is>
          <t>Cái</t>
        </is>
      </c>
      <c r="E319" s="9" t="n">
        <v>93000</v>
      </c>
      <c r="F319" s="3" t="inlineStr">
        <is>
          <t>Sổ chi tiết bán hàng KingBlue</t>
        </is>
      </c>
    </row>
    <row r="320">
      <c r="A320" s="2" t="n">
        <v>319</v>
      </c>
      <c r="B320" s="2" t="inlineStr">
        <is>
          <t>KB001-Q1</t>
        </is>
      </c>
      <c r="C320" s="3" t="inlineStr">
        <is>
          <t>KB001-Q1</t>
        </is>
      </c>
      <c r="D320" s="2" t="inlineStr">
        <is>
          <t>Cái</t>
        </is>
      </c>
      <c r="E320" s="9" t="n">
        <v>97000</v>
      </c>
      <c r="F320" s="3" t="inlineStr">
        <is>
          <t>Sổ chi tiết bán hàng KingBlue</t>
        </is>
      </c>
    </row>
    <row r="321">
      <c r="A321" s="2" t="n">
        <v>320</v>
      </c>
      <c r="B321" s="2" t="inlineStr">
        <is>
          <t>KB002-E7</t>
        </is>
      </c>
      <c r="C321" s="3" t="inlineStr">
        <is>
          <t>KB002-E7</t>
        </is>
      </c>
      <c r="D321" s="2" t="inlineStr">
        <is>
          <t>Cái</t>
        </is>
      </c>
      <c r="E321" s="9" t="n">
        <v>171000</v>
      </c>
      <c r="F321" s="3" t="inlineStr">
        <is>
          <t>Sổ chi tiết bán hàng KingBlue</t>
        </is>
      </c>
    </row>
    <row r="322">
      <c r="A322" s="2" t="n">
        <v>321</v>
      </c>
      <c r="B322" s="2" t="inlineStr">
        <is>
          <t>KB002-E8</t>
        </is>
      </c>
      <c r="C322" s="3" t="inlineStr">
        <is>
          <t>KB002-E8</t>
        </is>
      </c>
      <c r="D322" s="2" t="inlineStr">
        <is>
          <t>Cái</t>
        </is>
      </c>
      <c r="E322" s="9" t="n">
        <v>170000</v>
      </c>
      <c r="F322" s="3" t="inlineStr">
        <is>
          <t>Sổ chi tiết bán hàng KingBlue</t>
        </is>
      </c>
    </row>
    <row r="323">
      <c r="A323" s="2" t="n">
        <v>322</v>
      </c>
      <c r="B323" s="2" t="inlineStr">
        <is>
          <t>KB003-Q2</t>
        </is>
      </c>
      <c r="C323" s="3" t="inlineStr">
        <is>
          <t>KB003-Q2</t>
        </is>
      </c>
      <c r="D323" s="2" t="inlineStr">
        <is>
          <t>Cái</t>
        </is>
      </c>
      <c r="E323" s="9" t="n">
        <v>122000</v>
      </c>
      <c r="F323" s="3" t="inlineStr">
        <is>
          <t>Sổ chi tiết bán hàng KingBlue</t>
        </is>
      </c>
    </row>
    <row r="324">
      <c r="A324" s="2" t="n">
        <v>323</v>
      </c>
      <c r="B324" s="2" t="inlineStr">
        <is>
          <t>KB004-Q3</t>
        </is>
      </c>
      <c r="C324" s="3" t="inlineStr">
        <is>
          <t>KB004-Q3</t>
        </is>
      </c>
      <c r="D324" s="2" t="inlineStr">
        <is>
          <t>Cái</t>
        </is>
      </c>
      <c r="E324" s="9" t="n">
        <v>121000</v>
      </c>
      <c r="F324" s="3" t="inlineStr">
        <is>
          <t>Sổ chi tiết bán hàng KingBlue</t>
        </is>
      </c>
    </row>
    <row r="325">
      <c r="A325" s="2" t="n">
        <v>324</v>
      </c>
      <c r="B325" s="2" t="inlineStr">
        <is>
          <t>KB004-S8</t>
        </is>
      </c>
      <c r="C325" s="3" t="inlineStr">
        <is>
          <t>KB004-S8</t>
        </is>
      </c>
      <c r="D325" s="2" t="inlineStr">
        <is>
          <t>Cái</t>
        </is>
      </c>
      <c r="E325" s="9" t="n">
        <v>232000</v>
      </c>
      <c r="F325" s="3" t="inlineStr">
        <is>
          <t>Sổ chi tiết bán hàng KingBlue</t>
        </is>
      </c>
    </row>
    <row r="326">
      <c r="A326" s="2" t="n">
        <v>325</v>
      </c>
      <c r="B326" s="2" t="inlineStr">
        <is>
          <t>KB006-Q5</t>
        </is>
      </c>
      <c r="C326" s="3" t="inlineStr">
        <is>
          <t>KB006-Q5</t>
        </is>
      </c>
      <c r="D326" s="2" t="inlineStr">
        <is>
          <t>Cái</t>
        </is>
      </c>
      <c r="E326" s="9" t="n">
        <v>122000</v>
      </c>
      <c r="F326" s="3" t="inlineStr">
        <is>
          <t>Sổ chi tiết bán hàng KingBlue</t>
        </is>
      </c>
    </row>
    <row r="327">
      <c r="A327" s="2" t="n">
        <v>326</v>
      </c>
      <c r="B327" s="2" t="inlineStr">
        <is>
          <t>KB006-Q6</t>
        </is>
      </c>
      <c r="C327" s="3" t="inlineStr">
        <is>
          <t>KB006-Q6</t>
        </is>
      </c>
      <c r="D327" s="2" t="inlineStr">
        <is>
          <t>Cái</t>
        </is>
      </c>
      <c r="E327" s="9" t="n">
        <v>134000</v>
      </c>
      <c r="F327" s="3" t="inlineStr">
        <is>
          <t>Sổ chi tiết bán hàng KingBlue</t>
        </is>
      </c>
    </row>
    <row r="328">
      <c r="A328" s="2" t="n">
        <v>327</v>
      </c>
      <c r="B328" s="2" t="inlineStr">
        <is>
          <t>KB16QA</t>
        </is>
      </c>
      <c r="C328" s="3" t="inlineStr">
        <is>
          <t>KB16QA</t>
        </is>
      </c>
      <c r="D328" s="2" t="inlineStr">
        <is>
          <t>Cái</t>
        </is>
      </c>
      <c r="E328" s="9" t="n">
        <v>760000</v>
      </c>
      <c r="F328" s="3" t="inlineStr">
        <is>
          <t>Sổ chi tiết bán hàng KingBlue</t>
        </is>
      </c>
    </row>
    <row r="329">
      <c r="A329" s="2" t="n">
        <v>328</v>
      </c>
      <c r="B329" s="2" t="inlineStr">
        <is>
          <t>KB16QA2</t>
        </is>
      </c>
      <c r="C329" s="3" t="inlineStr">
        <is>
          <t>KB16QA2</t>
        </is>
      </c>
      <c r="D329" s="2" t="inlineStr">
        <is>
          <t>Cái</t>
        </is>
      </c>
      <c r="E329" s="9" t="n">
        <v>1540000</v>
      </c>
      <c r="F329" s="3" t="inlineStr">
        <is>
          <t>Sổ chi tiết bán hàng KingBlue</t>
        </is>
      </c>
    </row>
    <row r="330">
      <c r="A330" s="2" t="n">
        <v>329</v>
      </c>
      <c r="B330" s="2" t="inlineStr">
        <is>
          <t>KB16VA2</t>
        </is>
      </c>
      <c r="C330" s="3" t="inlineStr">
        <is>
          <t>KB16VA2</t>
        </is>
      </c>
      <c r="D330" s="2" t="inlineStr">
        <is>
          <t>Cái</t>
        </is>
      </c>
      <c r="E330" s="9" t="n">
        <v>1590000</v>
      </c>
      <c r="F330" s="3" t="inlineStr">
        <is>
          <t>Sổ chi tiết bán hàng KingBlue</t>
        </is>
      </c>
    </row>
    <row r="331">
      <c r="A331" s="2" t="n">
        <v>330</v>
      </c>
      <c r="B331" s="2" t="inlineStr">
        <is>
          <t>KB16VB</t>
        </is>
      </c>
      <c r="C331" s="3" t="inlineStr">
        <is>
          <t>KB16VB</t>
        </is>
      </c>
      <c r="D331" s="2" t="inlineStr">
        <is>
          <t>Cái</t>
        </is>
      </c>
      <c r="E331" s="9" t="n">
        <v>1080000</v>
      </c>
      <c r="F331" s="3" t="inlineStr">
        <is>
          <t>Sổ chi tiết bán hàng KingBlue</t>
        </is>
      </c>
    </row>
    <row r="332">
      <c r="A332" s="2" t="n">
        <v>331</v>
      </c>
      <c r="B332" s="2" t="inlineStr">
        <is>
          <t>KB16VB2</t>
        </is>
      </c>
      <c r="C332" s="3" t="inlineStr">
        <is>
          <t>KB16VB2</t>
        </is>
      </c>
      <c r="D332" s="2" t="inlineStr">
        <is>
          <t>Cái</t>
        </is>
      </c>
      <c r="E332" s="9" t="n">
        <v>1790000</v>
      </c>
      <c r="F332" s="3" t="inlineStr">
        <is>
          <t>Sổ chi tiết bán hàng KingBlue</t>
        </is>
      </c>
    </row>
    <row r="333">
      <c r="A333" s="2" t="n">
        <v>332</v>
      </c>
      <c r="B333" s="2" t="inlineStr">
        <is>
          <t>KB20CK1</t>
        </is>
      </c>
      <c r="C333" s="3" t="inlineStr">
        <is>
          <t>KB20CK1</t>
        </is>
      </c>
      <c r="D333" s="2" t="inlineStr">
        <is>
          <t>Cái</t>
        </is>
      </c>
      <c r="E333" s="9" t="n">
        <v>2790000</v>
      </c>
      <c r="F333" s="3" t="inlineStr">
        <is>
          <t>Sổ chi tiết bán hàng KingBlue</t>
        </is>
      </c>
    </row>
    <row r="334">
      <c r="A334" s="2" t="n">
        <v>333</v>
      </c>
      <c r="B334" s="2" t="inlineStr">
        <is>
          <t>KB20MG</t>
        </is>
      </c>
      <c r="C334" s="3" t="inlineStr">
        <is>
          <t>KB20MG</t>
        </is>
      </c>
      <c r="D334" s="2" t="inlineStr">
        <is>
          <t>Cái</t>
        </is>
      </c>
      <c r="E334" s="9" t="n">
        <v>1200000</v>
      </c>
      <c r="F334" s="3" t="inlineStr">
        <is>
          <t>Sổ chi tiết bán hàng KingBlue</t>
        </is>
      </c>
    </row>
    <row r="335">
      <c r="A335" s="2" t="n">
        <v>334</v>
      </c>
      <c r="B335" s="2" t="inlineStr">
        <is>
          <t>KB20MG1</t>
        </is>
      </c>
      <c r="C335" s="3" t="inlineStr">
        <is>
          <t>KB20MG1</t>
        </is>
      </c>
      <c r="D335" s="2" t="inlineStr">
        <is>
          <t>Cái</t>
        </is>
      </c>
      <c r="E335" s="9" t="n">
        <v>2100000</v>
      </c>
      <c r="F335" s="3" t="inlineStr">
        <is>
          <t>Sổ chi tiết bán hàng KingBlue</t>
        </is>
      </c>
    </row>
    <row r="336">
      <c r="A336" s="2" t="n">
        <v>335</v>
      </c>
      <c r="B336" s="2" t="inlineStr">
        <is>
          <t>KB20QB</t>
        </is>
      </c>
      <c r="C336" s="3" t="inlineStr">
        <is>
          <t>KB20QB</t>
        </is>
      </c>
      <c r="D336" s="2" t="inlineStr">
        <is>
          <t>Cái</t>
        </is>
      </c>
      <c r="E336" s="9" t="n">
        <v>850000</v>
      </c>
      <c r="F336" s="3" t="inlineStr">
        <is>
          <t>Sổ chi tiết bán hàng KingBlue</t>
        </is>
      </c>
    </row>
    <row r="337">
      <c r="A337" s="2" t="n">
        <v>336</v>
      </c>
      <c r="B337" s="2" t="inlineStr">
        <is>
          <t>KB20QB2</t>
        </is>
      </c>
      <c r="C337" s="3" t="inlineStr">
        <is>
          <t>KB20QB2</t>
        </is>
      </c>
      <c r="D337" s="2" t="inlineStr">
        <is>
          <t>Cái</t>
        </is>
      </c>
      <c r="E337" s="9" t="n">
        <v>1850000</v>
      </c>
      <c r="F337" s="3" t="inlineStr">
        <is>
          <t>Sổ chi tiết bán hàng KingBlue</t>
        </is>
      </c>
    </row>
    <row r="338">
      <c r="A338" s="2" t="n">
        <v>337</v>
      </c>
      <c r="B338" s="2" t="inlineStr">
        <is>
          <t>KB20QE</t>
        </is>
      </c>
      <c r="C338" s="3" t="inlineStr">
        <is>
          <t>KB20QE</t>
        </is>
      </c>
      <c r="D338" s="2" t="inlineStr">
        <is>
          <t>Cái</t>
        </is>
      </c>
      <c r="E338" s="9" t="n">
        <v>1920000</v>
      </c>
      <c r="F338" s="3" t="inlineStr">
        <is>
          <t>Sổ chi tiết bán hàng KingBlue</t>
        </is>
      </c>
    </row>
    <row r="339">
      <c r="A339" s="2" t="n">
        <v>338</v>
      </c>
      <c r="B339" s="2" t="inlineStr">
        <is>
          <t>KB20QE1</t>
        </is>
      </c>
      <c r="C339" s="3" t="inlineStr">
        <is>
          <t>KB20QE1</t>
        </is>
      </c>
      <c r="D339" s="2" t="inlineStr">
        <is>
          <t>Cái</t>
        </is>
      </c>
      <c r="E339" s="9" t="n">
        <v>2780000</v>
      </c>
      <c r="F339" s="3" t="inlineStr">
        <is>
          <t>Sổ chi tiết bán hàng KingBlue</t>
        </is>
      </c>
    </row>
    <row r="340">
      <c r="A340" s="2" t="n">
        <v>339</v>
      </c>
      <c r="B340" s="2" t="inlineStr">
        <is>
          <t>KB20QF</t>
        </is>
      </c>
      <c r="C340" s="3" t="inlineStr">
        <is>
          <t>KB20QF</t>
        </is>
      </c>
      <c r="D340" s="2" t="inlineStr">
        <is>
          <t>Cái</t>
        </is>
      </c>
      <c r="E340" s="9" t="n">
        <v>1920000</v>
      </c>
      <c r="F340" s="3" t="inlineStr">
        <is>
          <t>Sổ chi tiết bán hàng KingBlue</t>
        </is>
      </c>
    </row>
    <row r="341">
      <c r="A341" s="2" t="n">
        <v>340</v>
      </c>
      <c r="B341" s="2" t="inlineStr">
        <is>
          <t>KB20QF1</t>
        </is>
      </c>
      <c r="C341" s="3" t="inlineStr">
        <is>
          <t>KB20QF1</t>
        </is>
      </c>
      <c r="D341" s="2" t="inlineStr">
        <is>
          <t>Cái</t>
        </is>
      </c>
      <c r="E341" s="9" t="n">
        <v>2800000</v>
      </c>
      <c r="F341" s="3" t="inlineStr">
        <is>
          <t>Sổ chi tiết bán hàng KingBlue</t>
        </is>
      </c>
    </row>
    <row r="342">
      <c r="A342" s="2" t="n">
        <v>341</v>
      </c>
      <c r="B342" s="2" t="inlineStr">
        <is>
          <t>KB20S341</t>
        </is>
      </c>
      <c r="C342" s="3" t="inlineStr">
        <is>
          <t>KB20S341</t>
        </is>
      </c>
      <c r="D342" s="2" t="inlineStr">
        <is>
          <t>Cái</t>
        </is>
      </c>
      <c r="E342" s="9" t="n">
        <v>4600000</v>
      </c>
      <c r="F342" s="3" t="inlineStr">
        <is>
          <t>Sổ chi tiết bán hàng KingBlue</t>
        </is>
      </c>
    </row>
    <row r="343">
      <c r="A343" s="2" t="n">
        <v>342</v>
      </c>
      <c r="B343" s="2" t="inlineStr">
        <is>
          <t>KB20SC1</t>
        </is>
      </c>
      <c r="C343" s="3" t="inlineStr">
        <is>
          <t>KB20SC1</t>
        </is>
      </c>
      <c r="D343" s="2" t="inlineStr">
        <is>
          <t>Cái</t>
        </is>
      </c>
      <c r="E343" s="9" t="n">
        <v>1840000</v>
      </c>
      <c r="F343" s="3" t="inlineStr">
        <is>
          <t>Sổ chi tiết bán hàng KingBlue</t>
        </is>
      </c>
    </row>
    <row r="344">
      <c r="A344" s="2" t="n">
        <v>343</v>
      </c>
      <c r="B344" s="2" t="inlineStr">
        <is>
          <t>KB20SD</t>
        </is>
      </c>
      <c r="C344" s="3" t="inlineStr">
        <is>
          <t>KB20SD</t>
        </is>
      </c>
      <c r="D344" s="2" t="inlineStr">
        <is>
          <t>Cái</t>
        </is>
      </c>
      <c r="E344" s="9" t="n">
        <v>1560000</v>
      </c>
      <c r="F344" s="3" t="inlineStr">
        <is>
          <t>Sổ chi tiết bán hàng KingBlue</t>
        </is>
      </c>
    </row>
    <row r="345">
      <c r="A345" s="2" t="n">
        <v>344</v>
      </c>
      <c r="B345" s="2" t="inlineStr">
        <is>
          <t>KB20SD1</t>
        </is>
      </c>
      <c r="C345" s="3" t="inlineStr">
        <is>
          <t>KB20SD1</t>
        </is>
      </c>
      <c r="D345" s="2" t="inlineStr">
        <is>
          <t>Cái</t>
        </is>
      </c>
      <c r="E345" s="9" t="n">
        <v>2460000</v>
      </c>
      <c r="F345" s="3" t="inlineStr">
        <is>
          <t>Sổ chi tiết bán hàng KingBlue</t>
        </is>
      </c>
    </row>
    <row r="346">
      <c r="A346" s="2" t="n">
        <v>345</v>
      </c>
      <c r="B346" s="2" t="inlineStr">
        <is>
          <t>KB20SE1</t>
        </is>
      </c>
      <c r="C346" s="3" t="inlineStr">
        <is>
          <t>KB20SE1</t>
        </is>
      </c>
      <c r="D346" s="2" t="inlineStr">
        <is>
          <t>Cái</t>
        </is>
      </c>
      <c r="E346" s="9" t="n">
        <v>2810000</v>
      </c>
      <c r="F346" s="3" t="inlineStr">
        <is>
          <t>Sổ chi tiết bán hàng KingBlue</t>
        </is>
      </c>
    </row>
    <row r="347">
      <c r="A347" s="2" t="n">
        <v>346</v>
      </c>
      <c r="B347" s="2" t="inlineStr">
        <is>
          <t>KB20VC</t>
        </is>
      </c>
      <c r="C347" s="3" t="inlineStr">
        <is>
          <t>KB20VC</t>
        </is>
      </c>
      <c r="D347" s="2" t="inlineStr">
        <is>
          <t>Cái</t>
        </is>
      </c>
      <c r="E347" s="9" t="n">
        <v>1060000</v>
      </c>
      <c r="F347" s="3" t="inlineStr">
        <is>
          <t>Sổ chi tiết bán hàng KingBlue</t>
        </is>
      </c>
    </row>
    <row r="348">
      <c r="A348" s="2" t="n">
        <v>347</v>
      </c>
      <c r="B348" s="2" t="inlineStr">
        <is>
          <t>KB20VC1</t>
        </is>
      </c>
      <c r="C348" s="3" t="inlineStr">
        <is>
          <t>KB20VC1</t>
        </is>
      </c>
      <c r="D348" s="2" t="inlineStr">
        <is>
          <t>Cái</t>
        </is>
      </c>
      <c r="E348" s="9" t="n">
        <v>1860000</v>
      </c>
      <c r="F348" s="3" t="inlineStr">
        <is>
          <t>Sổ chi tiết bán hàng KingBlue</t>
        </is>
      </c>
    </row>
    <row r="349">
      <c r="A349" s="2" t="n">
        <v>348</v>
      </c>
      <c r="B349" s="2" t="inlineStr">
        <is>
          <t>KB20VD1</t>
        </is>
      </c>
      <c r="C349" s="3" t="inlineStr">
        <is>
          <t>KB20VD1</t>
        </is>
      </c>
      <c r="D349" s="2" t="inlineStr">
        <is>
          <t>Cái</t>
        </is>
      </c>
      <c r="E349" s="9" t="n">
        <v>2480000</v>
      </c>
      <c r="F349" s="3" t="inlineStr">
        <is>
          <t>Sổ chi tiết bán hàng KingBlue</t>
        </is>
      </c>
    </row>
    <row r="350">
      <c r="A350" s="2" t="n">
        <v>349</v>
      </c>
      <c r="B350" s="2" t="inlineStr">
        <is>
          <t>KB4*100</t>
        </is>
      </c>
      <c r="C350" s="3" t="inlineStr">
        <is>
          <t>KB4*100</t>
        </is>
      </c>
      <c r="D350" s="2" t="inlineStr">
        <is>
          <t>Cái</t>
        </is>
      </c>
      <c r="E350" s="9" t="n">
        <v>55000</v>
      </c>
      <c r="F350" s="3" t="inlineStr">
        <is>
          <t>Sổ chi tiết bán hàng KingBlue</t>
        </is>
      </c>
    </row>
    <row r="351">
      <c r="A351" s="2" t="n">
        <v>350</v>
      </c>
      <c r="B351" s="2" t="inlineStr">
        <is>
          <t>KB4*100S</t>
        </is>
      </c>
      <c r="C351" s="3" t="inlineStr">
        <is>
          <t>KB4*100S</t>
        </is>
      </c>
      <c r="D351" s="2" t="inlineStr">
        <is>
          <t>Cái</t>
        </is>
      </c>
      <c r="E351" s="9" t="n">
        <v>15000</v>
      </c>
      <c r="F351" s="3" t="inlineStr">
        <is>
          <t>Sổ chi tiết bán hàng KingBlue</t>
        </is>
      </c>
    </row>
    <row r="352">
      <c r="A352" s="2" t="n">
        <v>351</v>
      </c>
      <c r="B352" s="2" t="inlineStr">
        <is>
          <t>KB4*100T</t>
        </is>
      </c>
      <c r="C352" s="3" t="inlineStr">
        <is>
          <t>KB4*100T</t>
        </is>
      </c>
      <c r="D352" s="2" t="inlineStr">
        <is>
          <t>Cái</t>
        </is>
      </c>
      <c r="E352" s="9" t="n">
        <v>10000</v>
      </c>
      <c r="F352" s="3" t="inlineStr">
        <is>
          <t>Sổ chi tiết bán hàng KingBlue</t>
        </is>
      </c>
    </row>
    <row r="353">
      <c r="A353" s="2" t="n">
        <v>352</v>
      </c>
      <c r="B353" s="2" t="inlineStr">
        <is>
          <t>KB4*65</t>
        </is>
      </c>
      <c r="C353" s="3" t="inlineStr">
        <is>
          <t>KB4*65</t>
        </is>
      </c>
      <c r="D353" s="2" t="inlineStr">
        <is>
          <t>Cái</t>
        </is>
      </c>
      <c r="E353" s="9" t="n">
        <v>75000</v>
      </c>
      <c r="F353" s="3" t="inlineStr">
        <is>
          <t>Sổ chi tiết bán hàng KingBlue</t>
        </is>
      </c>
    </row>
    <row r="354">
      <c r="A354" s="2" t="n">
        <v>353</v>
      </c>
      <c r="B354" s="2" t="inlineStr">
        <is>
          <t>KB4*65S</t>
        </is>
      </c>
      <c r="C354" s="3" t="inlineStr">
        <is>
          <t>KB4*65S</t>
        </is>
      </c>
      <c r="D354" s="2" t="inlineStr">
        <is>
          <t>Cái</t>
        </is>
      </c>
      <c r="E354" s="9" t="n">
        <v>11000</v>
      </c>
      <c r="F354" s="3" t="inlineStr">
        <is>
          <t>Sổ chi tiết bán hàng KingBlue</t>
        </is>
      </c>
    </row>
    <row r="355">
      <c r="A355" s="2" t="n">
        <v>354</v>
      </c>
      <c r="B355" s="2" t="inlineStr">
        <is>
          <t>KB4x65T</t>
        </is>
      </c>
      <c r="C355" s="3" t="inlineStr">
        <is>
          <t>KB4x65T</t>
        </is>
      </c>
      <c r="D355" s="2" t="inlineStr">
        <is>
          <t>Cái</t>
        </is>
      </c>
      <c r="E355" s="9" t="n">
        <v>7000</v>
      </c>
      <c r="F355" s="3" t="inlineStr">
        <is>
          <t>Sổ chi tiết bán hàng KingBlue</t>
        </is>
      </c>
    </row>
    <row r="356">
      <c r="A356" s="2" t="n">
        <v>355</v>
      </c>
      <c r="B356" s="2" t="inlineStr">
        <is>
          <t>KB8x48G</t>
        </is>
      </c>
      <c r="C356" s="3" t="inlineStr">
        <is>
          <t>KB8x48G</t>
        </is>
      </c>
      <c r="D356" s="2" t="inlineStr">
        <is>
          <t>Cái</t>
        </is>
      </c>
      <c r="E356" s="9" t="n">
        <v>75000</v>
      </c>
      <c r="F356" s="3" t="inlineStr">
        <is>
          <t>Sổ chi tiết bán hàng KingBlue</t>
        </is>
      </c>
    </row>
    <row r="357">
      <c r="A357" s="2" t="n">
        <v>356</v>
      </c>
      <c r="B357" s="2" t="inlineStr">
        <is>
          <t>KBA-I1500</t>
        </is>
      </c>
      <c r="C357" s="3" t="inlineStr">
        <is>
          <t>KBA-I1500</t>
        </is>
      </c>
      <c r="D357" s="2" t="inlineStr">
        <is>
          <t>Cái</t>
        </is>
      </c>
      <c r="E357" s="9" t="n">
        <v>1980000</v>
      </c>
      <c r="F357" s="3" t="inlineStr">
        <is>
          <t>Sổ chi tiết bán hàng KingBlue</t>
        </is>
      </c>
    </row>
    <row r="358">
      <c r="A358" s="2" t="n">
        <v>357</v>
      </c>
      <c r="B358" s="2" t="inlineStr">
        <is>
          <t>KBA-U1200</t>
        </is>
      </c>
      <c r="C358" s="3" t="inlineStr">
        <is>
          <t>KBA-U1200</t>
        </is>
      </c>
      <c r="D358" s="2" t="inlineStr">
        <is>
          <t>Cái</t>
        </is>
      </c>
      <c r="E358" s="9" t="n">
        <v>1180000</v>
      </c>
      <c r="F358" s="3" t="inlineStr">
        <is>
          <t>Sổ chi tiết bán hàng KingBlue</t>
        </is>
      </c>
    </row>
    <row r="359">
      <c r="A359" s="2" t="n">
        <v>358</v>
      </c>
      <c r="B359" s="2" t="inlineStr">
        <is>
          <t>KBB-006</t>
        </is>
      </c>
      <c r="C359" s="3" t="inlineStr">
        <is>
          <t>KBB-006</t>
        </is>
      </c>
      <c r="D359" s="2" t="inlineStr">
        <is>
          <t>Cái</t>
        </is>
      </c>
      <c r="E359" s="9" t="n">
        <v>6300</v>
      </c>
      <c r="F359" s="3" t="inlineStr">
        <is>
          <t>Sổ chi tiết bán hàng KingBlue</t>
        </is>
      </c>
    </row>
    <row r="360">
      <c r="A360" s="2" t="n">
        <v>359</v>
      </c>
      <c r="B360" s="2" t="inlineStr">
        <is>
          <t>KBB-008</t>
        </is>
      </c>
      <c r="C360" s="3" t="inlineStr">
        <is>
          <t>KBB-008</t>
        </is>
      </c>
      <c r="D360" s="2" t="inlineStr">
        <is>
          <t>Cái</t>
        </is>
      </c>
      <c r="E360" s="9" t="n">
        <v>7900</v>
      </c>
      <c r="F360" s="3" t="inlineStr">
        <is>
          <t>Sổ chi tiết bán hàng KingBlue</t>
        </is>
      </c>
    </row>
    <row r="361">
      <c r="A361" s="2" t="n">
        <v>360</v>
      </c>
      <c r="B361" s="2" t="inlineStr">
        <is>
          <t>KBB-010</t>
        </is>
      </c>
      <c r="C361" s="3" t="inlineStr">
        <is>
          <t>KBB-010</t>
        </is>
      </c>
      <c r="D361" s="2" t="inlineStr">
        <is>
          <t>Cái</t>
        </is>
      </c>
      <c r="E361" s="9" t="n">
        <v>10000</v>
      </c>
      <c r="F361" s="3" t="inlineStr">
        <is>
          <t>Sổ chi tiết bán hàng KingBlue</t>
        </is>
      </c>
    </row>
    <row r="362">
      <c r="A362" s="2" t="n">
        <v>361</v>
      </c>
      <c r="B362" s="2" t="inlineStr">
        <is>
          <t>KBB-012</t>
        </is>
      </c>
      <c r="C362" s="3" t="inlineStr">
        <is>
          <t>KBB-012</t>
        </is>
      </c>
      <c r="D362" s="2" t="inlineStr">
        <is>
          <t>Cái</t>
        </is>
      </c>
      <c r="E362" s="9" t="n">
        <v>12000</v>
      </c>
      <c r="F362" s="3" t="inlineStr">
        <is>
          <t>Sổ chi tiết bán hàng KingBlue</t>
        </is>
      </c>
    </row>
    <row r="363">
      <c r="A363" s="2" t="n">
        <v>362</v>
      </c>
      <c r="B363" s="2" t="inlineStr">
        <is>
          <t>KBB-014</t>
        </is>
      </c>
      <c r="C363" s="3" t="inlineStr">
        <is>
          <t>KBB-014</t>
        </is>
      </c>
      <c r="D363" s="2" t="inlineStr">
        <is>
          <t>Cái</t>
        </is>
      </c>
      <c r="E363" s="9" t="n">
        <v>14000</v>
      </c>
      <c r="F363" s="3" t="inlineStr">
        <is>
          <t>Sổ chi tiết bán hàng KingBlue</t>
        </is>
      </c>
    </row>
    <row r="364">
      <c r="A364" s="2" t="n">
        <v>363</v>
      </c>
      <c r="B364" s="2" t="inlineStr">
        <is>
          <t>KBB-016</t>
        </is>
      </c>
      <c r="C364" s="3" t="inlineStr">
        <is>
          <t>KBB-016</t>
        </is>
      </c>
      <c r="D364" s="2" t="inlineStr">
        <is>
          <t>Cái</t>
        </is>
      </c>
      <c r="E364" s="9" t="n">
        <v>16000</v>
      </c>
      <c r="F364" s="3" t="inlineStr">
        <is>
          <t>Sổ chi tiết bán hàng KingBlue</t>
        </is>
      </c>
    </row>
    <row r="365">
      <c r="A365" s="2" t="n">
        <v>364</v>
      </c>
      <c r="B365" s="2" t="inlineStr">
        <is>
          <t>KBB-018</t>
        </is>
      </c>
      <c r="C365" s="3" t="inlineStr">
        <is>
          <t>KBB-018</t>
        </is>
      </c>
      <c r="D365" s="2" t="inlineStr">
        <is>
          <t>Cái</t>
        </is>
      </c>
      <c r="E365" s="9" t="n">
        <v>18000</v>
      </c>
      <c r="F365" s="3" t="inlineStr">
        <is>
          <t>Sổ chi tiết bán hàng KingBlue</t>
        </is>
      </c>
    </row>
    <row r="366">
      <c r="A366" s="2" t="n">
        <v>365</v>
      </c>
      <c r="B366" s="2" t="inlineStr">
        <is>
          <t>KBB-020</t>
        </is>
      </c>
      <c r="C366" s="3" t="inlineStr">
        <is>
          <t>KBB-020</t>
        </is>
      </c>
      <c r="D366" s="2" t="inlineStr">
        <is>
          <t>Cái</t>
        </is>
      </c>
      <c r="E366" s="9" t="n">
        <v>20000</v>
      </c>
      <c r="F366" s="3" t="inlineStr">
        <is>
          <t>Sổ chi tiết bán hàng KingBlue</t>
        </is>
      </c>
    </row>
    <row r="367">
      <c r="A367" s="2" t="n">
        <v>366</v>
      </c>
      <c r="B367" s="2" t="inlineStr">
        <is>
          <t>KBB-021</t>
        </is>
      </c>
      <c r="C367" s="3" t="inlineStr">
        <is>
          <t>KBB-021</t>
        </is>
      </c>
      <c r="D367" s="2" t="inlineStr">
        <is>
          <t>Cái</t>
        </is>
      </c>
      <c r="E367" s="9" t="n">
        <v>21000</v>
      </c>
      <c r="F367" s="3" t="inlineStr">
        <is>
          <t>Sổ chi tiết bán hàng KingBlue</t>
        </is>
      </c>
    </row>
    <row r="368">
      <c r="A368" s="2" t="n">
        <v>367</v>
      </c>
      <c r="B368" s="2" t="inlineStr">
        <is>
          <t>KBB-022</t>
        </is>
      </c>
      <c r="C368" s="3" t="inlineStr">
        <is>
          <t>KBB-022</t>
        </is>
      </c>
      <c r="D368" s="2" t="inlineStr">
        <is>
          <t>Cái</t>
        </is>
      </c>
      <c r="E368" s="9" t="n">
        <v>22000</v>
      </c>
      <c r="F368" s="3" t="inlineStr">
        <is>
          <t>Sổ chi tiết bán hàng KingBlue</t>
        </is>
      </c>
    </row>
    <row r="369">
      <c r="A369" s="2" t="n">
        <v>368</v>
      </c>
      <c r="B369" s="2" t="inlineStr">
        <is>
          <t>KBB-025</t>
        </is>
      </c>
      <c r="C369" s="3" t="inlineStr">
        <is>
          <t>KBB-025</t>
        </is>
      </c>
      <c r="D369" s="2" t="inlineStr">
        <is>
          <t>Cái</t>
        </is>
      </c>
      <c r="E369" s="9" t="n">
        <v>24000</v>
      </c>
      <c r="F369" s="3" t="inlineStr">
        <is>
          <t>Sổ chi tiết bán hàng KingBlue</t>
        </is>
      </c>
    </row>
    <row r="370">
      <c r="A370" s="2" t="n">
        <v>369</v>
      </c>
      <c r="B370" s="2" t="inlineStr">
        <is>
          <t>KBB-027</t>
        </is>
      </c>
      <c r="C370" s="3" t="inlineStr">
        <is>
          <t>KBB-027</t>
        </is>
      </c>
      <c r="D370" s="2" t="inlineStr">
        <is>
          <t>Cái</t>
        </is>
      </c>
      <c r="E370" s="9" t="n">
        <v>26000</v>
      </c>
      <c r="F370" s="3" t="inlineStr">
        <is>
          <t>Sổ chi tiết bán hàng KingBlue</t>
        </is>
      </c>
    </row>
    <row r="371">
      <c r="A371" s="2" t="n">
        <v>370</v>
      </c>
      <c r="B371" s="2" t="inlineStr">
        <is>
          <t>KBB-030</t>
        </is>
      </c>
      <c r="C371" s="3" t="inlineStr">
        <is>
          <t>KBB-030</t>
        </is>
      </c>
      <c r="D371" s="2" t="inlineStr">
        <is>
          <t>Cái</t>
        </is>
      </c>
      <c r="E371" s="9" t="n">
        <v>29000</v>
      </c>
      <c r="F371" s="3" t="inlineStr">
        <is>
          <t>Sổ chi tiết bán hàng KingBlue</t>
        </is>
      </c>
    </row>
    <row r="372">
      <c r="A372" s="2" t="n">
        <v>371</v>
      </c>
      <c r="B372" s="2" t="inlineStr">
        <is>
          <t>KBB-032</t>
        </is>
      </c>
      <c r="C372" s="3" t="inlineStr">
        <is>
          <t>KBB-032</t>
        </is>
      </c>
      <c r="D372" s="2" t="inlineStr">
        <is>
          <t>Cái</t>
        </is>
      </c>
      <c r="E372" s="9" t="n">
        <v>32000</v>
      </c>
      <c r="F372" s="3" t="inlineStr">
        <is>
          <t>Sổ chi tiết bán hàng KingBlue</t>
        </is>
      </c>
    </row>
    <row r="373">
      <c r="A373" s="2" t="n">
        <v>372</v>
      </c>
      <c r="B373" s="2" t="inlineStr">
        <is>
          <t>KBB-034</t>
        </is>
      </c>
      <c r="C373" s="3" t="inlineStr">
        <is>
          <t>KBB-034</t>
        </is>
      </c>
      <c r="D373" s="2" t="inlineStr">
        <is>
          <t>Cái</t>
        </is>
      </c>
      <c r="E373" s="9" t="n">
        <v>33000</v>
      </c>
      <c r="F373" s="3" t="inlineStr">
        <is>
          <t>Sổ chi tiết bán hàng KingBlue</t>
        </is>
      </c>
    </row>
    <row r="374">
      <c r="A374" s="2" t="n">
        <v>373</v>
      </c>
      <c r="B374" s="2" t="inlineStr">
        <is>
          <t>KBB-035</t>
        </is>
      </c>
      <c r="C374" s="3" t="inlineStr">
        <is>
          <t>KBB-035</t>
        </is>
      </c>
      <c r="D374" s="2" t="inlineStr">
        <is>
          <t>Cái</t>
        </is>
      </c>
      <c r="E374" s="9" t="n">
        <v>34000</v>
      </c>
      <c r="F374" s="3" t="inlineStr">
        <is>
          <t>Sổ chi tiết bán hàng KingBlue</t>
        </is>
      </c>
    </row>
    <row r="375">
      <c r="A375" s="2" t="n">
        <v>374</v>
      </c>
      <c r="B375" s="2" t="inlineStr">
        <is>
          <t>KBB-040</t>
        </is>
      </c>
      <c r="C375" s="3" t="inlineStr">
        <is>
          <t>KBB-040</t>
        </is>
      </c>
      <c r="D375" s="2" t="inlineStr">
        <is>
          <t>Cái</t>
        </is>
      </c>
      <c r="E375" s="9" t="n">
        <v>39000</v>
      </c>
      <c r="F375" s="3" t="inlineStr">
        <is>
          <t>Sổ chi tiết bán hàng KingBlue</t>
        </is>
      </c>
    </row>
    <row r="376">
      <c r="A376" s="2" t="n">
        <v>375</v>
      </c>
      <c r="B376" s="2" t="inlineStr">
        <is>
          <t>KBB-042</t>
        </is>
      </c>
      <c r="C376" s="3" t="inlineStr">
        <is>
          <t>KBB-042</t>
        </is>
      </c>
      <c r="D376" s="2" t="inlineStr">
        <is>
          <t>Cái</t>
        </is>
      </c>
      <c r="E376" s="9" t="n">
        <v>41000</v>
      </c>
      <c r="F376" s="3" t="inlineStr">
        <is>
          <t>Sổ chi tiết bán hàng KingBlue</t>
        </is>
      </c>
    </row>
    <row r="377">
      <c r="A377" s="2" t="n">
        <v>376</v>
      </c>
      <c r="B377" s="2" t="inlineStr">
        <is>
          <t>KBB-045</t>
        </is>
      </c>
      <c r="C377" s="3" t="inlineStr">
        <is>
          <t>KBB-045</t>
        </is>
      </c>
      <c r="D377" s="2" t="inlineStr">
        <is>
          <t>Cái</t>
        </is>
      </c>
      <c r="E377" s="9" t="n">
        <v>44000</v>
      </c>
      <c r="F377" s="3" t="inlineStr">
        <is>
          <t>Sổ chi tiết bán hàng KingBlue</t>
        </is>
      </c>
    </row>
    <row r="378">
      <c r="A378" s="2" t="n">
        <v>377</v>
      </c>
      <c r="B378" s="2" t="inlineStr">
        <is>
          <t>KBB-049</t>
        </is>
      </c>
      <c r="C378" s="3" t="inlineStr">
        <is>
          <t>KBB-049</t>
        </is>
      </c>
      <c r="D378" s="2" t="inlineStr">
        <is>
          <t>Cái</t>
        </is>
      </c>
      <c r="E378" s="9" t="n">
        <v>47000</v>
      </c>
      <c r="F378" s="3" t="inlineStr">
        <is>
          <t>Sổ chi tiết bán hàng KingBlue</t>
        </is>
      </c>
    </row>
    <row r="379">
      <c r="A379" s="2" t="n">
        <v>378</v>
      </c>
      <c r="B379" s="2" t="inlineStr">
        <is>
          <t>KBB-050</t>
        </is>
      </c>
      <c r="C379" s="3" t="inlineStr">
        <is>
          <t>KBB-050</t>
        </is>
      </c>
      <c r="D379" s="2" t="inlineStr">
        <is>
          <t>Cái</t>
        </is>
      </c>
      <c r="E379" s="9" t="n">
        <v>48000</v>
      </c>
      <c r="F379" s="3" t="inlineStr">
        <is>
          <t>Sổ chi tiết bán hàng KingBlue</t>
        </is>
      </c>
    </row>
    <row r="380">
      <c r="A380" s="2" t="n">
        <v>379</v>
      </c>
      <c r="B380" s="2" t="inlineStr">
        <is>
          <t>KBB-055</t>
        </is>
      </c>
      <c r="C380" s="3" t="inlineStr">
        <is>
          <t>KBB-055</t>
        </is>
      </c>
      <c r="D380" s="2" t="inlineStr">
        <is>
          <t>Cái</t>
        </is>
      </c>
      <c r="E380" s="9" t="n">
        <v>54000</v>
      </c>
      <c r="F380" s="3" t="inlineStr">
        <is>
          <t>Sổ chi tiết bán hàng KingBlue</t>
        </is>
      </c>
    </row>
    <row r="381">
      <c r="A381" s="2" t="n">
        <v>380</v>
      </c>
      <c r="B381" s="2" t="inlineStr">
        <is>
          <t>KBB-060</t>
        </is>
      </c>
      <c r="C381" s="3" t="inlineStr">
        <is>
          <t>KBB-060</t>
        </is>
      </c>
      <c r="D381" s="2" t="inlineStr">
        <is>
          <t>Cái</t>
        </is>
      </c>
      <c r="E381" s="9" t="n">
        <v>58000</v>
      </c>
      <c r="F381" s="3" t="inlineStr">
        <is>
          <t>Sổ chi tiết bán hàng KingBlue</t>
        </is>
      </c>
    </row>
    <row r="382">
      <c r="A382" s="2" t="n">
        <v>381</v>
      </c>
      <c r="B382" s="2" t="inlineStr">
        <is>
          <t>KBB-065</t>
        </is>
      </c>
      <c r="C382" s="3" t="inlineStr">
        <is>
          <t>KBB-065</t>
        </is>
      </c>
      <c r="D382" s="2" t="inlineStr">
        <is>
          <t>Cái</t>
        </is>
      </c>
      <c r="E382" s="9" t="n">
        <v>60000</v>
      </c>
      <c r="F382" s="3" t="inlineStr">
        <is>
          <t>Sổ chi tiết bán hàng KingBlue</t>
        </is>
      </c>
    </row>
    <row r="383">
      <c r="A383" s="2" t="n">
        <v>382</v>
      </c>
      <c r="B383" s="2" t="inlineStr">
        <is>
          <t>KBB-070</t>
        </is>
      </c>
      <c r="C383" s="3" t="inlineStr">
        <is>
          <t>KBB-070</t>
        </is>
      </c>
      <c r="D383" s="2" t="inlineStr">
        <is>
          <t>Cái</t>
        </is>
      </c>
      <c r="E383" s="9" t="n">
        <v>85000</v>
      </c>
      <c r="F383" s="3" t="inlineStr">
        <is>
          <t>Sổ chi tiết bán hàng KingBlue</t>
        </is>
      </c>
    </row>
    <row r="384">
      <c r="A384" s="2" t="n">
        <v>383</v>
      </c>
      <c r="B384" s="2" t="inlineStr">
        <is>
          <t>KBB-075</t>
        </is>
      </c>
      <c r="C384" s="3" t="inlineStr">
        <is>
          <t>KBB-075</t>
        </is>
      </c>
      <c r="D384" s="2" t="inlineStr">
        <is>
          <t>Cái</t>
        </is>
      </c>
      <c r="E384" s="9" t="n">
        <v>91000</v>
      </c>
      <c r="F384" s="3" t="inlineStr">
        <is>
          <t>Sổ chi tiết bán hàng KingBlue</t>
        </is>
      </c>
    </row>
    <row r="385">
      <c r="A385" s="2" t="n">
        <v>384</v>
      </c>
      <c r="B385" s="2" t="inlineStr">
        <is>
          <t>KBB-080</t>
        </is>
      </c>
      <c r="C385" s="3" t="inlineStr">
        <is>
          <t>KBB-080</t>
        </is>
      </c>
      <c r="D385" s="2" t="inlineStr">
        <is>
          <t>Cái</t>
        </is>
      </c>
      <c r="E385" s="9" t="n">
        <v>97000</v>
      </c>
      <c r="F385" s="3" t="inlineStr">
        <is>
          <t>Sổ chi tiết bán hàng KingBlue</t>
        </is>
      </c>
    </row>
    <row r="386">
      <c r="A386" s="2" t="n">
        <v>385</v>
      </c>
      <c r="B386" s="2" t="inlineStr">
        <is>
          <t>KBB-090</t>
        </is>
      </c>
      <c r="C386" s="3" t="inlineStr">
        <is>
          <t>KBB-090</t>
        </is>
      </c>
      <c r="D386" s="2" t="inlineStr">
        <is>
          <t>Cái</t>
        </is>
      </c>
      <c r="E386" s="9" t="n">
        <v>109000</v>
      </c>
      <c r="F386" s="3" t="inlineStr">
        <is>
          <t>Sổ chi tiết bán hàng KingBlue</t>
        </is>
      </c>
    </row>
    <row r="387">
      <c r="A387" s="2" t="n">
        <v>386</v>
      </c>
      <c r="B387" s="2" t="inlineStr">
        <is>
          <t>KBC-I1800</t>
        </is>
      </c>
      <c r="C387" s="3" t="inlineStr">
        <is>
          <t>KBC-I1800</t>
        </is>
      </c>
      <c r="D387" s="2" t="inlineStr">
        <is>
          <t>Cái</t>
        </is>
      </c>
      <c r="E387" s="9" t="n">
        <v>3200000</v>
      </c>
      <c r="F387" s="3" t="inlineStr">
        <is>
          <t>Sổ chi tiết bán hàng KingBlue</t>
        </is>
      </c>
    </row>
    <row r="388">
      <c r="A388" s="2" t="n">
        <v>387</v>
      </c>
      <c r="B388" s="2" t="inlineStr">
        <is>
          <t>KBC-I2400</t>
        </is>
      </c>
      <c r="C388" s="3" t="inlineStr">
        <is>
          <t>KBC-I2400</t>
        </is>
      </c>
      <c r="D388" s="2" t="inlineStr">
        <is>
          <t>Cái</t>
        </is>
      </c>
      <c r="E388" s="9" t="n">
        <v>8200000</v>
      </c>
      <c r="F388" s="3" t="inlineStr">
        <is>
          <t>Sổ chi tiết bán hàng KingBlue</t>
        </is>
      </c>
    </row>
    <row r="389">
      <c r="A389" s="2" t="n">
        <v>388</v>
      </c>
      <c r="B389" s="2" t="inlineStr">
        <is>
          <t>KBE-BL2816</t>
        </is>
      </c>
      <c r="C389" s="3" t="inlineStr">
        <is>
          <t>KBE-BL2816</t>
        </is>
      </c>
      <c r="D389" s="2" t="inlineStr">
        <is>
          <t>Cái</t>
        </is>
      </c>
      <c r="E389" s="9" t="n">
        <v>1600000</v>
      </c>
      <c r="F389" s="3" t="inlineStr">
        <is>
          <t>Sổ chi tiết bán hàng KingBlue</t>
        </is>
      </c>
    </row>
    <row r="390">
      <c r="A390" s="2" t="n">
        <v>389</v>
      </c>
      <c r="B390" s="2" t="inlineStr">
        <is>
          <t>KBG2-06*100</t>
        </is>
      </c>
      <c r="C390" s="3" t="inlineStr">
        <is>
          <t>KBG2-06*100</t>
        </is>
      </c>
      <c r="D390" s="2" t="inlineStr">
        <is>
          <t>Cái</t>
        </is>
      </c>
      <c r="E390" s="9" t="n">
        <v>12000</v>
      </c>
      <c r="F390" s="3" t="inlineStr">
        <is>
          <t>Sổ chi tiết bán hàng KingBlue</t>
        </is>
      </c>
    </row>
    <row r="391">
      <c r="A391" s="2" t="n">
        <v>390</v>
      </c>
      <c r="B391" s="2" t="inlineStr">
        <is>
          <t>KBG2-08*100</t>
        </is>
      </c>
      <c r="C391" s="3" t="inlineStr">
        <is>
          <t>KBG2-08*100</t>
        </is>
      </c>
      <c r="D391" s="2" t="inlineStr">
        <is>
          <t>Cái</t>
        </is>
      </c>
      <c r="E391" s="9" t="n">
        <v>23500</v>
      </c>
      <c r="F391" s="3" t="inlineStr">
        <is>
          <t>Sổ chi tiết bán hàng KingBlue</t>
        </is>
      </c>
    </row>
    <row r="392">
      <c r="A392" s="2" t="n">
        <v>391</v>
      </c>
      <c r="B392" s="2" t="inlineStr">
        <is>
          <t>KBG2-10*120</t>
        </is>
      </c>
      <c r="C392" s="3" t="inlineStr">
        <is>
          <t>KBG2-10*120</t>
        </is>
      </c>
      <c r="D392" s="2" t="inlineStr">
        <is>
          <t>Cái</t>
        </is>
      </c>
      <c r="E392" s="9" t="n">
        <v>19000</v>
      </c>
      <c r="F392" s="3" t="inlineStr">
        <is>
          <t>Sổ chi tiết bán hàng KingBlue</t>
        </is>
      </c>
    </row>
    <row r="393">
      <c r="A393" s="2" t="n">
        <v>392</v>
      </c>
      <c r="B393" s="2" t="inlineStr">
        <is>
          <t>KBG2-12*120</t>
        </is>
      </c>
      <c r="C393" s="3" t="inlineStr">
        <is>
          <t>KBG2-12*120</t>
        </is>
      </c>
      <c r="D393" s="2" t="inlineStr">
        <is>
          <t>Cái</t>
        </is>
      </c>
      <c r="E393" s="9" t="n">
        <v>24000</v>
      </c>
      <c r="F393" s="3" t="inlineStr">
        <is>
          <t>Sổ chi tiết bán hàng KingBlue</t>
        </is>
      </c>
    </row>
    <row r="394">
      <c r="A394" s="2" t="n">
        <v>393</v>
      </c>
      <c r="B394" s="2" t="inlineStr">
        <is>
          <t>KBG2S-06*100</t>
        </is>
      </c>
      <c r="C394" s="3" t="inlineStr">
        <is>
          <t>KBG2S-06*100</t>
        </is>
      </c>
      <c r="D394" s="2" t="inlineStr">
        <is>
          <t>Cái</t>
        </is>
      </c>
      <c r="E394" s="9" t="n">
        <v>14500</v>
      </c>
      <c r="F394" s="3" t="inlineStr">
        <is>
          <t>Sổ chi tiết bán hàng KingBlue</t>
        </is>
      </c>
    </row>
    <row r="395">
      <c r="A395" s="2" t="n">
        <v>394</v>
      </c>
      <c r="B395" s="2" t="inlineStr">
        <is>
          <t>KBG2S-08*100</t>
        </is>
      </c>
      <c r="C395" s="3" t="inlineStr">
        <is>
          <t>KBG2S-08*100</t>
        </is>
      </c>
      <c r="D395" s="2" t="inlineStr">
        <is>
          <t>Cái</t>
        </is>
      </c>
      <c r="E395" s="9" t="n">
        <v>21000</v>
      </c>
      <c r="F395" s="3" t="inlineStr">
        <is>
          <t>Sổ chi tiết bán hàng KingBlue</t>
        </is>
      </c>
    </row>
    <row r="396">
      <c r="A396" s="2" t="n">
        <v>395</v>
      </c>
      <c r="B396" s="2" t="inlineStr">
        <is>
          <t>KBG2S-10*120</t>
        </is>
      </c>
      <c r="C396" s="3" t="inlineStr">
        <is>
          <t>KBG2S-10*120</t>
        </is>
      </c>
      <c r="D396" s="2" t="inlineStr">
        <is>
          <t>Cái</t>
        </is>
      </c>
      <c r="E396" s="9" t="n">
        <v>25500</v>
      </c>
      <c r="F396" s="3" t="inlineStr">
        <is>
          <t>Sổ chi tiết bán hàng KingBlue</t>
        </is>
      </c>
    </row>
    <row r="397">
      <c r="A397" s="2" t="n">
        <v>396</v>
      </c>
      <c r="B397" s="2" t="inlineStr">
        <is>
          <t>KBG2S-12*120</t>
        </is>
      </c>
      <c r="C397" s="3" t="inlineStr">
        <is>
          <t>KBG2S-12*120</t>
        </is>
      </c>
      <c r="D397" s="2" t="inlineStr">
        <is>
          <t>Cái</t>
        </is>
      </c>
      <c r="E397" s="9" t="n">
        <v>32000</v>
      </c>
      <c r="F397" s="3" t="inlineStr">
        <is>
          <t>Sổ chi tiết bán hàng KingBlue</t>
        </is>
      </c>
    </row>
    <row r="398">
      <c r="A398" s="2" t="n">
        <v>397</v>
      </c>
      <c r="B398" s="2" t="inlineStr">
        <is>
          <t>KBH2-06*100</t>
        </is>
      </c>
      <c r="C398" s="3" t="inlineStr">
        <is>
          <t>KBH2-06*100</t>
        </is>
      </c>
      <c r="D398" s="2" t="inlineStr">
        <is>
          <t>Cái</t>
        </is>
      </c>
      <c r="E398" s="9" t="n">
        <v>14000</v>
      </c>
      <c r="F398" s="3" t="inlineStr">
        <is>
          <t>Sổ chi tiết bán hàng KingBlue</t>
        </is>
      </c>
    </row>
    <row r="399">
      <c r="A399" s="2" t="n">
        <v>398</v>
      </c>
      <c r="B399" s="2" t="inlineStr">
        <is>
          <t>KBH2-08*100</t>
        </is>
      </c>
      <c r="C399" s="3" t="inlineStr">
        <is>
          <t>KBH2-08*100</t>
        </is>
      </c>
      <c r="D399" s="2" t="inlineStr">
        <is>
          <t>Cái</t>
        </is>
      </c>
      <c r="E399" s="9" t="n">
        <v>21000</v>
      </c>
      <c r="F399" s="3" t="inlineStr">
        <is>
          <t>Sổ chi tiết bán hàng KingBlue</t>
        </is>
      </c>
    </row>
    <row r="400">
      <c r="A400" s="2" t="n">
        <v>399</v>
      </c>
      <c r="B400" s="2" t="inlineStr">
        <is>
          <t>KBH2-10*120</t>
        </is>
      </c>
      <c r="C400" s="3" t="inlineStr">
        <is>
          <t>KBH2-10*120</t>
        </is>
      </c>
      <c r="D400" s="2" t="inlineStr">
        <is>
          <t>Cái</t>
        </is>
      </c>
      <c r="E400" s="9" t="n">
        <v>25500</v>
      </c>
      <c r="F400" s="3" t="inlineStr">
        <is>
          <t>Sổ chi tiết bán hàng KingBlue</t>
        </is>
      </c>
    </row>
    <row r="401">
      <c r="A401" s="2" t="n">
        <v>400</v>
      </c>
      <c r="B401" s="2" t="inlineStr">
        <is>
          <t>KBH2-12*120</t>
        </is>
      </c>
      <c r="C401" s="3" t="inlineStr">
        <is>
          <t>KBH2-12*120</t>
        </is>
      </c>
      <c r="D401" s="2" t="inlineStr">
        <is>
          <t>Cái</t>
        </is>
      </c>
      <c r="E401" s="9" t="n">
        <v>31000</v>
      </c>
      <c r="F401" s="3" t="inlineStr">
        <is>
          <t>Sổ chi tiết bán hàng KingBlue</t>
        </is>
      </c>
    </row>
    <row r="402">
      <c r="A402" s="2" t="n">
        <v>401</v>
      </c>
      <c r="B402" s="2" t="inlineStr">
        <is>
          <t>KBH2E-03*120</t>
        </is>
      </c>
      <c r="C402" s="3" t="inlineStr">
        <is>
          <t>KBH2E-03*120</t>
        </is>
      </c>
      <c r="D402" s="2" t="inlineStr">
        <is>
          <t>Cái</t>
        </is>
      </c>
      <c r="E402" s="9" t="n">
        <v>37000</v>
      </c>
      <c r="F402" s="3" t="inlineStr">
        <is>
          <t>Sổ chi tiết bán hàng KingBlue</t>
        </is>
      </c>
    </row>
    <row r="403">
      <c r="A403" s="2" t="n">
        <v>402</v>
      </c>
      <c r="B403" s="2" t="inlineStr">
        <is>
          <t>KBH2E-04*150</t>
        </is>
      </c>
      <c r="C403" s="3" t="inlineStr">
        <is>
          <t>KBH2E-04*150</t>
        </is>
      </c>
      <c r="D403" s="2" t="inlineStr">
        <is>
          <t>Cái</t>
        </is>
      </c>
      <c r="E403" s="9" t="n">
        <v>37000</v>
      </c>
      <c r="F403" s="3" t="inlineStr">
        <is>
          <t>Sổ chi tiết bán hàng KingBlue</t>
        </is>
      </c>
    </row>
    <row r="404">
      <c r="A404" s="2" t="n">
        <v>403</v>
      </c>
      <c r="B404" s="2" t="inlineStr">
        <is>
          <t>KBH2E-06*150</t>
        </is>
      </c>
      <c r="C404" s="3" t="inlineStr">
        <is>
          <t>KBH2E-06*150</t>
        </is>
      </c>
      <c r="D404" s="2" t="inlineStr">
        <is>
          <t>Cái</t>
        </is>
      </c>
      <c r="E404" s="9" t="n">
        <v>40000</v>
      </c>
      <c r="F404" s="3" t="inlineStr">
        <is>
          <t>Sổ chi tiết bán hàng KingBlue</t>
        </is>
      </c>
    </row>
    <row r="405">
      <c r="A405" s="2" t="n">
        <v>404</v>
      </c>
      <c r="B405" s="2" t="inlineStr">
        <is>
          <t>KBH2E-08*150</t>
        </is>
      </c>
      <c r="C405" s="3" t="inlineStr">
        <is>
          <t>KBH2E-08*150</t>
        </is>
      </c>
      <c r="D405" s="2" t="inlineStr">
        <is>
          <t>Cái</t>
        </is>
      </c>
      <c r="E405" s="9" t="n">
        <v>52000</v>
      </c>
      <c r="F405" s="3" t="inlineStr">
        <is>
          <t>Sổ chi tiết bán hàng KingBlue</t>
        </is>
      </c>
    </row>
    <row r="406">
      <c r="A406" s="2" t="n">
        <v>405</v>
      </c>
      <c r="B406" s="2" t="inlineStr">
        <is>
          <t>KBH2E-10*150</t>
        </is>
      </c>
      <c r="C406" s="3" t="inlineStr">
        <is>
          <t>KBH2E-10*150</t>
        </is>
      </c>
      <c r="D406" s="2" t="inlineStr">
        <is>
          <t>Cái</t>
        </is>
      </c>
      <c r="E406" s="9" t="n">
        <v>62000</v>
      </c>
      <c r="F406" s="3" t="inlineStr">
        <is>
          <t>Sổ chi tiết bán hàng KingBlue</t>
        </is>
      </c>
    </row>
    <row r="407">
      <c r="A407" s="2" t="n">
        <v>406</v>
      </c>
      <c r="B407" s="2" t="inlineStr">
        <is>
          <t>KBH2E-12*150</t>
        </is>
      </c>
      <c r="C407" s="3" t="inlineStr">
        <is>
          <t>KBH2E-12*150</t>
        </is>
      </c>
      <c r="D407" s="2" t="inlineStr">
        <is>
          <t>Cái</t>
        </is>
      </c>
      <c r="E407" s="9" t="n">
        <v>80000</v>
      </c>
      <c r="F407" s="3" t="inlineStr">
        <is>
          <t>Sổ chi tiết bán hàng KingBlue</t>
        </is>
      </c>
    </row>
    <row r="408">
      <c r="A408" s="2" t="n">
        <v>407</v>
      </c>
      <c r="B408" s="2" t="inlineStr">
        <is>
          <t>KBH2E-3.2*120</t>
        </is>
      </c>
      <c r="C408" s="3" t="inlineStr">
        <is>
          <t>KBH2E-3.2*120</t>
        </is>
      </c>
      <c r="D408" s="2" t="inlineStr">
        <is>
          <t>Cái</t>
        </is>
      </c>
      <c r="E408" s="9" t="n">
        <v>37000</v>
      </c>
      <c r="F408" s="3" t="inlineStr">
        <is>
          <t>Sổ chi tiết bán hàng KingBlue</t>
        </is>
      </c>
    </row>
    <row r="409">
      <c r="A409" s="2" t="n">
        <v>408</v>
      </c>
      <c r="B409" s="2" t="inlineStr">
        <is>
          <t>KBH2F-03*95</t>
        </is>
      </c>
      <c r="C409" s="3" t="inlineStr">
        <is>
          <t>KBH2F-03*95</t>
        </is>
      </c>
      <c r="D409" s="2" t="inlineStr">
        <is>
          <t>Cái</t>
        </is>
      </c>
      <c r="E409" s="9" t="n">
        <v>35000</v>
      </c>
      <c r="F409" s="3" t="inlineStr">
        <is>
          <t>Sổ chi tiết bán hàng KingBlue</t>
        </is>
      </c>
    </row>
    <row r="410">
      <c r="A410" s="2" t="n">
        <v>409</v>
      </c>
      <c r="B410" s="2" t="inlineStr">
        <is>
          <t>KBH2F-04*95</t>
        </is>
      </c>
      <c r="C410" s="3" t="inlineStr">
        <is>
          <t>KBH2F-04*95</t>
        </is>
      </c>
      <c r="D410" s="2" t="inlineStr">
        <is>
          <t>Cái</t>
        </is>
      </c>
      <c r="E410" s="9" t="n">
        <v>35000</v>
      </c>
      <c r="F410" s="3" t="inlineStr">
        <is>
          <t>Sổ chi tiết bán hàng KingBlue</t>
        </is>
      </c>
    </row>
    <row r="411">
      <c r="A411" s="2" t="n">
        <v>410</v>
      </c>
      <c r="B411" s="2" t="inlineStr">
        <is>
          <t>KBH2F-05*95</t>
        </is>
      </c>
      <c r="C411" s="3" t="inlineStr">
        <is>
          <t>KBH2F-05*95</t>
        </is>
      </c>
      <c r="D411" s="2" t="inlineStr">
        <is>
          <t>Cái</t>
        </is>
      </c>
      <c r="E411" s="9" t="n">
        <v>35000</v>
      </c>
      <c r="F411" s="3" t="inlineStr">
        <is>
          <t>Sổ chi tiết bán hàng KingBlue</t>
        </is>
      </c>
    </row>
    <row r="412">
      <c r="A412" s="2" t="n">
        <v>411</v>
      </c>
      <c r="B412" s="2" t="inlineStr">
        <is>
          <t>KBH2F-06*95</t>
        </is>
      </c>
      <c r="C412" s="3" t="inlineStr">
        <is>
          <t>KBH2F-06*95</t>
        </is>
      </c>
      <c r="D412" s="2" t="inlineStr">
        <is>
          <t>Cái</t>
        </is>
      </c>
      <c r="E412" s="9" t="n">
        <v>35000</v>
      </c>
      <c r="F412" s="3" t="inlineStr">
        <is>
          <t>Sổ chi tiết bán hàng KingBlue</t>
        </is>
      </c>
    </row>
    <row r="413">
      <c r="A413" s="2" t="n">
        <v>412</v>
      </c>
      <c r="B413" s="2" t="inlineStr">
        <is>
          <t>KBH2F-08*95</t>
        </is>
      </c>
      <c r="C413" s="3" t="inlineStr">
        <is>
          <t>KBH2F-08*95</t>
        </is>
      </c>
      <c r="D413" s="2" t="inlineStr">
        <is>
          <t>Cái</t>
        </is>
      </c>
      <c r="E413" s="9" t="n">
        <v>43000</v>
      </c>
      <c r="F413" s="3" t="inlineStr">
        <is>
          <t>Sổ chi tiết bán hàng KingBlue</t>
        </is>
      </c>
    </row>
    <row r="414">
      <c r="A414" s="2" t="n">
        <v>413</v>
      </c>
      <c r="B414" s="2" t="inlineStr">
        <is>
          <t>KBH2F-10*95</t>
        </is>
      </c>
      <c r="C414" s="3" t="inlineStr">
        <is>
          <t>KBH2F-10*95</t>
        </is>
      </c>
      <c r="D414" s="2" t="inlineStr">
        <is>
          <t>Cái</t>
        </is>
      </c>
      <c r="E414" s="9" t="n">
        <v>53000</v>
      </c>
      <c r="F414" s="3" t="inlineStr">
        <is>
          <t>Sổ chi tiết bán hàng KingBlue</t>
        </is>
      </c>
    </row>
    <row r="415">
      <c r="A415" s="2" t="n">
        <v>414</v>
      </c>
      <c r="B415" s="2" t="inlineStr">
        <is>
          <t>KBH2F-12*95</t>
        </is>
      </c>
      <c r="C415" s="3" t="inlineStr">
        <is>
          <t>KBH2F-12*95</t>
        </is>
      </c>
      <c r="D415" s="2" t="inlineStr">
        <is>
          <t>Cái</t>
        </is>
      </c>
      <c r="E415" s="9" t="n">
        <v>59000</v>
      </c>
      <c r="F415" s="3" t="inlineStr">
        <is>
          <t>Sổ chi tiết bán hàng KingBlue</t>
        </is>
      </c>
    </row>
    <row r="416">
      <c r="A416" s="2" t="n">
        <v>415</v>
      </c>
      <c r="B416" s="2" t="inlineStr">
        <is>
          <t>KBH4S-06*100</t>
        </is>
      </c>
      <c r="C416" s="3" t="inlineStr">
        <is>
          <t>KBH4S-06*100</t>
        </is>
      </c>
      <c r="D416" s="2" t="inlineStr">
        <is>
          <t>Cái</t>
        </is>
      </c>
      <c r="E416" s="9" t="n">
        <v>32000</v>
      </c>
      <c r="F416" s="3" t="inlineStr">
        <is>
          <t>Sổ chi tiết bán hàng KingBlue</t>
        </is>
      </c>
    </row>
    <row r="417">
      <c r="A417" s="2" t="n">
        <v>416</v>
      </c>
      <c r="B417" s="2" t="inlineStr">
        <is>
          <t>KBH4S-08*117</t>
        </is>
      </c>
      <c r="C417" s="3" t="inlineStr">
        <is>
          <t>KBH4S-08*117</t>
        </is>
      </c>
      <c r="D417" s="2" t="inlineStr">
        <is>
          <t>Cái</t>
        </is>
      </c>
      <c r="E417" s="9" t="n">
        <v>41000</v>
      </c>
      <c r="F417" s="3" t="inlineStr">
        <is>
          <t>Sổ chi tiết bán hàng KingBlue</t>
        </is>
      </c>
    </row>
    <row r="418">
      <c r="A418" s="2" t="n">
        <v>417</v>
      </c>
      <c r="B418" s="2" t="inlineStr">
        <is>
          <t>KBH4S-10*123</t>
        </is>
      </c>
      <c r="C418" s="3" t="inlineStr">
        <is>
          <t>KBH4S-10*123</t>
        </is>
      </c>
      <c r="D418" s="2" t="inlineStr">
        <is>
          <t>Cái</t>
        </is>
      </c>
      <c r="E418" s="9" t="n">
        <v>51000</v>
      </c>
      <c r="F418" s="3" t="inlineStr">
        <is>
          <t>Sổ chi tiết bán hàng KingBlue</t>
        </is>
      </c>
    </row>
    <row r="419">
      <c r="A419" s="2" t="n">
        <v>418</v>
      </c>
      <c r="B419" s="2" t="inlineStr">
        <is>
          <t>KBH4S-12*123</t>
        </is>
      </c>
      <c r="C419" s="3" t="inlineStr">
        <is>
          <t>KBH4S-12*123</t>
        </is>
      </c>
      <c r="D419" s="2" t="inlineStr">
        <is>
          <t>Cái</t>
        </is>
      </c>
      <c r="E419" s="9" t="n">
        <v>62000</v>
      </c>
      <c r="F419" s="3" t="inlineStr">
        <is>
          <t>Sổ chi tiết bán hàng KingBlue</t>
        </is>
      </c>
    </row>
    <row r="420">
      <c r="A420" s="2" t="n">
        <v>419</v>
      </c>
      <c r="B420" s="2" t="inlineStr">
        <is>
          <t>KBH4S-3.5*92</t>
        </is>
      </c>
      <c r="C420" s="3" t="inlineStr">
        <is>
          <t>KBH4S-3.5*92</t>
        </is>
      </c>
      <c r="D420" s="2" t="inlineStr">
        <is>
          <t>Cái</t>
        </is>
      </c>
      <c r="E420" s="9" t="n">
        <v>32000</v>
      </c>
      <c r="F420" s="3" t="inlineStr">
        <is>
          <t>Sổ chi tiết bán hàng KingBlue</t>
        </is>
      </c>
    </row>
    <row r="421">
      <c r="A421" s="2" t="n">
        <v>420</v>
      </c>
      <c r="B421" s="2" t="inlineStr">
        <is>
          <t>KBK-06</t>
        </is>
      </c>
      <c r="C421" s="3" t="inlineStr">
        <is>
          <t>KBK-06</t>
        </is>
      </c>
      <c r="D421" s="2" t="inlineStr">
        <is>
          <t>Cái</t>
        </is>
      </c>
      <c r="E421" s="9" t="n">
        <v>28000</v>
      </c>
      <c r="F421" s="3" t="inlineStr">
        <is>
          <t>Sổ chi tiết bán hàng KingBlue</t>
        </is>
      </c>
    </row>
    <row r="422">
      <c r="A422" s="2" t="n">
        <v>421</v>
      </c>
      <c r="B422" s="2" t="inlineStr">
        <is>
          <t>KBK-08</t>
        </is>
      </c>
      <c r="C422" s="3" t="inlineStr">
        <is>
          <t>KBK-08</t>
        </is>
      </c>
      <c r="D422" s="2" t="inlineStr">
        <is>
          <t>Cái</t>
        </is>
      </c>
      <c r="E422" s="9" t="n">
        <v>31000</v>
      </c>
      <c r="F422" s="3" t="inlineStr">
        <is>
          <t>Sổ chi tiết bán hàng KingBlue</t>
        </is>
      </c>
    </row>
    <row r="423">
      <c r="A423" s="2" t="n">
        <v>422</v>
      </c>
      <c r="B423" s="2" t="inlineStr">
        <is>
          <t>KBK-10</t>
        </is>
      </c>
      <c r="C423" s="3" t="inlineStr">
        <is>
          <t>KBK-10</t>
        </is>
      </c>
      <c r="D423" s="2" t="inlineStr">
        <is>
          <t>Cái</t>
        </is>
      </c>
      <c r="E423" s="9" t="n">
        <v>30000</v>
      </c>
      <c r="F423" s="3" t="inlineStr">
        <is>
          <t>Sổ chi tiết bán hàng KingBlue</t>
        </is>
      </c>
    </row>
    <row r="424">
      <c r="A424" s="2" t="n">
        <v>423</v>
      </c>
      <c r="B424" s="2" t="inlineStr">
        <is>
          <t>KBK-100</t>
        </is>
      </c>
      <c r="C424" s="3" t="inlineStr">
        <is>
          <t>KBK-100</t>
        </is>
      </c>
      <c r="D424" s="2" t="inlineStr">
        <is>
          <t>Cái</t>
        </is>
      </c>
      <c r="E424" s="9" t="n">
        <v>326000</v>
      </c>
      <c r="F424" s="3" t="inlineStr">
        <is>
          <t>Sổ chi tiết bán hàng KingBlue</t>
        </is>
      </c>
    </row>
    <row r="425">
      <c r="A425" s="2" t="n">
        <v>424</v>
      </c>
      <c r="B425" s="2" t="inlineStr">
        <is>
          <t>KBK-110</t>
        </is>
      </c>
      <c r="C425" s="3" t="inlineStr">
        <is>
          <t>KBK-110</t>
        </is>
      </c>
      <c r="D425" s="2" t="inlineStr">
        <is>
          <t>Cái</t>
        </is>
      </c>
      <c r="E425" s="9" t="n">
        <v>480000</v>
      </c>
      <c r="F425" s="3" t="inlineStr">
        <is>
          <t>Sổ chi tiết bán hàng KingBlue</t>
        </is>
      </c>
    </row>
    <row r="426">
      <c r="A426" s="2" t="n">
        <v>425</v>
      </c>
      <c r="B426" s="2" t="inlineStr">
        <is>
          <t>KBK-12</t>
        </is>
      </c>
      <c r="C426" s="3" t="inlineStr">
        <is>
          <t>KBK-12</t>
        </is>
      </c>
      <c r="D426" s="2" t="inlineStr">
        <is>
          <t>Cái</t>
        </is>
      </c>
      <c r="E426" s="9" t="n">
        <v>46000</v>
      </c>
      <c r="F426" s="3" t="inlineStr">
        <is>
          <t>Sổ chi tiết bán hàng KingBlue</t>
        </is>
      </c>
    </row>
    <row r="427">
      <c r="A427" s="2" t="n">
        <v>426</v>
      </c>
      <c r="B427" s="2" t="inlineStr">
        <is>
          <t>KBK-14</t>
        </is>
      </c>
      <c r="C427" s="3" t="inlineStr">
        <is>
          <t>KBK-14</t>
        </is>
      </c>
      <c r="D427" s="2" t="inlineStr">
        <is>
          <t>Cái</t>
        </is>
      </c>
      <c r="E427" s="9" t="n">
        <v>43000</v>
      </c>
      <c r="F427" s="3" t="inlineStr">
        <is>
          <t>Sổ chi tiết bán hàng KingBlue</t>
        </is>
      </c>
    </row>
    <row r="428">
      <c r="A428" s="2" t="n">
        <v>427</v>
      </c>
      <c r="B428" s="2" t="inlineStr">
        <is>
          <t>KBK-16</t>
        </is>
      </c>
      <c r="C428" s="3" t="inlineStr">
        <is>
          <t>KBK-16</t>
        </is>
      </c>
      <c r="D428" s="2" t="inlineStr">
        <is>
          <t>Cái</t>
        </is>
      </c>
      <c r="E428" s="9" t="n">
        <v>42000</v>
      </c>
      <c r="F428" s="3" t="inlineStr">
        <is>
          <t>Sổ chi tiết bán hàng KingBlue</t>
        </is>
      </c>
    </row>
    <row r="429">
      <c r="A429" s="2" t="n">
        <v>428</v>
      </c>
      <c r="B429" s="2" t="inlineStr">
        <is>
          <t>KBK-18</t>
        </is>
      </c>
      <c r="C429" s="3" t="inlineStr">
        <is>
          <t>KBK-18</t>
        </is>
      </c>
      <c r="D429" s="2" t="inlineStr">
        <is>
          <t>Cái</t>
        </is>
      </c>
      <c r="E429" s="9" t="n">
        <v>54000</v>
      </c>
      <c r="F429" s="3" t="inlineStr">
        <is>
          <t>Sổ chi tiết bán hàng KingBlue</t>
        </is>
      </c>
    </row>
    <row r="430">
      <c r="A430" s="2" t="n">
        <v>429</v>
      </c>
      <c r="B430" s="2" t="inlineStr">
        <is>
          <t>KBK-20</t>
        </is>
      </c>
      <c r="C430" s="3" t="inlineStr">
        <is>
          <t>KBK-20</t>
        </is>
      </c>
      <c r="D430" s="2" t="inlineStr">
        <is>
          <t>Cái</t>
        </is>
      </c>
      <c r="E430" s="9" t="n">
        <v>69000</v>
      </c>
      <c r="F430" s="3" t="inlineStr">
        <is>
          <t>Sổ chi tiết bán hàng KingBlue</t>
        </is>
      </c>
    </row>
    <row r="431">
      <c r="A431" s="2" t="n">
        <v>430</v>
      </c>
      <c r="B431" s="2" t="inlineStr">
        <is>
          <t>KBK-21</t>
        </is>
      </c>
      <c r="C431" s="3" t="inlineStr">
        <is>
          <t>KBK-21</t>
        </is>
      </c>
      <c r="D431" s="2" t="inlineStr">
        <is>
          <t>Cái</t>
        </is>
      </c>
      <c r="E431" s="9" t="n">
        <v>79000</v>
      </c>
      <c r="F431" s="3" t="inlineStr">
        <is>
          <t>Sổ chi tiết bán hàng KingBlue</t>
        </is>
      </c>
    </row>
    <row r="432">
      <c r="A432" s="2" t="n">
        <v>431</v>
      </c>
      <c r="B432" s="2" t="inlineStr">
        <is>
          <t>KBK-22</t>
        </is>
      </c>
      <c r="C432" s="3" t="inlineStr">
        <is>
          <t>KBK-22</t>
        </is>
      </c>
      <c r="D432" s="2" t="inlineStr">
        <is>
          <t>Cái</t>
        </is>
      </c>
      <c r="E432" s="9" t="n">
        <v>64000</v>
      </c>
      <c r="F432" s="3" t="inlineStr">
        <is>
          <t>Sổ chi tiết bán hàng KingBlue</t>
        </is>
      </c>
    </row>
    <row r="433">
      <c r="A433" s="2" t="n">
        <v>432</v>
      </c>
      <c r="B433" s="2" t="inlineStr">
        <is>
          <t>KBK-25</t>
        </is>
      </c>
      <c r="C433" s="3" t="inlineStr">
        <is>
          <t>KBK-25</t>
        </is>
      </c>
      <c r="D433" s="2" t="inlineStr">
        <is>
          <t>Cái</t>
        </is>
      </c>
      <c r="E433" s="9" t="n">
        <v>73000</v>
      </c>
      <c r="F433" s="3" t="inlineStr">
        <is>
          <t>Sổ chi tiết bán hàng KingBlue</t>
        </is>
      </c>
    </row>
    <row r="434">
      <c r="A434" s="2" t="n">
        <v>433</v>
      </c>
      <c r="B434" s="2" t="inlineStr">
        <is>
          <t>KBK-27</t>
        </is>
      </c>
      <c r="C434" s="3" t="inlineStr">
        <is>
          <t>KBK-27</t>
        </is>
      </c>
      <c r="D434" s="2" t="inlineStr">
        <is>
          <t>Cái</t>
        </is>
      </c>
      <c r="E434" s="9" t="n">
        <v>80000</v>
      </c>
      <c r="F434" s="3" t="inlineStr">
        <is>
          <t>Sổ chi tiết bán hàng KingBlue</t>
        </is>
      </c>
    </row>
    <row r="435">
      <c r="A435" s="2" t="n">
        <v>434</v>
      </c>
      <c r="B435" s="2" t="inlineStr">
        <is>
          <t>KBK-28</t>
        </is>
      </c>
      <c r="C435" s="3" t="inlineStr">
        <is>
          <t>KBK-28</t>
        </is>
      </c>
      <c r="D435" s="2" t="inlineStr">
        <is>
          <t>Cái</t>
        </is>
      </c>
      <c r="E435" s="9" t="n">
        <v>107000</v>
      </c>
      <c r="F435" s="3" t="inlineStr">
        <is>
          <t>Sổ chi tiết bán hàng KingBlue</t>
        </is>
      </c>
    </row>
    <row r="436">
      <c r="A436" s="2" t="n">
        <v>435</v>
      </c>
      <c r="B436" s="2" t="inlineStr">
        <is>
          <t>KBK-30</t>
        </is>
      </c>
      <c r="C436" s="3" t="inlineStr">
        <is>
          <t>KBK-30</t>
        </is>
      </c>
      <c r="D436" s="2" t="inlineStr">
        <is>
          <t>Cái</t>
        </is>
      </c>
      <c r="E436" s="9" t="n">
        <v>87000</v>
      </c>
      <c r="F436" s="3" t="inlineStr">
        <is>
          <t>Sổ chi tiết bán hàng KingBlue</t>
        </is>
      </c>
    </row>
    <row r="437">
      <c r="A437" s="2" t="n">
        <v>436</v>
      </c>
      <c r="B437" s="2" t="inlineStr">
        <is>
          <t>KBK-32</t>
        </is>
      </c>
      <c r="C437" s="3" t="inlineStr">
        <is>
          <t>KBK-32</t>
        </is>
      </c>
      <c r="D437" s="2" t="inlineStr">
        <is>
          <t>Cái</t>
        </is>
      </c>
      <c r="E437" s="9" t="n">
        <v>119000</v>
      </c>
      <c r="F437" s="3" t="inlineStr">
        <is>
          <t>Sổ chi tiết bán hàng KingBlue</t>
        </is>
      </c>
    </row>
    <row r="438">
      <c r="A438" s="2" t="n">
        <v>437</v>
      </c>
      <c r="B438" s="2" t="inlineStr">
        <is>
          <t>KBK-34</t>
        </is>
      </c>
      <c r="C438" s="3" t="inlineStr">
        <is>
          <t>KBK-34</t>
        </is>
      </c>
      <c r="D438" s="2" t="inlineStr">
        <is>
          <t>Cái</t>
        </is>
      </c>
      <c r="E438" s="9" t="n">
        <v>127000</v>
      </c>
      <c r="F438" s="3" t="inlineStr">
        <is>
          <t>Sổ chi tiết bán hàng KingBlue</t>
        </is>
      </c>
    </row>
    <row r="439">
      <c r="A439" s="2" t="n">
        <v>438</v>
      </c>
      <c r="B439" s="2" t="inlineStr">
        <is>
          <t>KBK-35</t>
        </is>
      </c>
      <c r="C439" s="3" t="inlineStr">
        <is>
          <t>KBK-35</t>
        </is>
      </c>
      <c r="D439" s="2" t="inlineStr">
        <is>
          <t>Cái</t>
        </is>
      </c>
      <c r="E439" s="9" t="n">
        <v>99000</v>
      </c>
      <c r="F439" s="3" t="inlineStr">
        <is>
          <t>Sổ chi tiết bán hàng KingBlue</t>
        </is>
      </c>
    </row>
    <row r="440">
      <c r="A440" s="2" t="n">
        <v>439</v>
      </c>
      <c r="B440" s="2" t="inlineStr">
        <is>
          <t>KBK-38</t>
        </is>
      </c>
      <c r="C440" s="3" t="inlineStr">
        <is>
          <t>KBK-38</t>
        </is>
      </c>
      <c r="D440" s="2" t="inlineStr">
        <is>
          <t>Cái</t>
        </is>
      </c>
      <c r="E440" s="9" t="n">
        <v>109000</v>
      </c>
      <c r="F440" s="3" t="inlineStr">
        <is>
          <t>Sổ chi tiết bán hàng KingBlue</t>
        </is>
      </c>
    </row>
    <row r="441">
      <c r="A441" s="2" t="n">
        <v>440</v>
      </c>
      <c r="B441" s="2" t="inlineStr">
        <is>
          <t>KBK-40</t>
        </is>
      </c>
      <c r="C441" s="3" t="inlineStr">
        <is>
          <t>KBK-40</t>
        </is>
      </c>
      <c r="D441" s="2" t="inlineStr">
        <is>
          <t>Cái</t>
        </is>
      </c>
      <c r="E441" s="9" t="n">
        <v>114000</v>
      </c>
      <c r="F441" s="3" t="inlineStr">
        <is>
          <t>Sổ chi tiết bán hàng KingBlue</t>
        </is>
      </c>
    </row>
    <row r="442">
      <c r="A442" s="2" t="n">
        <v>441</v>
      </c>
      <c r="B442" s="2" t="inlineStr">
        <is>
          <t>KBK-42</t>
        </is>
      </c>
      <c r="C442" s="3" t="inlineStr">
        <is>
          <t>KBK-42</t>
        </is>
      </c>
      <c r="D442" s="2" t="inlineStr">
        <is>
          <t>Cái</t>
        </is>
      </c>
      <c r="E442" s="9" t="n">
        <v>123000</v>
      </c>
      <c r="F442" s="3" t="inlineStr">
        <is>
          <t>Sổ chi tiết bán hàng KingBlue</t>
        </is>
      </c>
    </row>
    <row r="443">
      <c r="A443" s="2" t="n">
        <v>442</v>
      </c>
      <c r="B443" s="2" t="inlineStr">
        <is>
          <t>KBK-45</t>
        </is>
      </c>
      <c r="C443" s="3" t="inlineStr">
        <is>
          <t>KBK-45</t>
        </is>
      </c>
      <c r="D443" s="2" t="inlineStr">
        <is>
          <t>Cái</t>
        </is>
      </c>
      <c r="E443" s="9" t="n">
        <v>121000</v>
      </c>
      <c r="F443" s="3" t="inlineStr">
        <is>
          <t>Sổ chi tiết bán hàng KingBlue</t>
        </is>
      </c>
    </row>
    <row r="444">
      <c r="A444" s="2" t="n">
        <v>443</v>
      </c>
      <c r="B444" s="2" t="inlineStr">
        <is>
          <t>KBK-50</t>
        </is>
      </c>
      <c r="C444" s="3" t="inlineStr">
        <is>
          <t>KBK-50</t>
        </is>
      </c>
      <c r="D444" s="2" t="inlineStr">
        <is>
          <t>Cái</t>
        </is>
      </c>
      <c r="E444" s="9" t="n">
        <v>146000</v>
      </c>
      <c r="F444" s="3" t="inlineStr">
        <is>
          <t>Sổ chi tiết bán hàng KingBlue</t>
        </is>
      </c>
    </row>
    <row r="445">
      <c r="A445" s="2" t="n">
        <v>444</v>
      </c>
      <c r="B445" s="2" t="inlineStr">
        <is>
          <t>KBK-55</t>
        </is>
      </c>
      <c r="C445" s="3" t="inlineStr">
        <is>
          <t>KBK-55</t>
        </is>
      </c>
      <c r="D445" s="2" t="inlineStr">
        <is>
          <t>Cái</t>
        </is>
      </c>
      <c r="E445" s="9" t="n">
        <v>161000</v>
      </c>
      <c r="F445" s="3" t="inlineStr">
        <is>
          <t>Sổ chi tiết bán hàng KingBlue</t>
        </is>
      </c>
    </row>
    <row r="446">
      <c r="A446" s="2" t="n">
        <v>445</v>
      </c>
      <c r="B446" s="2" t="inlineStr">
        <is>
          <t>KBK-60</t>
        </is>
      </c>
      <c r="C446" s="3" t="inlineStr">
        <is>
          <t>KBK-60</t>
        </is>
      </c>
      <c r="D446" s="2" t="inlineStr">
        <is>
          <t>Cái</t>
        </is>
      </c>
      <c r="E446" s="9" t="n">
        <v>224000</v>
      </c>
      <c r="F446" s="3" t="inlineStr">
        <is>
          <t>Sổ chi tiết bán hàng KingBlue</t>
        </is>
      </c>
    </row>
    <row r="447">
      <c r="A447" s="2" t="n">
        <v>446</v>
      </c>
      <c r="B447" s="2" t="inlineStr">
        <is>
          <t>KBK-65</t>
        </is>
      </c>
      <c r="C447" s="3" t="inlineStr">
        <is>
          <t>KBK-65</t>
        </is>
      </c>
      <c r="D447" s="2" t="inlineStr">
        <is>
          <t>Cái</t>
        </is>
      </c>
      <c r="E447" s="9" t="n">
        <v>186000</v>
      </c>
      <c r="F447" s="3" t="inlineStr">
        <is>
          <t>Sổ chi tiết bán hàng KingBlue</t>
        </is>
      </c>
    </row>
    <row r="448">
      <c r="A448" s="2" t="n">
        <v>447</v>
      </c>
      <c r="B448" s="2" t="inlineStr">
        <is>
          <t>KBK-85</t>
        </is>
      </c>
      <c r="C448" s="3" t="inlineStr">
        <is>
          <t>KBK-85</t>
        </is>
      </c>
      <c r="D448" s="2" t="inlineStr">
        <is>
          <t>Cái</t>
        </is>
      </c>
      <c r="E448" s="9" t="n">
        <v>261000</v>
      </c>
      <c r="F448" s="3" t="inlineStr">
        <is>
          <t>Sổ chi tiết bán hàng KingBlue</t>
        </is>
      </c>
    </row>
    <row r="449">
      <c r="A449" s="2" t="n">
        <v>448</v>
      </c>
      <c r="B449" s="2" t="inlineStr">
        <is>
          <t>KBK-90</t>
        </is>
      </c>
      <c r="C449" s="3" t="inlineStr">
        <is>
          <t>KBK-90</t>
        </is>
      </c>
      <c r="D449" s="2" t="inlineStr">
        <is>
          <t>Cái</t>
        </is>
      </c>
      <c r="E449" s="9" t="n">
        <v>300000</v>
      </c>
      <c r="F449" s="3" t="inlineStr">
        <is>
          <t>Sổ chi tiết bán hàng KingBlue</t>
        </is>
      </c>
    </row>
    <row r="450">
      <c r="A450" s="2" t="n">
        <v>449</v>
      </c>
      <c r="B450" s="2" t="inlineStr">
        <is>
          <t>KBL2-06*110</t>
        </is>
      </c>
      <c r="C450" s="3" t="inlineStr">
        <is>
          <t>KBL2-06*110</t>
        </is>
      </c>
      <c r="D450" s="2" t="inlineStr">
        <is>
          <t>Cái</t>
        </is>
      </c>
      <c r="E450" s="9" t="n">
        <v>24000</v>
      </c>
      <c r="F450" s="3" t="inlineStr">
        <is>
          <t>Sổ chi tiết bán hàng KingBlue</t>
        </is>
      </c>
    </row>
    <row r="451">
      <c r="A451" s="2" t="n">
        <v>450</v>
      </c>
      <c r="B451" s="2" t="inlineStr">
        <is>
          <t>KBL2-06*160</t>
        </is>
      </c>
      <c r="C451" s="3" t="inlineStr">
        <is>
          <t>KBL2-06*160</t>
        </is>
      </c>
      <c r="D451" s="2" t="inlineStr">
        <is>
          <t>Cái</t>
        </is>
      </c>
      <c r="E451" s="9" t="n">
        <v>27500</v>
      </c>
      <c r="F451" s="3" t="inlineStr">
        <is>
          <t>Sổ chi tiết bán hàng KingBlue</t>
        </is>
      </c>
    </row>
    <row r="452">
      <c r="A452" s="2" t="n">
        <v>451</v>
      </c>
      <c r="B452" s="2" t="inlineStr">
        <is>
          <t>KBL2-08*110</t>
        </is>
      </c>
      <c r="C452" s="3" t="inlineStr">
        <is>
          <t>KBL2-08*110</t>
        </is>
      </c>
      <c r="D452" s="2" t="inlineStr">
        <is>
          <t>Cái</t>
        </is>
      </c>
      <c r="E452" s="9" t="n">
        <v>27500</v>
      </c>
      <c r="F452" s="3" t="inlineStr">
        <is>
          <t>Sổ chi tiết bán hàng KingBlue</t>
        </is>
      </c>
    </row>
    <row r="453">
      <c r="A453" s="2" t="n">
        <v>452</v>
      </c>
      <c r="B453" s="2" t="inlineStr">
        <is>
          <t>KBL2-08*160</t>
        </is>
      </c>
      <c r="C453" s="3" t="inlineStr">
        <is>
          <t>KBL2-08*160</t>
        </is>
      </c>
      <c r="D453" s="2" t="inlineStr">
        <is>
          <t>Cái</t>
        </is>
      </c>
      <c r="E453" s="9" t="n">
        <v>29000</v>
      </c>
      <c r="F453" s="3" t="inlineStr">
        <is>
          <t>Sổ chi tiết bán hàng KingBlue</t>
        </is>
      </c>
    </row>
    <row r="454">
      <c r="A454" s="2" t="n">
        <v>453</v>
      </c>
      <c r="B454" s="2" t="inlineStr">
        <is>
          <t>KBL2-08*210</t>
        </is>
      </c>
      <c r="C454" s="3" t="inlineStr">
        <is>
          <t>KBL2-08*210</t>
        </is>
      </c>
      <c r="D454" s="2" t="inlineStr">
        <is>
          <t>Cái</t>
        </is>
      </c>
      <c r="E454" s="9" t="n">
        <v>36000</v>
      </c>
      <c r="F454" s="3" t="inlineStr">
        <is>
          <t>Sổ chi tiết bán hàng KingBlue</t>
        </is>
      </c>
    </row>
    <row r="455">
      <c r="A455" s="2" t="n">
        <v>454</v>
      </c>
      <c r="B455" s="2" t="inlineStr">
        <is>
          <t>KBL2-08*260</t>
        </is>
      </c>
      <c r="C455" s="3" t="inlineStr">
        <is>
          <t>KBL2-08*260</t>
        </is>
      </c>
      <c r="D455" s="2" t="inlineStr">
        <is>
          <t>Cái</t>
        </is>
      </c>
      <c r="E455" s="9" t="n">
        <v>37000</v>
      </c>
      <c r="F455" s="3" t="inlineStr">
        <is>
          <t>Sổ chi tiết bán hàng KingBlue</t>
        </is>
      </c>
    </row>
    <row r="456">
      <c r="A456" s="2" t="n">
        <v>455</v>
      </c>
      <c r="B456" s="2" t="inlineStr">
        <is>
          <t>KBL2-08*310</t>
        </is>
      </c>
      <c r="C456" s="3" t="inlineStr">
        <is>
          <t>KBL2-08*310</t>
        </is>
      </c>
      <c r="D456" s="2" t="inlineStr">
        <is>
          <t>Cái</t>
        </is>
      </c>
      <c r="E456" s="9" t="n">
        <v>49000</v>
      </c>
      <c r="F456" s="3" t="inlineStr">
        <is>
          <t>Sổ chi tiết bán hàng KingBlue</t>
        </is>
      </c>
    </row>
    <row r="457">
      <c r="A457" s="2" t="n">
        <v>456</v>
      </c>
      <c r="B457" s="2" t="inlineStr">
        <is>
          <t>KBL2-10*160</t>
        </is>
      </c>
      <c r="C457" s="3" t="inlineStr">
        <is>
          <t>KBL2-10*160</t>
        </is>
      </c>
      <c r="D457" s="2" t="inlineStr">
        <is>
          <t>Cái</t>
        </is>
      </c>
      <c r="E457" s="9" t="n">
        <v>32000</v>
      </c>
      <c r="F457" s="3" t="inlineStr">
        <is>
          <t>Sổ chi tiết bán hàng KingBlue</t>
        </is>
      </c>
    </row>
    <row r="458">
      <c r="A458" s="2" t="n">
        <v>457</v>
      </c>
      <c r="B458" s="2" t="inlineStr">
        <is>
          <t>KBL2-10*210</t>
        </is>
      </c>
      <c r="C458" s="3" t="inlineStr">
        <is>
          <t>KBL2-10*210</t>
        </is>
      </c>
      <c r="D458" s="2" t="inlineStr">
        <is>
          <t>Cái</t>
        </is>
      </c>
      <c r="E458" s="9" t="n">
        <v>39000</v>
      </c>
      <c r="F458" s="3" t="inlineStr">
        <is>
          <t>Sổ chi tiết bán hàng KingBlue</t>
        </is>
      </c>
    </row>
    <row r="459">
      <c r="A459" s="2" t="n">
        <v>458</v>
      </c>
      <c r="B459" s="2" t="inlineStr">
        <is>
          <t>KBL2-10*260</t>
        </is>
      </c>
      <c r="C459" s="3" t="inlineStr">
        <is>
          <t>KBL2-10*260</t>
        </is>
      </c>
      <c r="D459" s="2" t="inlineStr">
        <is>
          <t>Cái</t>
        </is>
      </c>
      <c r="E459" s="9" t="n">
        <v>40000</v>
      </c>
      <c r="F459" s="3" t="inlineStr">
        <is>
          <t>Sổ chi tiết bán hàng KingBlue</t>
        </is>
      </c>
    </row>
    <row r="460">
      <c r="A460" s="2" t="n">
        <v>459</v>
      </c>
      <c r="B460" s="2" t="inlineStr">
        <is>
          <t>KBL2-10*310</t>
        </is>
      </c>
      <c r="C460" s="3" t="inlineStr">
        <is>
          <t>KBL2-10*310</t>
        </is>
      </c>
      <c r="D460" s="2" t="inlineStr">
        <is>
          <t>Cái</t>
        </is>
      </c>
      <c r="E460" s="9" t="n">
        <v>56000</v>
      </c>
      <c r="F460" s="3" t="inlineStr">
        <is>
          <t>Sổ chi tiết bán hàng KingBlue</t>
        </is>
      </c>
    </row>
    <row r="461">
      <c r="A461" s="2" t="n">
        <v>460</v>
      </c>
      <c r="B461" s="2" t="inlineStr">
        <is>
          <t>KBL2-12*160</t>
        </is>
      </c>
      <c r="C461" s="3" t="inlineStr">
        <is>
          <t>KBL2-12*160</t>
        </is>
      </c>
      <c r="D461" s="2" t="inlineStr">
        <is>
          <t>Cái</t>
        </is>
      </c>
      <c r="E461" s="9" t="n">
        <v>36000</v>
      </c>
      <c r="F461" s="3" t="inlineStr">
        <is>
          <t>Sổ chi tiết bán hàng KingBlue</t>
        </is>
      </c>
    </row>
    <row r="462">
      <c r="A462" s="2" t="n">
        <v>461</v>
      </c>
      <c r="B462" s="2" t="inlineStr">
        <is>
          <t>KBL2-12*210</t>
        </is>
      </c>
      <c r="C462" s="3" t="inlineStr">
        <is>
          <t>KBL2-12*210</t>
        </is>
      </c>
      <c r="D462" s="2" t="inlineStr">
        <is>
          <t>Cái</t>
        </is>
      </c>
      <c r="E462" s="9" t="n">
        <v>43000</v>
      </c>
      <c r="F462" s="3" t="inlineStr">
        <is>
          <t>Sổ chi tiết bán hàng KingBlue</t>
        </is>
      </c>
    </row>
    <row r="463">
      <c r="A463" s="2" t="n">
        <v>462</v>
      </c>
      <c r="B463" s="2" t="inlineStr">
        <is>
          <t>KBL2-12*260</t>
        </is>
      </c>
      <c r="C463" s="3" t="inlineStr">
        <is>
          <t>KBL2-12*260</t>
        </is>
      </c>
      <c r="D463" s="2" t="inlineStr">
        <is>
          <t>Cái</t>
        </is>
      </c>
      <c r="E463" s="9" t="n">
        <v>52000</v>
      </c>
      <c r="F463" s="3" t="inlineStr">
        <is>
          <t>Sổ chi tiết bán hàng KingBlue</t>
        </is>
      </c>
    </row>
    <row r="464">
      <c r="A464" s="2" t="n">
        <v>463</v>
      </c>
      <c r="B464" s="2" t="inlineStr">
        <is>
          <t>KBL2-12*310</t>
        </is>
      </c>
      <c r="C464" s="3" t="inlineStr">
        <is>
          <t>KBL2-12*310</t>
        </is>
      </c>
      <c r="D464" s="2" t="inlineStr">
        <is>
          <t>Cái</t>
        </is>
      </c>
      <c r="E464" s="9" t="n">
        <v>57000</v>
      </c>
      <c r="F464" s="3" t="inlineStr">
        <is>
          <t>Sổ chi tiết bán hàng KingBlue</t>
        </is>
      </c>
    </row>
    <row r="465">
      <c r="A465" s="2" t="n">
        <v>464</v>
      </c>
      <c r="B465" s="2" t="inlineStr">
        <is>
          <t>KBL2-14*160 (NEW)</t>
        </is>
      </c>
      <c r="C465" s="3" t="inlineStr">
        <is>
          <t>KBL2-14*160 (NEW)</t>
        </is>
      </c>
      <c r="D465" s="2" t="inlineStr">
        <is>
          <t>Cái</t>
        </is>
      </c>
      <c r="E465" s="9" t="n">
        <v>45000</v>
      </c>
      <c r="F465" s="3" t="inlineStr">
        <is>
          <t>Sổ chi tiết bán hàng KingBlue</t>
        </is>
      </c>
    </row>
    <row r="466">
      <c r="A466" s="2" t="n">
        <v>465</v>
      </c>
      <c r="B466" s="2" t="inlineStr">
        <is>
          <t>KBL2-14*210</t>
        </is>
      </c>
      <c r="C466" s="3" t="inlineStr">
        <is>
          <t>KBL2-14*210</t>
        </is>
      </c>
      <c r="D466" s="2" t="inlineStr">
        <is>
          <t>Cái</t>
        </is>
      </c>
      <c r="E466" s="9" t="n">
        <v>38000</v>
      </c>
      <c r="F466" s="3" t="inlineStr">
        <is>
          <t>Sổ chi tiết bán hàng KingBlue</t>
        </is>
      </c>
    </row>
    <row r="467">
      <c r="A467" s="2" t="n">
        <v>466</v>
      </c>
      <c r="B467" s="2" t="inlineStr">
        <is>
          <t>KBL2-14*260</t>
        </is>
      </c>
      <c r="C467" s="3" t="inlineStr">
        <is>
          <t>KBL2-14*260</t>
        </is>
      </c>
      <c r="D467" s="2" t="inlineStr">
        <is>
          <t>Cái</t>
        </is>
      </c>
      <c r="E467" s="9" t="n">
        <v>57000</v>
      </c>
      <c r="F467" s="3" t="inlineStr">
        <is>
          <t>Sổ chi tiết bán hàng KingBlue</t>
        </is>
      </c>
    </row>
    <row r="468">
      <c r="A468" s="2" t="n">
        <v>467</v>
      </c>
      <c r="B468" s="2" t="inlineStr">
        <is>
          <t>KBL2-14*310</t>
        </is>
      </c>
      <c r="C468" s="3" t="inlineStr">
        <is>
          <t>KBL2-14*310</t>
        </is>
      </c>
      <c r="D468" s="2" t="inlineStr">
        <is>
          <t>Cái</t>
        </is>
      </c>
      <c r="E468" s="9" t="n">
        <v>68000</v>
      </c>
      <c r="F468" s="3" t="inlineStr">
        <is>
          <t>Sổ chi tiết bán hàng KingBlue</t>
        </is>
      </c>
    </row>
    <row r="469">
      <c r="A469" s="2" t="n">
        <v>468</v>
      </c>
      <c r="B469" s="2" t="inlineStr">
        <is>
          <t>KBL2-16*160</t>
        </is>
      </c>
      <c r="C469" s="3" t="inlineStr">
        <is>
          <t>KBL2-16*160</t>
        </is>
      </c>
      <c r="D469" s="2" t="inlineStr">
        <is>
          <t>Cái</t>
        </is>
      </c>
      <c r="E469" s="9" t="n">
        <v>33000</v>
      </c>
      <c r="F469" s="3" t="inlineStr">
        <is>
          <t>Sổ chi tiết bán hàng KingBlue</t>
        </is>
      </c>
    </row>
    <row r="470">
      <c r="A470" s="2" t="n">
        <v>469</v>
      </c>
      <c r="B470" s="2" t="inlineStr">
        <is>
          <t>KBL2-16*160 (NEW)</t>
        </is>
      </c>
      <c r="C470" s="3" t="inlineStr">
        <is>
          <t>KBL2-16*160 (NEW)</t>
        </is>
      </c>
      <c r="D470" s="2" t="inlineStr">
        <is>
          <t>Cái</t>
        </is>
      </c>
      <c r="E470" s="9" t="n">
        <v>38000</v>
      </c>
      <c r="F470" s="3" t="inlineStr">
        <is>
          <t>Sổ chi tiết bán hàng KingBlue</t>
        </is>
      </c>
    </row>
    <row r="471">
      <c r="A471" s="2" t="n">
        <v>470</v>
      </c>
      <c r="B471" s="2" t="inlineStr">
        <is>
          <t>KBL2-16*210</t>
        </is>
      </c>
      <c r="C471" s="3" t="inlineStr">
        <is>
          <t>KBL2-16*210</t>
        </is>
      </c>
      <c r="D471" s="2" t="inlineStr">
        <is>
          <t>Cái</t>
        </is>
      </c>
      <c r="E471" s="9" t="n">
        <v>64000</v>
      </c>
      <c r="F471" s="3" t="inlineStr">
        <is>
          <t>Sổ chi tiết bán hàng KingBlue</t>
        </is>
      </c>
    </row>
    <row r="472">
      <c r="A472" s="2" t="n">
        <v>471</v>
      </c>
      <c r="B472" s="2" t="inlineStr">
        <is>
          <t>KBL2-16*260</t>
        </is>
      </c>
      <c r="C472" s="3" t="inlineStr">
        <is>
          <t>KBL2-16*260</t>
        </is>
      </c>
      <c r="D472" s="2" t="inlineStr">
        <is>
          <t>Cái</t>
        </is>
      </c>
      <c r="E472" s="9" t="n">
        <v>54000</v>
      </c>
      <c r="F472" s="3" t="inlineStr">
        <is>
          <t>Sổ chi tiết bán hàng KingBlue</t>
        </is>
      </c>
    </row>
    <row r="473">
      <c r="A473" s="2" t="n">
        <v>472</v>
      </c>
      <c r="B473" s="2" t="inlineStr">
        <is>
          <t>KBL2-16*310</t>
        </is>
      </c>
      <c r="C473" s="3" t="inlineStr">
        <is>
          <t>KBL2-16*310</t>
        </is>
      </c>
      <c r="D473" s="2" t="inlineStr">
        <is>
          <t>Cái</t>
        </is>
      </c>
      <c r="E473" s="9" t="n">
        <v>85000</v>
      </c>
      <c r="F473" s="3" t="inlineStr">
        <is>
          <t>Sổ chi tiết bán hàng KingBlue</t>
        </is>
      </c>
    </row>
    <row r="474">
      <c r="A474" s="2" t="n">
        <v>473</v>
      </c>
      <c r="B474" s="2" t="inlineStr">
        <is>
          <t>KBL2-18*160</t>
        </is>
      </c>
      <c r="C474" s="3" t="inlineStr">
        <is>
          <t>KBL2-18*160</t>
        </is>
      </c>
      <c r="D474" s="2" t="inlineStr">
        <is>
          <t>Cái</t>
        </is>
      </c>
      <c r="E474" s="9" t="n">
        <v>75000</v>
      </c>
      <c r="F474" s="3" t="inlineStr">
        <is>
          <t>Sổ chi tiết bán hàng KingBlue</t>
        </is>
      </c>
    </row>
    <row r="475">
      <c r="A475" s="2" t="n">
        <v>474</v>
      </c>
      <c r="B475" s="2" t="inlineStr">
        <is>
          <t>KBL2-18*210</t>
        </is>
      </c>
      <c r="C475" s="3" t="inlineStr">
        <is>
          <t>KBL2-18*210</t>
        </is>
      </c>
      <c r="D475" s="2" t="inlineStr">
        <is>
          <t>Cái</t>
        </is>
      </c>
      <c r="E475" s="9" t="n">
        <v>85000</v>
      </c>
      <c r="F475" s="3" t="inlineStr">
        <is>
          <t>Sổ chi tiết bán hàng KingBlue</t>
        </is>
      </c>
    </row>
    <row r="476">
      <c r="A476" s="2" t="n">
        <v>475</v>
      </c>
      <c r="B476" s="2" t="inlineStr">
        <is>
          <t>KBL2-18*260</t>
        </is>
      </c>
      <c r="C476" s="3" t="inlineStr">
        <is>
          <t>KBL2-18*260</t>
        </is>
      </c>
      <c r="D476" s="2" t="inlineStr">
        <is>
          <t>Cái</t>
        </is>
      </c>
      <c r="E476" s="9" t="n">
        <v>66000</v>
      </c>
      <c r="F476" s="3" t="inlineStr">
        <is>
          <t>Sổ chi tiết bán hàng KingBlue</t>
        </is>
      </c>
    </row>
    <row r="477">
      <c r="A477" s="2" t="n">
        <v>476</v>
      </c>
      <c r="B477" s="2" t="inlineStr">
        <is>
          <t>KBL2-18*310</t>
        </is>
      </c>
      <c r="C477" s="3" t="inlineStr">
        <is>
          <t>KBL2-18*310</t>
        </is>
      </c>
      <c r="D477" s="2" t="inlineStr">
        <is>
          <t>Cái</t>
        </is>
      </c>
      <c r="E477" s="9" t="n">
        <v>76000</v>
      </c>
      <c r="F477" s="3" t="inlineStr">
        <is>
          <t>Sổ chi tiết bán hàng KingBlue</t>
        </is>
      </c>
    </row>
    <row r="478">
      <c r="A478" s="2" t="n">
        <v>477</v>
      </c>
      <c r="B478" s="2" t="inlineStr">
        <is>
          <t>KBL2-20*210</t>
        </is>
      </c>
      <c r="C478" s="3" t="inlineStr">
        <is>
          <t>KBL2-20*210</t>
        </is>
      </c>
      <c r="D478" s="2" t="inlineStr">
        <is>
          <t>Cái</t>
        </is>
      </c>
      <c r="E478" s="9" t="n">
        <v>71000</v>
      </c>
      <c r="F478" s="3" t="inlineStr">
        <is>
          <t>Sổ chi tiết bán hàng KingBlue</t>
        </is>
      </c>
    </row>
    <row r="479">
      <c r="A479" s="2" t="n">
        <v>478</v>
      </c>
      <c r="B479" s="2" t="inlineStr">
        <is>
          <t>KBL2-20*260</t>
        </is>
      </c>
      <c r="C479" s="3" t="inlineStr">
        <is>
          <t>KBL2-20*260</t>
        </is>
      </c>
      <c r="D479" s="2" t="inlineStr">
        <is>
          <t>Cái</t>
        </is>
      </c>
      <c r="E479" s="9" t="n">
        <v>83000</v>
      </c>
      <c r="F479" s="3" t="inlineStr">
        <is>
          <t>Sổ chi tiết bán hàng KingBlue</t>
        </is>
      </c>
    </row>
    <row r="480">
      <c r="A480" s="2" t="n">
        <v>479</v>
      </c>
      <c r="B480" s="2" t="inlineStr">
        <is>
          <t>KBL2-20*310</t>
        </is>
      </c>
      <c r="C480" s="3" t="inlineStr">
        <is>
          <t>KBL2-20*310</t>
        </is>
      </c>
      <c r="D480" s="2" t="inlineStr">
        <is>
          <t>Cái</t>
        </is>
      </c>
      <c r="E480" s="9" t="n">
        <v>124000</v>
      </c>
      <c r="F480" s="3" t="inlineStr">
        <is>
          <t>Sổ chi tiết bán hàng KingBlue</t>
        </is>
      </c>
    </row>
    <row r="481">
      <c r="A481" s="2" t="n">
        <v>480</v>
      </c>
      <c r="B481" s="2" t="inlineStr">
        <is>
          <t>KBL2-22*260</t>
        </is>
      </c>
      <c r="C481" s="3" t="inlineStr">
        <is>
          <t>KBL2-22*260</t>
        </is>
      </c>
      <c r="D481" s="2" t="inlineStr">
        <is>
          <t>Cái</t>
        </is>
      </c>
      <c r="E481" s="9" t="n">
        <v>120000</v>
      </c>
      <c r="F481" s="3" t="inlineStr">
        <is>
          <t>Sổ chi tiết bán hàng KingBlue</t>
        </is>
      </c>
    </row>
    <row r="482">
      <c r="A482" s="2" t="n">
        <v>481</v>
      </c>
      <c r="B482" s="2" t="inlineStr">
        <is>
          <t>KBL2-22*310</t>
        </is>
      </c>
      <c r="C482" s="3" t="inlineStr">
        <is>
          <t>KBL2-22*310</t>
        </is>
      </c>
      <c r="D482" s="2" t="inlineStr">
        <is>
          <t>Cái</t>
        </is>
      </c>
      <c r="E482" s="9" t="n">
        <v>109000</v>
      </c>
      <c r="F482" s="3" t="inlineStr">
        <is>
          <t>Sổ chi tiết bán hàng KingBlue</t>
        </is>
      </c>
    </row>
    <row r="483">
      <c r="A483" s="2" t="n">
        <v>482</v>
      </c>
      <c r="B483" s="2" t="inlineStr">
        <is>
          <t>KBL2-25*260</t>
        </is>
      </c>
      <c r="C483" s="3" t="inlineStr">
        <is>
          <t>KBL2-25*260</t>
        </is>
      </c>
      <c r="D483" s="2" t="inlineStr">
        <is>
          <t>Cái</t>
        </is>
      </c>
      <c r="E483" s="9" t="n">
        <v>105000</v>
      </c>
      <c r="F483" s="3" t="inlineStr">
        <is>
          <t>Sổ chi tiết bán hàng KingBlue</t>
        </is>
      </c>
    </row>
    <row r="484">
      <c r="A484" s="2" t="n">
        <v>483</v>
      </c>
      <c r="B484" s="2" t="inlineStr">
        <is>
          <t>KBL2-25*310</t>
        </is>
      </c>
      <c r="C484" s="3" t="inlineStr">
        <is>
          <t>KBL2-25*310</t>
        </is>
      </c>
      <c r="D484" s="2" t="inlineStr">
        <is>
          <t>Cái</t>
        </is>
      </c>
      <c r="E484" s="9" t="n">
        <v>139000</v>
      </c>
      <c r="F484" s="3" t="inlineStr">
        <is>
          <t>Sổ chi tiết bán hàng KingBlue</t>
        </is>
      </c>
    </row>
    <row r="485">
      <c r="A485" s="2" t="n">
        <v>484</v>
      </c>
      <c r="B485" s="2" t="inlineStr">
        <is>
          <t>KBL2-3.2*90</t>
        </is>
      </c>
      <c r="C485" s="3" t="inlineStr">
        <is>
          <t>KBL2-3.2*90</t>
        </is>
      </c>
      <c r="D485" s="2" t="inlineStr">
        <is>
          <t>Cái</t>
        </is>
      </c>
      <c r="E485" s="9" t="n">
        <v>66000</v>
      </c>
      <c r="F485" s="3" t="inlineStr">
        <is>
          <t>Sổ chi tiết bán hàng KingBlue</t>
        </is>
      </c>
    </row>
    <row r="486">
      <c r="A486" s="2" t="n">
        <v>485</v>
      </c>
      <c r="B486" s="2" t="inlineStr">
        <is>
          <t>KBL2-3.5*110</t>
        </is>
      </c>
      <c r="C486" s="3" t="inlineStr">
        <is>
          <t>KBL2-3.5*110</t>
        </is>
      </c>
      <c r="D486" s="2" t="inlineStr">
        <is>
          <t>Cái</t>
        </is>
      </c>
      <c r="E486" s="9" t="n">
        <v>33000</v>
      </c>
      <c r="F486" s="3" t="inlineStr">
        <is>
          <t>Sổ chi tiết bán hàng KingBlue</t>
        </is>
      </c>
    </row>
    <row r="487">
      <c r="A487" s="2" t="n">
        <v>486</v>
      </c>
      <c r="B487" s="2" t="inlineStr">
        <is>
          <t>KBL2-4.2*110</t>
        </is>
      </c>
      <c r="C487" s="3" t="inlineStr">
        <is>
          <t>KBL2-4.2*110</t>
        </is>
      </c>
      <c r="D487" s="2" t="inlineStr">
        <is>
          <t>Cái</t>
        </is>
      </c>
      <c r="E487" s="9" t="n">
        <v>66000</v>
      </c>
      <c r="F487" s="3" t="inlineStr">
        <is>
          <t>Sổ chi tiết bán hàng KingBlue</t>
        </is>
      </c>
    </row>
    <row r="488">
      <c r="A488" s="2" t="n">
        <v>487</v>
      </c>
      <c r="B488" s="2" t="inlineStr">
        <is>
          <t>KBL2S-06*160</t>
        </is>
      </c>
      <c r="C488" s="3" t="inlineStr">
        <is>
          <t>KBL2S-06*160</t>
        </is>
      </c>
      <c r="D488" s="2" t="inlineStr">
        <is>
          <t>Cái</t>
        </is>
      </c>
      <c r="E488" s="9" t="n">
        <v>32000</v>
      </c>
      <c r="F488" s="3" t="inlineStr">
        <is>
          <t>Sổ chi tiết bán hàng KingBlue</t>
        </is>
      </c>
    </row>
    <row r="489">
      <c r="A489" s="2" t="n">
        <v>488</v>
      </c>
      <c r="B489" s="2" t="inlineStr">
        <is>
          <t>KBL2S-08*160</t>
        </is>
      </c>
      <c r="C489" s="3" t="inlineStr">
        <is>
          <t>KBL2S-08*160</t>
        </is>
      </c>
      <c r="D489" s="2" t="inlineStr">
        <is>
          <t>Cái</t>
        </is>
      </c>
      <c r="E489" s="9" t="n">
        <v>37000</v>
      </c>
      <c r="F489" s="3" t="inlineStr">
        <is>
          <t>Sổ chi tiết bán hàng KingBlue</t>
        </is>
      </c>
    </row>
    <row r="490">
      <c r="A490" s="2" t="n">
        <v>489</v>
      </c>
      <c r="B490" s="2" t="inlineStr">
        <is>
          <t>KBL2S-10*160</t>
        </is>
      </c>
      <c r="C490" s="3" t="inlineStr">
        <is>
          <t>KBL2S-10*160</t>
        </is>
      </c>
      <c r="D490" s="2" t="inlineStr">
        <is>
          <t>Cái</t>
        </is>
      </c>
      <c r="E490" s="9" t="n">
        <v>38500</v>
      </c>
      <c r="F490" s="3" t="inlineStr">
        <is>
          <t>Sổ chi tiết bán hàng KingBlue</t>
        </is>
      </c>
    </row>
    <row r="491">
      <c r="A491" s="2" t="n">
        <v>490</v>
      </c>
      <c r="B491" s="2" t="inlineStr">
        <is>
          <t>KBL2S-12*160</t>
        </is>
      </c>
      <c r="C491" s="3" t="inlineStr">
        <is>
          <t>KBL2S-12*160</t>
        </is>
      </c>
      <c r="D491" s="2" t="inlineStr">
        <is>
          <t>Cái</t>
        </is>
      </c>
      <c r="E491" s="9" t="n">
        <v>37000</v>
      </c>
      <c r="F491" s="3" t="inlineStr">
        <is>
          <t>Sổ chi tiết bán hàng KingBlue</t>
        </is>
      </c>
    </row>
    <row r="492">
      <c r="A492" s="2" t="n">
        <v>491</v>
      </c>
      <c r="B492" s="2" t="inlineStr">
        <is>
          <t>KBL4-06*160</t>
        </is>
      </c>
      <c r="C492" s="3" t="inlineStr">
        <is>
          <t>KBL4-06*160</t>
        </is>
      </c>
      <c r="D492" s="2" t="inlineStr">
        <is>
          <t>Cái</t>
        </is>
      </c>
      <c r="E492" s="9" t="n">
        <v>31000</v>
      </c>
      <c r="F492" s="3" t="inlineStr">
        <is>
          <t>Sổ chi tiết bán hàng KingBlue</t>
        </is>
      </c>
    </row>
    <row r="493">
      <c r="A493" s="2" t="n">
        <v>492</v>
      </c>
      <c r="B493" s="2" t="inlineStr">
        <is>
          <t>KBL4-08*160</t>
        </is>
      </c>
      <c r="C493" s="3" t="inlineStr">
        <is>
          <t>KBL4-08*160</t>
        </is>
      </c>
      <c r="D493" s="2" t="inlineStr">
        <is>
          <t>Cái</t>
        </is>
      </c>
      <c r="E493" s="9" t="n">
        <v>35000</v>
      </c>
      <c r="F493" s="3" t="inlineStr">
        <is>
          <t>Sổ chi tiết bán hàng KingBlue</t>
        </is>
      </c>
    </row>
    <row r="494">
      <c r="A494" s="2" t="n">
        <v>493</v>
      </c>
      <c r="B494" s="2" t="inlineStr">
        <is>
          <t>KBL4-10*160</t>
        </is>
      </c>
      <c r="C494" s="3" t="inlineStr">
        <is>
          <t>KBL4-10*160</t>
        </is>
      </c>
      <c r="D494" s="2" t="inlineStr">
        <is>
          <t>Cái</t>
        </is>
      </c>
      <c r="E494" s="9" t="n">
        <v>39000</v>
      </c>
      <c r="F494" s="3" t="inlineStr">
        <is>
          <t>Sổ chi tiết bán hàng KingBlue</t>
        </is>
      </c>
    </row>
    <row r="495">
      <c r="A495" s="2" t="n">
        <v>494</v>
      </c>
      <c r="B495" s="2" t="inlineStr">
        <is>
          <t>KBL4-10*350</t>
        </is>
      </c>
      <c r="C495" s="3" t="inlineStr">
        <is>
          <t>KBL4-10*350</t>
        </is>
      </c>
      <c r="D495" s="2" t="inlineStr">
        <is>
          <t>Cái</t>
        </is>
      </c>
      <c r="E495" s="9" t="n">
        <v>54000</v>
      </c>
      <c r="F495" s="3" t="inlineStr">
        <is>
          <t>Sổ chi tiết bán hàng KingBlue</t>
        </is>
      </c>
    </row>
    <row r="496">
      <c r="A496" s="2" t="n">
        <v>495</v>
      </c>
      <c r="B496" s="2" t="inlineStr">
        <is>
          <t>KBL4-12*160</t>
        </is>
      </c>
      <c r="C496" s="3" t="inlineStr">
        <is>
          <t>KBL4-12*160</t>
        </is>
      </c>
      <c r="D496" s="2" t="inlineStr">
        <is>
          <t>Cái</t>
        </is>
      </c>
      <c r="E496" s="9" t="n">
        <v>43000</v>
      </c>
      <c r="F496" s="3" t="inlineStr">
        <is>
          <t>Sổ chi tiết bán hàng KingBlue</t>
        </is>
      </c>
    </row>
    <row r="497">
      <c r="A497" s="2" t="n">
        <v>496</v>
      </c>
      <c r="B497" s="2" t="inlineStr">
        <is>
          <t>KBL4-12*350</t>
        </is>
      </c>
      <c r="C497" s="3" t="inlineStr">
        <is>
          <t>KBL4-12*350</t>
        </is>
      </c>
      <c r="D497" s="2" t="inlineStr">
        <is>
          <t>Cái</t>
        </is>
      </c>
      <c r="E497" s="9" t="n">
        <v>82000</v>
      </c>
      <c r="F497" s="3" t="inlineStr">
        <is>
          <t>Sổ chi tiết bán hàng KingBlue</t>
        </is>
      </c>
    </row>
    <row r="498">
      <c r="A498" s="2" t="n">
        <v>497</v>
      </c>
      <c r="B498" s="2" t="inlineStr">
        <is>
          <t>KBL4-14*160</t>
        </is>
      </c>
      <c r="C498" s="3" t="inlineStr">
        <is>
          <t>KBL4-14*160</t>
        </is>
      </c>
      <c r="D498" s="2" t="inlineStr">
        <is>
          <t>Cái</t>
        </is>
      </c>
      <c r="E498" s="9" t="n">
        <v>56000</v>
      </c>
      <c r="F498" s="3" t="inlineStr">
        <is>
          <t>Sổ chi tiết bán hàng KingBlue</t>
        </is>
      </c>
    </row>
    <row r="499">
      <c r="A499" s="2" t="n">
        <v>498</v>
      </c>
      <c r="B499" s="2" t="inlineStr">
        <is>
          <t>KBL4-14*350</t>
        </is>
      </c>
      <c r="C499" s="3" t="inlineStr">
        <is>
          <t>KBL4-14*350</t>
        </is>
      </c>
      <c r="D499" s="2" t="inlineStr">
        <is>
          <t>Cái</t>
        </is>
      </c>
      <c r="E499" s="9" t="n">
        <v>70000</v>
      </c>
      <c r="F499" s="3" t="inlineStr">
        <is>
          <t>Sổ chi tiết bán hàng KingBlue</t>
        </is>
      </c>
    </row>
    <row r="500">
      <c r="A500" s="2" t="n">
        <v>499</v>
      </c>
      <c r="B500" s="2" t="inlineStr">
        <is>
          <t>KBL4-16*160</t>
        </is>
      </c>
      <c r="C500" s="3" t="inlineStr">
        <is>
          <t>KBL4-16*160</t>
        </is>
      </c>
      <c r="D500" s="2" t="inlineStr">
        <is>
          <t>Cái</t>
        </is>
      </c>
      <c r="E500" s="9" t="n">
        <v>54000</v>
      </c>
      <c r="F500" s="3" t="inlineStr">
        <is>
          <t>Sổ chi tiết bán hàng KingBlue</t>
        </is>
      </c>
    </row>
    <row r="501">
      <c r="A501" s="2" t="n">
        <v>500</v>
      </c>
      <c r="B501" s="2" t="inlineStr">
        <is>
          <t>KBL4-16*350</t>
        </is>
      </c>
      <c r="C501" s="3" t="inlineStr">
        <is>
          <t>KBL4-16*350</t>
        </is>
      </c>
      <c r="D501" s="2" t="inlineStr">
        <is>
          <t>Cái</t>
        </is>
      </c>
      <c r="E501" s="9" t="n">
        <v>84000</v>
      </c>
      <c r="F501" s="3" t="inlineStr">
        <is>
          <t>Sổ chi tiết bán hàng KingBlue</t>
        </is>
      </c>
    </row>
    <row r="502">
      <c r="A502" s="2" t="n">
        <v>501</v>
      </c>
      <c r="B502" s="2" t="inlineStr">
        <is>
          <t>KBL4-18*350</t>
        </is>
      </c>
      <c r="C502" s="3" t="inlineStr">
        <is>
          <t>KBL4-18*350</t>
        </is>
      </c>
      <c r="D502" s="2" t="inlineStr">
        <is>
          <t>Cái</t>
        </is>
      </c>
      <c r="E502" s="9" t="n">
        <v>97000</v>
      </c>
      <c r="F502" s="3" t="inlineStr">
        <is>
          <t>Sổ chi tiết bán hàng KingBlue</t>
        </is>
      </c>
    </row>
    <row r="503">
      <c r="A503" s="2" t="n">
        <v>502</v>
      </c>
      <c r="B503" s="2" t="inlineStr">
        <is>
          <t>KBL4-20*350</t>
        </is>
      </c>
      <c r="C503" s="3" t="inlineStr">
        <is>
          <t>KBL4-20*350</t>
        </is>
      </c>
      <c r="D503" s="2" t="inlineStr">
        <is>
          <t>Cái</t>
        </is>
      </c>
      <c r="E503" s="9" t="n">
        <v>122000</v>
      </c>
      <c r="F503" s="3" t="inlineStr">
        <is>
          <t>Sổ chi tiết bán hàng KingBlue</t>
        </is>
      </c>
    </row>
    <row r="504">
      <c r="A504" s="2" t="n">
        <v>503</v>
      </c>
      <c r="B504" s="2" t="inlineStr">
        <is>
          <t>KBL4-22*350</t>
        </is>
      </c>
      <c r="C504" s="3" t="inlineStr">
        <is>
          <t>KBL4-22*350</t>
        </is>
      </c>
      <c r="D504" s="2" t="inlineStr">
        <is>
          <t>Cái</t>
        </is>
      </c>
      <c r="E504" s="9" t="n">
        <v>152000</v>
      </c>
      <c r="F504" s="3" t="inlineStr">
        <is>
          <t>Sổ chi tiết bán hàng KingBlue</t>
        </is>
      </c>
    </row>
    <row r="505">
      <c r="A505" s="2" t="n">
        <v>504</v>
      </c>
      <c r="B505" s="2" t="inlineStr">
        <is>
          <t>KBL4-25*350</t>
        </is>
      </c>
      <c r="C505" s="3" t="inlineStr">
        <is>
          <t>KBL4-25*350</t>
        </is>
      </c>
      <c r="D505" s="2" t="inlineStr">
        <is>
          <t>Cái</t>
        </is>
      </c>
      <c r="E505" s="9" t="n">
        <v>231000</v>
      </c>
      <c r="F505" s="3" t="inlineStr">
        <is>
          <t>Sổ chi tiết bán hàng KingBlue</t>
        </is>
      </c>
    </row>
    <row r="506">
      <c r="A506" s="2" t="n">
        <v>505</v>
      </c>
      <c r="B506" s="2" t="inlineStr">
        <is>
          <t>KBL4S-06*160</t>
        </is>
      </c>
      <c r="C506" s="3" t="inlineStr">
        <is>
          <t>KBL4S-06*160</t>
        </is>
      </c>
      <c r="D506" s="2" t="inlineStr">
        <is>
          <t>Cái</t>
        </is>
      </c>
      <c r="E506" s="9" t="n">
        <v>36000</v>
      </c>
      <c r="F506" s="3" t="inlineStr">
        <is>
          <t>Sổ chi tiết bán hàng KingBlue</t>
        </is>
      </c>
    </row>
    <row r="507">
      <c r="A507" s="2" t="n">
        <v>506</v>
      </c>
      <c r="B507" s="2" t="inlineStr">
        <is>
          <t>KBL4S-08*160</t>
        </is>
      </c>
      <c r="C507" s="3" t="inlineStr">
        <is>
          <t>KBL4S-08*160</t>
        </is>
      </c>
      <c r="D507" s="2" t="inlineStr">
        <is>
          <t>Cái</t>
        </is>
      </c>
      <c r="E507" s="9" t="n">
        <v>40000</v>
      </c>
      <c r="F507" s="3" t="inlineStr">
        <is>
          <t>Sổ chi tiết bán hàng KingBlue</t>
        </is>
      </c>
    </row>
    <row r="508">
      <c r="A508" s="2" t="n">
        <v>507</v>
      </c>
      <c r="B508" s="2" t="inlineStr">
        <is>
          <t>KBL4S-10*160</t>
        </is>
      </c>
      <c r="C508" s="3" t="inlineStr">
        <is>
          <t>KBL4S-10*160</t>
        </is>
      </c>
      <c r="D508" s="2" t="inlineStr">
        <is>
          <t>Cái</t>
        </is>
      </c>
      <c r="E508" s="9" t="n">
        <v>49000</v>
      </c>
      <c r="F508" s="3" t="inlineStr">
        <is>
          <t>Sổ chi tiết bán hàng KingBlue</t>
        </is>
      </c>
    </row>
    <row r="509">
      <c r="A509" s="2" t="n">
        <v>508</v>
      </c>
      <c r="B509" s="2" t="inlineStr">
        <is>
          <t>KBL4S-12*160</t>
        </is>
      </c>
      <c r="C509" s="3" t="inlineStr">
        <is>
          <t>KBL4S-12*160</t>
        </is>
      </c>
      <c r="D509" s="2" t="inlineStr">
        <is>
          <t>Cái</t>
        </is>
      </c>
      <c r="E509" s="9" t="n">
        <v>59000</v>
      </c>
      <c r="F509" s="3" t="inlineStr">
        <is>
          <t>Sổ chi tiết bán hàng KingBlue</t>
        </is>
      </c>
    </row>
    <row r="510">
      <c r="A510" s="2" t="n">
        <v>509</v>
      </c>
      <c r="B510" s="2" t="inlineStr">
        <is>
          <t>KBLJ-03*100</t>
        </is>
      </c>
      <c r="C510" s="3" t="inlineStr">
        <is>
          <t>KBLJ-03*100</t>
        </is>
      </c>
      <c r="D510" s="2" t="inlineStr">
        <is>
          <t>Cái</t>
        </is>
      </c>
      <c r="E510" s="9" t="n">
        <v>70000</v>
      </c>
      <c r="F510" s="3" t="inlineStr">
        <is>
          <t>Sổ chi tiết bán hàng KingBlue</t>
        </is>
      </c>
    </row>
    <row r="511">
      <c r="A511" s="2" t="n">
        <v>510</v>
      </c>
      <c r="B511" s="2" t="inlineStr">
        <is>
          <t>KBLJ-03.2*100</t>
        </is>
      </c>
      <c r="C511" s="3" t="inlineStr">
        <is>
          <t>KBLJ-03.2*100</t>
        </is>
      </c>
      <c r="D511" s="2" t="inlineStr">
        <is>
          <t>Cái</t>
        </is>
      </c>
      <c r="E511" s="9" t="n">
        <v>70000</v>
      </c>
      <c r="F511" s="3" t="inlineStr">
        <is>
          <t>Sổ chi tiết bán hàng KingBlue</t>
        </is>
      </c>
    </row>
    <row r="512">
      <c r="A512" s="2" t="n">
        <v>511</v>
      </c>
      <c r="B512" s="2" t="inlineStr">
        <is>
          <t>KBLJ-03.5*100</t>
        </is>
      </c>
      <c r="C512" s="3" t="inlineStr">
        <is>
          <t>KBLJ-03.5*100</t>
        </is>
      </c>
      <c r="D512" s="2" t="inlineStr">
        <is>
          <t>Cái</t>
        </is>
      </c>
      <c r="E512" s="9" t="n">
        <v>35000</v>
      </c>
      <c r="F512" s="3" t="inlineStr">
        <is>
          <t>Sổ chi tiết bán hàng KingBlue</t>
        </is>
      </c>
    </row>
    <row r="513">
      <c r="A513" s="2" t="n">
        <v>512</v>
      </c>
      <c r="B513" s="2" t="inlineStr">
        <is>
          <t>KBLJ-04*100</t>
        </is>
      </c>
      <c r="C513" s="3" t="inlineStr">
        <is>
          <t>KBLJ-04*100</t>
        </is>
      </c>
      <c r="D513" s="2" t="inlineStr">
        <is>
          <t>Cái</t>
        </is>
      </c>
      <c r="E513" s="9" t="n">
        <v>35000</v>
      </c>
      <c r="F513" s="3" t="inlineStr">
        <is>
          <t>Sổ chi tiết bán hàng KingBlue</t>
        </is>
      </c>
    </row>
    <row r="514">
      <c r="A514" s="2" t="n">
        <v>513</v>
      </c>
      <c r="B514" s="2" t="inlineStr">
        <is>
          <t>KBLJ-04.2*100</t>
        </is>
      </c>
      <c r="C514" s="3" t="inlineStr">
        <is>
          <t>KBLJ-04.2*100</t>
        </is>
      </c>
      <c r="D514" s="2" t="inlineStr">
        <is>
          <t>Cái</t>
        </is>
      </c>
      <c r="E514" s="9" t="n">
        <v>35000</v>
      </c>
      <c r="F514" s="3" t="inlineStr">
        <is>
          <t>Sổ chi tiết bán hàng KingBlue</t>
        </is>
      </c>
    </row>
    <row r="515">
      <c r="A515" s="2" t="n">
        <v>514</v>
      </c>
      <c r="B515" s="2" t="inlineStr">
        <is>
          <t>KBLJ-04.5*100</t>
        </is>
      </c>
      <c r="C515" s="3" t="inlineStr">
        <is>
          <t>KBLJ-04.5*100</t>
        </is>
      </c>
      <c r="D515" s="2" t="inlineStr">
        <is>
          <t>Cái</t>
        </is>
      </c>
      <c r="E515" s="9" t="n">
        <v>35000</v>
      </c>
      <c r="F515" s="3" t="inlineStr">
        <is>
          <t>Sổ chi tiết bán hàng KingBlue</t>
        </is>
      </c>
    </row>
    <row r="516">
      <c r="A516" s="2" t="n">
        <v>515</v>
      </c>
      <c r="B516" s="2" t="inlineStr">
        <is>
          <t>KBLJ-05*100</t>
        </is>
      </c>
      <c r="C516" s="3" t="inlineStr">
        <is>
          <t>KBLJ-05*100</t>
        </is>
      </c>
      <c r="D516" s="2" t="inlineStr">
        <is>
          <t>Cái</t>
        </is>
      </c>
      <c r="E516" s="9" t="n">
        <v>35000</v>
      </c>
      <c r="F516" s="3" t="inlineStr">
        <is>
          <t>Sổ chi tiết bán hàng KingBlue</t>
        </is>
      </c>
    </row>
    <row r="517">
      <c r="A517" s="2" t="n">
        <v>516</v>
      </c>
      <c r="B517" s="2" t="inlineStr">
        <is>
          <t>KBLJ-05.5*100</t>
        </is>
      </c>
      <c r="C517" s="3" t="inlineStr">
        <is>
          <t>KBLJ-05.5*100</t>
        </is>
      </c>
      <c r="D517" s="2" t="inlineStr">
        <is>
          <t>Cái</t>
        </is>
      </c>
      <c r="E517" s="9" t="n">
        <v>35000</v>
      </c>
      <c r="F517" s="3" t="inlineStr">
        <is>
          <t>Sổ chi tiết bán hàng KingBlue</t>
        </is>
      </c>
    </row>
    <row r="518">
      <c r="A518" s="2" t="n">
        <v>517</v>
      </c>
      <c r="B518" s="2" t="inlineStr">
        <is>
          <t>KBLJ-06*125</t>
        </is>
      </c>
      <c r="C518" s="3" t="inlineStr">
        <is>
          <t>KBLJ-06*125</t>
        </is>
      </c>
      <c r="D518" s="2" t="inlineStr">
        <is>
          <t>Cái</t>
        </is>
      </c>
      <c r="E518" s="9" t="n">
        <v>43000</v>
      </c>
      <c r="F518" s="3" t="inlineStr">
        <is>
          <t>Sổ chi tiết bán hàng KingBlue</t>
        </is>
      </c>
    </row>
    <row r="519">
      <c r="A519" s="2" t="n">
        <v>518</v>
      </c>
      <c r="B519" s="2" t="inlineStr">
        <is>
          <t>KBLJ-06.5*125</t>
        </is>
      </c>
      <c r="C519" s="3" t="inlineStr">
        <is>
          <t>KBLJ-06.5*125</t>
        </is>
      </c>
      <c r="D519" s="2" t="inlineStr">
        <is>
          <t>Cái</t>
        </is>
      </c>
      <c r="E519" s="9" t="n">
        <v>46000</v>
      </c>
      <c r="F519" s="3" t="inlineStr">
        <is>
          <t>Sổ chi tiết bán hàng KingBlue</t>
        </is>
      </c>
    </row>
    <row r="520">
      <c r="A520" s="2" t="n">
        <v>519</v>
      </c>
      <c r="B520" s="2" t="inlineStr">
        <is>
          <t>KBLJ-07*125</t>
        </is>
      </c>
      <c r="C520" s="3" t="inlineStr">
        <is>
          <t>KBLJ-07*125</t>
        </is>
      </c>
      <c r="D520" s="2" t="inlineStr">
        <is>
          <t>Cái</t>
        </is>
      </c>
      <c r="E520" s="9" t="n">
        <v>52000</v>
      </c>
      <c r="F520" s="3" t="inlineStr">
        <is>
          <t>Sổ chi tiết bán hàng KingBlue</t>
        </is>
      </c>
    </row>
    <row r="521">
      <c r="A521" s="2" t="n">
        <v>520</v>
      </c>
      <c r="B521" s="2" t="inlineStr">
        <is>
          <t>KBLJ-08*125</t>
        </is>
      </c>
      <c r="C521" s="3" t="inlineStr">
        <is>
          <t>KBLJ-08*125</t>
        </is>
      </c>
      <c r="D521" s="2" t="inlineStr">
        <is>
          <t>Cái</t>
        </is>
      </c>
      <c r="E521" s="9" t="n">
        <v>53000</v>
      </c>
      <c r="F521" s="3" t="inlineStr">
        <is>
          <t>Sổ chi tiết bán hàng KingBlue</t>
        </is>
      </c>
    </row>
    <row r="522">
      <c r="A522" s="2" t="n">
        <v>521</v>
      </c>
      <c r="B522" s="2" t="inlineStr">
        <is>
          <t>KBLJ-10*148</t>
        </is>
      </c>
      <c r="C522" s="3" t="inlineStr">
        <is>
          <t>KBLJ-10*148</t>
        </is>
      </c>
      <c r="D522" s="2" t="inlineStr">
        <is>
          <t>Cái</t>
        </is>
      </c>
      <c r="E522" s="9" t="n">
        <v>63000</v>
      </c>
      <c r="F522" s="3" t="inlineStr">
        <is>
          <t>Sổ chi tiết bán hàng KingBlue</t>
        </is>
      </c>
    </row>
    <row r="523">
      <c r="A523" s="2" t="n">
        <v>522</v>
      </c>
      <c r="B523" s="2" t="inlineStr">
        <is>
          <t>KBM2-06*160</t>
        </is>
      </c>
      <c r="C523" s="3" t="inlineStr">
        <is>
          <t>KBM2-06*160</t>
        </is>
      </c>
      <c r="D523" s="2" t="inlineStr">
        <is>
          <t>Cái</t>
        </is>
      </c>
      <c r="E523" s="9" t="n">
        <v>29000</v>
      </c>
      <c r="F523" s="3" t="inlineStr">
        <is>
          <t>Sổ chi tiết bán hàng KingBlue</t>
        </is>
      </c>
    </row>
    <row r="524">
      <c r="A524" s="2" t="n">
        <v>523</v>
      </c>
      <c r="B524" s="2" t="inlineStr">
        <is>
          <t>KBM2-08*160</t>
        </is>
      </c>
      <c r="C524" s="3" t="inlineStr">
        <is>
          <t>KBM2-08*160</t>
        </is>
      </c>
      <c r="D524" s="2" t="inlineStr">
        <is>
          <t>Cái</t>
        </is>
      </c>
      <c r="E524" s="9" t="n">
        <v>32000</v>
      </c>
      <c r="F524" s="3" t="inlineStr">
        <is>
          <t>Sổ chi tiết bán hàng KingBlue</t>
        </is>
      </c>
    </row>
    <row r="525">
      <c r="A525" s="2" t="n">
        <v>524</v>
      </c>
      <c r="B525" s="2" t="inlineStr">
        <is>
          <t>KBM2-10*160</t>
        </is>
      </c>
      <c r="C525" s="3" t="inlineStr">
        <is>
          <t>KBM2-10*160</t>
        </is>
      </c>
      <c r="D525" s="2" t="inlineStr">
        <is>
          <t>Cái</t>
        </is>
      </c>
      <c r="E525" s="9" t="n">
        <v>37000</v>
      </c>
      <c r="F525" s="3" t="inlineStr">
        <is>
          <t>Sổ chi tiết bán hàng KingBlue</t>
        </is>
      </c>
    </row>
    <row r="526">
      <c r="A526" s="2" t="n">
        <v>525</v>
      </c>
      <c r="B526" s="2" t="inlineStr">
        <is>
          <t>KBO-F3050</t>
        </is>
      </c>
      <c r="C526" s="3" t="inlineStr">
        <is>
          <t>KBO-F3050</t>
        </is>
      </c>
      <c r="D526" s="2" t="inlineStr">
        <is>
          <t>Cái</t>
        </is>
      </c>
      <c r="E526" s="9" t="n">
        <v>935000</v>
      </c>
      <c r="F526" s="3" t="inlineStr">
        <is>
          <t>Sổ chi tiết bán hàng KingBlue</t>
        </is>
      </c>
    </row>
    <row r="527">
      <c r="A527" s="2" t="n">
        <v>526</v>
      </c>
      <c r="B527" s="2" t="inlineStr">
        <is>
          <t>KBO-FG30</t>
        </is>
      </c>
      <c r="C527" s="3" t="inlineStr">
        <is>
          <t>KBO-FG30</t>
        </is>
      </c>
      <c r="D527" s="2" t="inlineStr">
        <is>
          <t>Cái</t>
        </is>
      </c>
      <c r="E527" s="9" t="n">
        <v>426000</v>
      </c>
      <c r="F527" s="3" t="inlineStr">
        <is>
          <t>Sổ chi tiết bán hàng KingBlue</t>
        </is>
      </c>
    </row>
    <row r="528">
      <c r="A528" s="2" t="n">
        <v>527</v>
      </c>
      <c r="B528" s="2" t="inlineStr">
        <is>
          <t>KBO-R500</t>
        </is>
      </c>
      <c r="C528" s="3" t="inlineStr">
        <is>
          <t>KBO-R500</t>
        </is>
      </c>
      <c r="D528" s="2" t="inlineStr">
        <is>
          <t>Cái</t>
        </is>
      </c>
      <c r="E528" s="9" t="n">
        <v>889000</v>
      </c>
      <c r="F528" s="3" t="inlineStr">
        <is>
          <t>Sổ chi tiết bán hàng KingBlue</t>
        </is>
      </c>
    </row>
    <row r="529">
      <c r="A529" s="2" t="n">
        <v>528</v>
      </c>
      <c r="B529" s="2" t="inlineStr">
        <is>
          <t>KBO-ST64</t>
        </is>
      </c>
      <c r="C529" s="3" t="inlineStr">
        <is>
          <t>KBO-ST64</t>
        </is>
      </c>
      <c r="D529" s="2" t="inlineStr">
        <is>
          <t>Cái</t>
        </is>
      </c>
      <c r="E529" s="9" t="n">
        <v>946000</v>
      </c>
      <c r="F529" s="3" t="inlineStr">
        <is>
          <t>Sổ chi tiết bán hàng KingBlue</t>
        </is>
      </c>
    </row>
    <row r="530">
      <c r="A530" s="2" t="n">
        <v>529</v>
      </c>
      <c r="B530" s="2" t="inlineStr">
        <is>
          <t>KBO-W71</t>
        </is>
      </c>
      <c r="C530" s="3" t="inlineStr">
        <is>
          <t>KBO-W71</t>
        </is>
      </c>
      <c r="D530" s="2" t="inlineStr">
        <is>
          <t>Cái</t>
        </is>
      </c>
      <c r="E530" s="9" t="n">
        <v>346000</v>
      </c>
      <c r="F530" s="3" t="inlineStr">
        <is>
          <t>Sổ chi tiết bán hàng KingBlue</t>
        </is>
      </c>
    </row>
    <row r="531">
      <c r="A531" s="2" t="n">
        <v>530</v>
      </c>
      <c r="B531" s="2" t="inlineStr">
        <is>
          <t>KBO-X0215</t>
        </is>
      </c>
      <c r="C531" s="3" t="inlineStr">
        <is>
          <t>KBO-X0215</t>
        </is>
      </c>
      <c r="D531" s="2" t="inlineStr">
        <is>
          <t>Cái</t>
        </is>
      </c>
      <c r="E531" s="9" t="n">
        <v>121000</v>
      </c>
      <c r="F531" s="3" t="inlineStr">
        <is>
          <t>Sổ chi tiết bán hàng KingBlue</t>
        </is>
      </c>
    </row>
    <row r="532">
      <c r="A532" s="2" t="n">
        <v>531</v>
      </c>
      <c r="B532" s="2" t="inlineStr">
        <is>
          <t>KBR-M10*1.5</t>
        </is>
      </c>
      <c r="C532" s="3" t="inlineStr">
        <is>
          <t>KBR-M10*1.5</t>
        </is>
      </c>
      <c r="D532" s="2" t="inlineStr">
        <is>
          <t>Cái</t>
        </is>
      </c>
      <c r="E532" s="9" t="n">
        <v>81000</v>
      </c>
      <c r="F532" s="3" t="inlineStr">
        <is>
          <t>Sổ chi tiết bán hàng KingBlue</t>
        </is>
      </c>
    </row>
    <row r="533">
      <c r="A533" s="2" t="n">
        <v>532</v>
      </c>
      <c r="B533" s="2" t="inlineStr">
        <is>
          <t>KBR-M3*0.5</t>
        </is>
      </c>
      <c r="C533" s="3" t="inlineStr">
        <is>
          <t>KBR-M3*0.5</t>
        </is>
      </c>
      <c r="D533" s="2" t="inlineStr">
        <is>
          <t>Cái</t>
        </is>
      </c>
      <c r="E533" s="9" t="n">
        <v>75000</v>
      </c>
      <c r="F533" s="3" t="inlineStr">
        <is>
          <t>Sổ chi tiết bán hàng KingBlue</t>
        </is>
      </c>
    </row>
    <row r="534">
      <c r="A534" s="2" t="n">
        <v>533</v>
      </c>
      <c r="B534" s="2" t="inlineStr">
        <is>
          <t>KBR-M4*0.7</t>
        </is>
      </c>
      <c r="C534" s="3" t="inlineStr">
        <is>
          <t>KBR-M4*0.7</t>
        </is>
      </c>
      <c r="D534" s="2" t="inlineStr">
        <is>
          <t>Cái</t>
        </is>
      </c>
      <c r="E534" s="9" t="n">
        <v>65000</v>
      </c>
      <c r="F534" s="3" t="inlineStr">
        <is>
          <t>Sổ chi tiết bán hàng KingBlue</t>
        </is>
      </c>
    </row>
    <row r="535">
      <c r="A535" s="2" t="n">
        <v>534</v>
      </c>
      <c r="B535" s="2" t="inlineStr">
        <is>
          <t>KBR-M5*0.8</t>
        </is>
      </c>
      <c r="C535" s="3" t="inlineStr">
        <is>
          <t>KBR-M5*0.8</t>
        </is>
      </c>
      <c r="D535" s="2" t="inlineStr">
        <is>
          <t>Cái</t>
        </is>
      </c>
      <c r="E535" s="9" t="n">
        <v>75000</v>
      </c>
      <c r="F535" s="3" t="inlineStr">
        <is>
          <t>Sổ chi tiết bán hàng KingBlue</t>
        </is>
      </c>
    </row>
    <row r="536">
      <c r="A536" s="2" t="n">
        <v>535</v>
      </c>
      <c r="B536" s="2" t="inlineStr">
        <is>
          <t>KBR-M6*1.0</t>
        </is>
      </c>
      <c r="C536" s="3" t="inlineStr">
        <is>
          <t>KBR-M6*1.0</t>
        </is>
      </c>
      <c r="D536" s="2" t="inlineStr">
        <is>
          <t>Cái</t>
        </is>
      </c>
      <c r="E536" s="9" t="n">
        <v>75000</v>
      </c>
      <c r="F536" s="3" t="inlineStr">
        <is>
          <t>Sổ chi tiết bán hàng KingBlue</t>
        </is>
      </c>
    </row>
    <row r="537">
      <c r="A537" s="2" t="n">
        <v>536</v>
      </c>
      <c r="B537" s="2" t="inlineStr">
        <is>
          <t>KBR-M8*1.25</t>
        </is>
      </c>
      <c r="C537" s="3" t="inlineStr">
        <is>
          <t>KBR-M8*1.25</t>
        </is>
      </c>
      <c r="D537" s="2" t="inlineStr">
        <is>
          <t>Cái</t>
        </is>
      </c>
      <c r="E537" s="9" t="n">
        <v>95000</v>
      </c>
      <c r="F537" s="3" t="inlineStr">
        <is>
          <t>Sổ chi tiết bán hàng KingBlue</t>
        </is>
      </c>
    </row>
    <row r="538">
      <c r="A538" s="2" t="n">
        <v>537</v>
      </c>
      <c r="B538" s="2" t="inlineStr">
        <is>
          <t>KBRS-63*155</t>
        </is>
      </c>
      <c r="C538" s="3" t="inlineStr">
        <is>
          <t>KBRS-63*155</t>
        </is>
      </c>
      <c r="D538" s="2" t="inlineStr">
        <is>
          <t>Cái</t>
        </is>
      </c>
      <c r="E538" s="9" t="n">
        <v>890000</v>
      </c>
      <c r="F538" s="3" t="inlineStr">
        <is>
          <t>Sổ chi tiết bán hàng KingBlue</t>
        </is>
      </c>
    </row>
    <row r="539">
      <c r="A539" s="2" t="n">
        <v>538</v>
      </c>
      <c r="B539" s="2" t="inlineStr">
        <is>
          <t>KBS-12*280</t>
        </is>
      </c>
      <c r="C539" s="3" t="inlineStr">
        <is>
          <t>KBS-12*280</t>
        </is>
      </c>
      <c r="D539" s="2" t="inlineStr">
        <is>
          <t>Cái</t>
        </is>
      </c>
      <c r="E539" s="9" t="n">
        <v>48000</v>
      </c>
      <c r="F539" s="3" t="inlineStr">
        <is>
          <t>Sổ chi tiết bán hàng KingBlue</t>
        </is>
      </c>
    </row>
    <row r="540">
      <c r="A540" s="2" t="n">
        <v>539</v>
      </c>
      <c r="B540" s="2" t="inlineStr">
        <is>
          <t>KBS-14*280</t>
        </is>
      </c>
      <c r="C540" s="3" t="inlineStr">
        <is>
          <t>KBS-14*280</t>
        </is>
      </c>
      <c r="D540" s="2" t="inlineStr">
        <is>
          <t>Cái</t>
        </is>
      </c>
      <c r="E540" s="9" t="n">
        <v>74000</v>
      </c>
      <c r="F540" s="3" t="inlineStr">
        <is>
          <t>Sổ chi tiết bán hàng KingBlue</t>
        </is>
      </c>
    </row>
    <row r="541">
      <c r="A541" s="2" t="n">
        <v>540</v>
      </c>
      <c r="B541" s="2" t="inlineStr">
        <is>
          <t>KBS-16*280</t>
        </is>
      </c>
      <c r="C541" s="3" t="inlineStr">
        <is>
          <t>KBS-16*280</t>
        </is>
      </c>
      <c r="D541" s="2" t="inlineStr">
        <is>
          <t>Cái</t>
        </is>
      </c>
      <c r="E541" s="9" t="n">
        <v>81000</v>
      </c>
      <c r="F541" s="3" t="inlineStr">
        <is>
          <t>Sổ chi tiết bán hàng KingBlue</t>
        </is>
      </c>
    </row>
    <row r="542">
      <c r="A542" s="2" t="n">
        <v>541</v>
      </c>
      <c r="B542" s="2" t="inlineStr">
        <is>
          <t>KBS-18*280</t>
        </is>
      </c>
      <c r="C542" s="3" t="inlineStr">
        <is>
          <t>KBS-18*280</t>
        </is>
      </c>
      <c r="D542" s="2" t="inlineStr">
        <is>
          <t>Cái</t>
        </is>
      </c>
      <c r="E542" s="9" t="n">
        <v>105000</v>
      </c>
      <c r="F542" s="3" t="inlineStr">
        <is>
          <t>Sổ chi tiết bán hàng KingBlue</t>
        </is>
      </c>
    </row>
    <row r="543">
      <c r="A543" s="2" t="n">
        <v>542</v>
      </c>
      <c r="B543" s="2" t="inlineStr">
        <is>
          <t>KBS-20*280</t>
        </is>
      </c>
      <c r="C543" s="3" t="inlineStr">
        <is>
          <t>KBS-20*280</t>
        </is>
      </c>
      <c r="D543" s="2" t="inlineStr">
        <is>
          <t>Cái</t>
        </is>
      </c>
      <c r="E543" s="9" t="n">
        <v>89000</v>
      </c>
      <c r="F543" s="3" t="inlineStr">
        <is>
          <t>Sổ chi tiết bán hàng KingBlue</t>
        </is>
      </c>
    </row>
    <row r="544">
      <c r="A544" s="2" t="n">
        <v>543</v>
      </c>
      <c r="B544" s="2" t="inlineStr">
        <is>
          <t>KBS-22*280</t>
        </is>
      </c>
      <c r="C544" s="3" t="inlineStr">
        <is>
          <t>KBS-22*280</t>
        </is>
      </c>
      <c r="D544" s="2" t="inlineStr">
        <is>
          <t>Cái</t>
        </is>
      </c>
      <c r="E544" s="9" t="n">
        <v>123000</v>
      </c>
      <c r="F544" s="3" t="inlineStr">
        <is>
          <t>Sổ chi tiết bán hàng KingBlue</t>
        </is>
      </c>
    </row>
    <row r="545">
      <c r="A545" s="2" t="n">
        <v>544</v>
      </c>
      <c r="B545" s="2" t="inlineStr">
        <is>
          <t>KBS-25*280</t>
        </is>
      </c>
      <c r="C545" s="3" t="inlineStr">
        <is>
          <t>KBS-25*280</t>
        </is>
      </c>
      <c r="D545" s="2" t="inlineStr">
        <is>
          <t>Cái</t>
        </is>
      </c>
      <c r="E545" s="9" t="n">
        <v>124000</v>
      </c>
      <c r="F545" s="3" t="inlineStr">
        <is>
          <t>Sổ chi tiết bán hàng KingBlue</t>
        </is>
      </c>
    </row>
    <row r="546">
      <c r="A546" s="2" t="n">
        <v>545</v>
      </c>
      <c r="B546" s="2" t="inlineStr">
        <is>
          <t>KBT-04*12</t>
        </is>
      </c>
      <c r="C546" s="3" t="inlineStr">
        <is>
          <t>KBT-04*12</t>
        </is>
      </c>
      <c r="D546" s="2" t="inlineStr">
        <is>
          <t>Cái</t>
        </is>
      </c>
      <c r="E546" s="9" t="n">
        <v>106000</v>
      </c>
      <c r="F546" s="3" t="inlineStr">
        <is>
          <t>Sổ chi tiết bán hàng KingBlue</t>
        </is>
      </c>
    </row>
    <row r="547">
      <c r="A547" s="2" t="n">
        <v>546</v>
      </c>
      <c r="B547" s="2" t="inlineStr">
        <is>
          <t>KBT-04*20</t>
        </is>
      </c>
      <c r="C547" s="3" t="inlineStr">
        <is>
          <t>KBT-04*20</t>
        </is>
      </c>
      <c r="D547" s="2" t="inlineStr">
        <is>
          <t>Cái</t>
        </is>
      </c>
      <c r="E547" s="9" t="n">
        <v>202000</v>
      </c>
      <c r="F547" s="3" t="inlineStr">
        <is>
          <t>Sổ chi tiết bán hàng KingBlue</t>
        </is>
      </c>
    </row>
    <row r="548">
      <c r="A548" s="2" t="n">
        <v>547</v>
      </c>
      <c r="B548" s="2" t="inlineStr">
        <is>
          <t>KBT-04*32</t>
        </is>
      </c>
      <c r="C548" s="3" t="inlineStr">
        <is>
          <t>KBT-04*32</t>
        </is>
      </c>
      <c r="D548" s="2" t="inlineStr">
        <is>
          <t>Cái</t>
        </is>
      </c>
      <c r="E548" s="9" t="n">
        <v>379000</v>
      </c>
      <c r="F548" s="3" t="inlineStr">
        <is>
          <t>Sổ chi tiết bán hàng KingBlue</t>
        </is>
      </c>
    </row>
    <row r="549">
      <c r="A549" s="2" t="n">
        <v>548</v>
      </c>
      <c r="B549" s="2" t="inlineStr">
        <is>
          <t>KBVd-14*250*22</t>
        </is>
      </c>
      <c r="C549" s="3" t="inlineStr">
        <is>
          <t>KBVd-14*250*22</t>
        </is>
      </c>
      <c r="D549" s="2" t="inlineStr">
        <is>
          <t>Cái</t>
        </is>
      </c>
      <c r="E549" s="9" t="n">
        <v>63000</v>
      </c>
      <c r="F549" s="3" t="inlineStr">
        <is>
          <t>Sổ chi tiết bán hàng KingBlue</t>
        </is>
      </c>
    </row>
    <row r="550">
      <c r="A550" s="2" t="n">
        <v>549</v>
      </c>
      <c r="B550" s="2" t="inlineStr">
        <is>
          <t>KBVd-17*280*25</t>
        </is>
      </c>
      <c r="C550" s="3" t="inlineStr">
        <is>
          <t>KBVd-17*280*25</t>
        </is>
      </c>
      <c r="D550" s="2" t="inlineStr">
        <is>
          <t>Cái</t>
        </is>
      </c>
      <c r="E550" s="9" t="n">
        <v>82000</v>
      </c>
      <c r="F550" s="3" t="inlineStr">
        <is>
          <t>Sổ chi tiết bán hàng KingBlue</t>
        </is>
      </c>
    </row>
    <row r="551">
      <c r="A551" s="2" t="n">
        <v>550</v>
      </c>
      <c r="B551" s="2" t="inlineStr">
        <is>
          <t>KBVd-30*420*37</t>
        </is>
      </c>
      <c r="C551" s="3" t="inlineStr">
        <is>
          <t>KBVd-30*420*37</t>
        </is>
      </c>
      <c r="D551" s="2" t="inlineStr">
        <is>
          <t>Cái</t>
        </is>
      </c>
      <c r="E551" s="9" t="n">
        <v>236000</v>
      </c>
      <c r="F551" s="3" t="inlineStr">
        <is>
          <t>Sổ chi tiết bán hàng KingBlue</t>
        </is>
      </c>
    </row>
    <row r="552">
      <c r="A552" s="2" t="n">
        <v>551</v>
      </c>
      <c r="B552" s="2" t="inlineStr">
        <is>
          <t>KBVn-14*250</t>
        </is>
      </c>
      <c r="C552" s="3" t="inlineStr">
        <is>
          <t>KBVn-14*250</t>
        </is>
      </c>
      <c r="D552" s="2" t="inlineStr">
        <is>
          <t>Cái</t>
        </is>
      </c>
      <c r="E552" s="9" t="n">
        <v>63000</v>
      </c>
      <c r="F552" s="3" t="inlineStr">
        <is>
          <t>Sổ chi tiết bán hàng KingBlue</t>
        </is>
      </c>
    </row>
    <row r="553">
      <c r="A553" s="2" t="n">
        <v>552</v>
      </c>
      <c r="B553" s="2" t="inlineStr">
        <is>
          <t>KBVn-17*280</t>
        </is>
      </c>
      <c r="C553" s="3" t="inlineStr">
        <is>
          <t>KBVn-17*280</t>
        </is>
      </c>
      <c r="D553" s="2" t="inlineStr">
        <is>
          <t>Cái</t>
        </is>
      </c>
      <c r="E553" s="9" t="n">
        <v>82000</v>
      </c>
      <c r="F553" s="3" t="inlineStr">
        <is>
          <t>Sổ chi tiết bán hàng KingBlue</t>
        </is>
      </c>
    </row>
    <row r="554">
      <c r="A554" s="2" t="n">
        <v>553</v>
      </c>
      <c r="B554" s="2" t="inlineStr">
        <is>
          <t>KBVn-30*420</t>
        </is>
      </c>
      <c r="C554" s="3" t="inlineStr">
        <is>
          <t>KBVn-30*420</t>
        </is>
      </c>
      <c r="D554" s="2" t="inlineStr">
        <is>
          <t>Cái</t>
        </is>
      </c>
      <c r="E554" s="9" t="n">
        <v>236000</v>
      </c>
      <c r="F554" s="3" t="inlineStr">
        <is>
          <t>Sổ chi tiết bán hàng KingBlue</t>
        </is>
      </c>
    </row>
    <row r="555">
      <c r="A555" s="2" t="n">
        <v>554</v>
      </c>
      <c r="B555" s="2" t="inlineStr">
        <is>
          <t>KBX-21</t>
        </is>
      </c>
      <c r="C555" s="3" t="inlineStr">
        <is>
          <t>KBX-21</t>
        </is>
      </c>
      <c r="D555" s="2" t="inlineStr">
        <is>
          <t>Cái</t>
        </is>
      </c>
      <c r="E555" s="9" t="n">
        <v>24500</v>
      </c>
      <c r="F555" s="3" t="inlineStr">
        <is>
          <t>Sổ chi tiết bán hàng KingBlue</t>
        </is>
      </c>
    </row>
    <row r="556">
      <c r="A556" s="2" t="n">
        <v>555</v>
      </c>
      <c r="B556" s="2" t="inlineStr">
        <is>
          <t>KBX-22 NEW</t>
        </is>
      </c>
      <c r="C556" s="3" t="inlineStr">
        <is>
          <t>KBX-22 NEW</t>
        </is>
      </c>
      <c r="D556" s="2" t="inlineStr">
        <is>
          <t>Cái</t>
        </is>
      </c>
      <c r="E556" s="9" t="n">
        <v>20500</v>
      </c>
      <c r="F556" s="3" t="inlineStr">
        <is>
          <t>Sổ chi tiết bán hàng KingBlue</t>
        </is>
      </c>
    </row>
    <row r="557">
      <c r="A557" s="2" t="n">
        <v>556</v>
      </c>
      <c r="B557" s="2" t="inlineStr">
        <is>
          <t>KBX-25 NEW</t>
        </is>
      </c>
      <c r="C557" s="3" t="inlineStr">
        <is>
          <t>KBX-25 NEW</t>
        </is>
      </c>
      <c r="D557" s="2" t="inlineStr">
        <is>
          <t>Cái</t>
        </is>
      </c>
      <c r="E557" s="9" t="n">
        <v>27000</v>
      </c>
      <c r="F557" s="3" t="inlineStr">
        <is>
          <t>Sổ chi tiết bán hàng KingBlue</t>
        </is>
      </c>
    </row>
    <row r="558">
      <c r="A558" s="2" t="n">
        <v>557</v>
      </c>
      <c r="B558" s="2" t="inlineStr">
        <is>
          <t>KBX-28</t>
        </is>
      </c>
      <c r="C558" s="3" t="inlineStr">
        <is>
          <t>KBX-28</t>
        </is>
      </c>
      <c r="D558" s="2" t="inlineStr">
        <is>
          <t>Cái</t>
        </is>
      </c>
      <c r="E558" s="9" t="n">
        <v>38000</v>
      </c>
      <c r="F558" s="3" t="inlineStr">
        <is>
          <t>Sổ chi tiết bán hàng KingBlue</t>
        </is>
      </c>
    </row>
    <row r="559">
      <c r="A559" s="2" t="n">
        <v>558</v>
      </c>
      <c r="B559" s="2" t="inlineStr">
        <is>
          <t>KBX-28 NEW</t>
        </is>
      </c>
      <c r="C559" s="3" t="inlineStr">
        <is>
          <t>KBX-28 NEW</t>
        </is>
      </c>
      <c r="D559" s="2" t="inlineStr">
        <is>
          <t>Cái</t>
        </is>
      </c>
      <c r="E559" s="9" t="n">
        <v>30000</v>
      </c>
      <c r="F559" s="3" t="inlineStr">
        <is>
          <t>Sổ chi tiết bán hàng KingBlue</t>
        </is>
      </c>
    </row>
    <row r="560">
      <c r="A560" s="2" t="n">
        <v>559</v>
      </c>
      <c r="B560" s="2" t="inlineStr">
        <is>
          <t>KBX-30</t>
        </is>
      </c>
      <c r="C560" s="3" t="inlineStr">
        <is>
          <t>KBX-30</t>
        </is>
      </c>
      <c r="D560" s="2" t="inlineStr">
        <is>
          <t>Cái</t>
        </is>
      </c>
      <c r="E560" s="9" t="n">
        <v>40000</v>
      </c>
      <c r="F560" s="3" t="inlineStr">
        <is>
          <t>Sổ chi tiết bán hàng KingBlue</t>
        </is>
      </c>
    </row>
    <row r="561">
      <c r="A561" s="2" t="n">
        <v>560</v>
      </c>
      <c r="B561" s="2" t="inlineStr">
        <is>
          <t>KBX-30 NEW</t>
        </is>
      </c>
      <c r="C561" s="3" t="inlineStr">
        <is>
          <t>KBX-30 NEW</t>
        </is>
      </c>
      <c r="D561" s="2" t="inlineStr">
        <is>
          <t>Cái</t>
        </is>
      </c>
      <c r="E561" s="9" t="n">
        <v>32000</v>
      </c>
      <c r="F561" s="3" t="inlineStr">
        <is>
          <t>Sổ chi tiết bán hàng KingBlue</t>
        </is>
      </c>
    </row>
    <row r="562">
      <c r="A562" s="2" t="n">
        <v>561</v>
      </c>
      <c r="B562" s="2" t="inlineStr">
        <is>
          <t>KBX-45</t>
        </is>
      </c>
      <c r="C562" s="3" t="inlineStr">
        <is>
          <t>KBX-45</t>
        </is>
      </c>
      <c r="D562" s="2" t="inlineStr">
        <is>
          <t>Cái</t>
        </is>
      </c>
      <c r="E562" s="9" t="n">
        <v>52500</v>
      </c>
      <c r="F562" s="3" t="inlineStr">
        <is>
          <t>Sổ chi tiết bán hàng KingBlue</t>
        </is>
      </c>
    </row>
    <row r="563">
      <c r="A563" s="2" t="n">
        <v>562</v>
      </c>
      <c r="B563" s="2" t="inlineStr">
        <is>
          <t>KBX-45 NEW</t>
        </is>
      </c>
      <c r="C563" s="3" t="inlineStr">
        <is>
          <t>KBX-45 NEW</t>
        </is>
      </c>
      <c r="D563" s="2" t="inlineStr">
        <is>
          <t>Cái</t>
        </is>
      </c>
      <c r="E563" s="9" t="n">
        <v>48000</v>
      </c>
      <c r="F563" s="3" t="inlineStr">
        <is>
          <t>Sổ chi tiết bán hàng KingBlue</t>
        </is>
      </c>
    </row>
    <row r="564">
      <c r="A564" s="2" t="n">
        <v>563</v>
      </c>
      <c r="B564" s="2" t="inlineStr">
        <is>
          <t>KBX-55</t>
        </is>
      </c>
      <c r="C564" s="3" t="inlineStr">
        <is>
          <t>KBX-55</t>
        </is>
      </c>
      <c r="D564" s="2" t="inlineStr">
        <is>
          <t>Cái</t>
        </is>
      </c>
      <c r="E564" s="9" t="n">
        <v>64000</v>
      </c>
      <c r="F564" s="3" t="inlineStr">
        <is>
          <t>Sổ chi tiết bán hàng KingBlue</t>
        </is>
      </c>
    </row>
    <row r="565">
      <c r="A565" s="2" t="n">
        <v>564</v>
      </c>
      <c r="B565" s="2" t="inlineStr">
        <is>
          <t>KBX-55 NEW</t>
        </is>
      </c>
      <c r="C565" s="3" t="inlineStr">
        <is>
          <t>KBX-55 NEW</t>
        </is>
      </c>
      <c r="D565" s="2" t="inlineStr">
        <is>
          <t>Cái</t>
        </is>
      </c>
      <c r="E565" s="9" t="n">
        <v>59000</v>
      </c>
      <c r="F565" s="3" t="inlineStr">
        <is>
          <t>Sổ chi tiết bán hàng KingBlue</t>
        </is>
      </c>
    </row>
    <row r="566">
      <c r="A566" s="2" t="n">
        <v>565</v>
      </c>
      <c r="B566" s="2" t="inlineStr">
        <is>
          <t>KBX-60 NEW</t>
        </is>
      </c>
      <c r="C566" s="3" t="inlineStr">
        <is>
          <t>KBX-60 NEW</t>
        </is>
      </c>
      <c r="D566" s="2" t="inlineStr">
        <is>
          <t>Cái</t>
        </is>
      </c>
      <c r="E566" s="9" t="n">
        <v>64000</v>
      </c>
      <c r="F566" s="3" t="inlineStr">
        <is>
          <t>Sổ chi tiết bán hàng KingBlue</t>
        </is>
      </c>
    </row>
    <row r="567">
      <c r="A567" s="2" t="n">
        <v>566</v>
      </c>
      <c r="B567" s="2" t="inlineStr">
        <is>
          <t>KBX1-06*200</t>
        </is>
      </c>
      <c r="C567" s="3" t="inlineStr">
        <is>
          <t>KBX1-06*200</t>
        </is>
      </c>
      <c r="D567" s="2" t="inlineStr">
        <is>
          <t>Cái</t>
        </is>
      </c>
      <c r="E567" s="9" t="n">
        <v>38000</v>
      </c>
      <c r="F567" s="3" t="inlineStr">
        <is>
          <t>Sổ chi tiết bán hàng KingBlue</t>
        </is>
      </c>
    </row>
    <row r="568">
      <c r="A568" s="2" t="n">
        <v>567</v>
      </c>
      <c r="B568" s="2" t="inlineStr">
        <is>
          <t>KBX1-08*200</t>
        </is>
      </c>
      <c r="C568" s="3" t="inlineStr">
        <is>
          <t>KBX1-08*200</t>
        </is>
      </c>
      <c r="D568" s="2" t="inlineStr">
        <is>
          <t>Cái</t>
        </is>
      </c>
      <c r="E568" s="9" t="n">
        <v>52000</v>
      </c>
      <c r="F568" s="3" t="inlineStr">
        <is>
          <t>Sổ chi tiết bán hàng KingBlue</t>
        </is>
      </c>
    </row>
    <row r="569">
      <c r="A569" s="2" t="n">
        <v>568</v>
      </c>
      <c r="B569" s="2" t="inlineStr">
        <is>
          <t>KBX1-10*200</t>
        </is>
      </c>
      <c r="C569" s="3" t="inlineStr">
        <is>
          <t>KBX1-10*200</t>
        </is>
      </c>
      <c r="D569" s="2" t="inlineStr">
        <is>
          <t>Cái</t>
        </is>
      </c>
      <c r="E569" s="9" t="n">
        <v>35500</v>
      </c>
      <c r="F569" s="3" t="inlineStr">
        <is>
          <t>Sổ chi tiết bán hàng KingBlue</t>
        </is>
      </c>
    </row>
    <row r="570">
      <c r="A570" s="2" t="n">
        <v>569</v>
      </c>
      <c r="B570" s="2" t="inlineStr">
        <is>
          <t>KBX1-12*200</t>
        </is>
      </c>
      <c r="C570" s="3" t="inlineStr">
        <is>
          <t>KBX1-12*200</t>
        </is>
      </c>
      <c r="D570" s="2" t="inlineStr">
        <is>
          <t>Cái</t>
        </is>
      </c>
      <c r="E570" s="9" t="n">
        <v>48000</v>
      </c>
      <c r="F570" s="3" t="inlineStr">
        <is>
          <t>Sổ chi tiết bán hàng KingBlue</t>
        </is>
      </c>
    </row>
    <row r="571">
      <c r="A571" s="2" t="n">
        <v>570</v>
      </c>
      <c r="B571" s="2" t="inlineStr">
        <is>
          <t>KBX2-15</t>
        </is>
      </c>
      <c r="C571" s="3" t="inlineStr">
        <is>
          <t>KBX2-15</t>
        </is>
      </c>
      <c r="D571" s="2" t="inlineStr">
        <is>
          <t>Cái</t>
        </is>
      </c>
      <c r="E571" s="9" t="n">
        <v>33000</v>
      </c>
      <c r="F571" s="3" t="inlineStr">
        <is>
          <t>Sổ chi tiết bán hàng KingBlue</t>
        </is>
      </c>
    </row>
    <row r="572">
      <c r="A572" s="2" t="n">
        <v>571</v>
      </c>
      <c r="B572" s="2" t="inlineStr">
        <is>
          <t>KBX2-16</t>
        </is>
      </c>
      <c r="C572" s="3" t="inlineStr">
        <is>
          <t>KBX2-16</t>
        </is>
      </c>
      <c r="D572" s="2" t="inlineStr">
        <is>
          <t>Cái</t>
        </is>
      </c>
      <c r="E572" s="9" t="n">
        <v>33000</v>
      </c>
      <c r="F572" s="3" t="inlineStr">
        <is>
          <t>Sổ chi tiết bán hàng KingBlue</t>
        </is>
      </c>
    </row>
    <row r="573">
      <c r="A573" s="2" t="n">
        <v>572</v>
      </c>
      <c r="B573" s="2" t="inlineStr">
        <is>
          <t>KBX2-18</t>
        </is>
      </c>
      <c r="C573" s="3" t="inlineStr">
        <is>
          <t>KBX2-18</t>
        </is>
      </c>
      <c r="D573" s="2" t="inlineStr">
        <is>
          <t>Cái</t>
        </is>
      </c>
      <c r="E573" s="9" t="n">
        <v>33000</v>
      </c>
      <c r="F573" s="3" t="inlineStr">
        <is>
          <t>Sổ chi tiết bán hàng KingBlue</t>
        </is>
      </c>
    </row>
    <row r="574">
      <c r="A574" s="2" t="n">
        <v>573</v>
      </c>
      <c r="B574" s="2" t="inlineStr">
        <is>
          <t>KBX2-19</t>
        </is>
      </c>
      <c r="C574" s="3" t="inlineStr">
        <is>
          <t>KBX2-19</t>
        </is>
      </c>
      <c r="D574" s="2" t="inlineStr">
        <is>
          <t>Cái</t>
        </is>
      </c>
      <c r="E574" s="9" t="n">
        <v>36000</v>
      </c>
      <c r="F574" s="3" t="inlineStr">
        <is>
          <t>Sổ chi tiết bán hàng KingBlue</t>
        </is>
      </c>
    </row>
    <row r="575">
      <c r="A575" s="2" t="n">
        <v>574</v>
      </c>
      <c r="B575" s="2" t="inlineStr">
        <is>
          <t>KBX2-20</t>
        </is>
      </c>
      <c r="C575" s="3" t="inlineStr">
        <is>
          <t>KBX2-20</t>
        </is>
      </c>
      <c r="D575" s="2" t="inlineStr">
        <is>
          <t>Cái</t>
        </is>
      </c>
      <c r="E575" s="9" t="n">
        <v>37000</v>
      </c>
      <c r="F575" s="3" t="inlineStr">
        <is>
          <t>Sổ chi tiết bán hàng KingBlue</t>
        </is>
      </c>
    </row>
    <row r="576">
      <c r="A576" s="2" t="n">
        <v>575</v>
      </c>
      <c r="B576" s="2" t="inlineStr">
        <is>
          <t>KBX2-21</t>
        </is>
      </c>
      <c r="C576" s="3" t="inlineStr">
        <is>
          <t>KBX2-21</t>
        </is>
      </c>
      <c r="D576" s="2" t="inlineStr">
        <is>
          <t>Cái</t>
        </is>
      </c>
      <c r="E576" s="9" t="n">
        <v>33000</v>
      </c>
      <c r="F576" s="3" t="inlineStr">
        <is>
          <t>Sổ chi tiết bán hàng KingBlue</t>
        </is>
      </c>
    </row>
    <row r="577">
      <c r="A577" s="2" t="n">
        <v>576</v>
      </c>
      <c r="B577" s="2" t="inlineStr">
        <is>
          <t>KBX2-24</t>
        </is>
      </c>
      <c r="C577" s="3" t="inlineStr">
        <is>
          <t>KBX2-24</t>
        </is>
      </c>
      <c r="D577" s="2" t="inlineStr">
        <is>
          <t>Cái</t>
        </is>
      </c>
      <c r="E577" s="9" t="n">
        <v>45000</v>
      </c>
      <c r="F577" s="3" t="inlineStr">
        <is>
          <t>Sổ chi tiết bán hàng KingBlue</t>
        </is>
      </c>
    </row>
    <row r="578">
      <c r="A578" s="2" t="n">
        <v>577</v>
      </c>
      <c r="B578" s="2" t="inlineStr">
        <is>
          <t>KBX2-25</t>
        </is>
      </c>
      <c r="C578" s="3" t="inlineStr">
        <is>
          <t>KBX2-25</t>
        </is>
      </c>
      <c r="D578" s="2" t="inlineStr">
        <is>
          <t>Cái</t>
        </is>
      </c>
      <c r="E578" s="9" t="n">
        <v>40000</v>
      </c>
      <c r="F578" s="3" t="inlineStr">
        <is>
          <t>Sổ chi tiết bán hàng KingBlue</t>
        </is>
      </c>
    </row>
    <row r="579">
      <c r="A579" s="2" t="n">
        <v>578</v>
      </c>
      <c r="B579" s="2" t="inlineStr">
        <is>
          <t>KBX2-27</t>
        </is>
      </c>
      <c r="C579" s="3" t="inlineStr">
        <is>
          <t>KBX2-27</t>
        </is>
      </c>
      <c r="D579" s="2" t="inlineStr">
        <is>
          <t>Cái</t>
        </is>
      </c>
      <c r="E579" s="9" t="n">
        <v>51000</v>
      </c>
      <c r="F579" s="3" t="inlineStr">
        <is>
          <t>Sổ chi tiết bán hàng KingBlue</t>
        </is>
      </c>
    </row>
    <row r="580">
      <c r="A580" s="2" t="n">
        <v>579</v>
      </c>
      <c r="B580" s="2" t="inlineStr">
        <is>
          <t>KBX2-30</t>
        </is>
      </c>
      <c r="C580" s="3" t="inlineStr">
        <is>
          <t>KBX2-30</t>
        </is>
      </c>
      <c r="D580" s="2" t="inlineStr">
        <is>
          <t>Cái</t>
        </is>
      </c>
      <c r="E580" s="9" t="n">
        <v>57000</v>
      </c>
      <c r="F580" s="3" t="inlineStr">
        <is>
          <t>Sổ chi tiết bán hàng KingBlue</t>
        </is>
      </c>
    </row>
    <row r="581">
      <c r="A581" s="2" t="n">
        <v>580</v>
      </c>
      <c r="B581" s="2" t="inlineStr">
        <is>
          <t>KBX2-32</t>
        </is>
      </c>
      <c r="C581" s="3" t="inlineStr">
        <is>
          <t>KBX2-32</t>
        </is>
      </c>
      <c r="D581" s="2" t="inlineStr">
        <is>
          <t>Cái</t>
        </is>
      </c>
      <c r="E581" s="9" t="n">
        <v>61000</v>
      </c>
      <c r="F581" s="3" t="inlineStr">
        <is>
          <t>Sổ chi tiết bán hàng KingBlue</t>
        </is>
      </c>
    </row>
    <row r="582">
      <c r="A582" s="2" t="n">
        <v>581</v>
      </c>
      <c r="B582" s="2" t="inlineStr">
        <is>
          <t>KBX2-35</t>
        </is>
      </c>
      <c r="C582" s="3" t="inlineStr">
        <is>
          <t>KBX2-35</t>
        </is>
      </c>
      <c r="D582" s="2" t="inlineStr">
        <is>
          <t>Cái</t>
        </is>
      </c>
      <c r="E582" s="9" t="n">
        <v>66000</v>
      </c>
      <c r="F582" s="3" t="inlineStr">
        <is>
          <t>Sổ chi tiết bán hàng KingBlue</t>
        </is>
      </c>
    </row>
    <row r="583">
      <c r="A583" s="2" t="n">
        <v>582</v>
      </c>
      <c r="B583" s="2" t="inlineStr">
        <is>
          <t>KBX2-40</t>
        </is>
      </c>
      <c r="C583" s="3" t="inlineStr">
        <is>
          <t>KBX2-40</t>
        </is>
      </c>
      <c r="D583" s="2" t="inlineStr">
        <is>
          <t>Cái</t>
        </is>
      </c>
      <c r="E583" s="9" t="n">
        <v>74000</v>
      </c>
      <c r="F583" s="3" t="inlineStr">
        <is>
          <t>Sổ chi tiết bán hàng KingBlue</t>
        </is>
      </c>
    </row>
    <row r="584">
      <c r="A584" s="2" t="n">
        <v>583</v>
      </c>
      <c r="B584" s="2" t="inlineStr">
        <is>
          <t>KBX2-42</t>
        </is>
      </c>
      <c r="C584" s="3" t="inlineStr">
        <is>
          <t>KBX2-42</t>
        </is>
      </c>
      <c r="D584" s="2" t="inlineStr">
        <is>
          <t>Cái</t>
        </is>
      </c>
      <c r="E584" s="9" t="n">
        <v>78000</v>
      </c>
      <c r="F584" s="3" t="inlineStr">
        <is>
          <t>Sổ chi tiết bán hàng KingBlue</t>
        </is>
      </c>
    </row>
    <row r="585">
      <c r="A585" s="2" t="n">
        <v>584</v>
      </c>
      <c r="B585" s="2" t="inlineStr">
        <is>
          <t>KBX2-50</t>
        </is>
      </c>
      <c r="C585" s="3" t="inlineStr">
        <is>
          <t>KBX2-50</t>
        </is>
      </c>
      <c r="D585" s="2" t="inlineStr">
        <is>
          <t>Cái</t>
        </is>
      </c>
      <c r="E585" s="9" t="n">
        <v>91000</v>
      </c>
      <c r="F585" s="3" t="inlineStr">
        <is>
          <t>Sổ chi tiết bán hàng KingBlue</t>
        </is>
      </c>
    </row>
    <row r="586">
      <c r="A586" s="2" t="n">
        <v>585</v>
      </c>
      <c r="B586" s="2" t="inlineStr">
        <is>
          <t>KBX2-60</t>
        </is>
      </c>
      <c r="C586" s="3" t="inlineStr">
        <is>
          <t>KBX2-60</t>
        </is>
      </c>
      <c r="D586" s="2" t="inlineStr">
        <is>
          <t>Cái</t>
        </is>
      </c>
      <c r="E586" s="9" t="n">
        <v>106000</v>
      </c>
      <c r="F586" s="3" t="inlineStr">
        <is>
          <t>Sổ chi tiết bán hàng KingBlue</t>
        </is>
      </c>
    </row>
    <row r="587">
      <c r="A587" s="2" t="n">
        <v>586</v>
      </c>
      <c r="B587" s="2" t="inlineStr">
        <is>
          <t>KBY1-010</t>
        </is>
      </c>
      <c r="C587" s="3" t="inlineStr">
        <is>
          <t>KBY1-010</t>
        </is>
      </c>
      <c r="D587" s="2" t="inlineStr">
        <is>
          <t>Cái</t>
        </is>
      </c>
      <c r="E587" s="9" t="n">
        <v>4000</v>
      </c>
      <c r="F587" s="3" t="inlineStr">
        <is>
          <t>Sổ chi tiết bán hàng KingBlue</t>
        </is>
      </c>
    </row>
    <row r="588">
      <c r="A588" s="2" t="n">
        <v>587</v>
      </c>
      <c r="B588" s="2" t="inlineStr">
        <is>
          <t>KBY1-015</t>
        </is>
      </c>
      <c r="C588" s="3" t="inlineStr">
        <is>
          <t>KBY1-015</t>
        </is>
      </c>
      <c r="D588" s="2" t="inlineStr">
        <is>
          <t>Cái</t>
        </is>
      </c>
      <c r="E588" s="9" t="n">
        <v>4600</v>
      </c>
      <c r="F588" s="3" t="inlineStr">
        <is>
          <t>Sổ chi tiết bán hàng KingBlue</t>
        </is>
      </c>
    </row>
    <row r="589">
      <c r="A589" s="2" t="n">
        <v>588</v>
      </c>
      <c r="B589" s="2" t="inlineStr">
        <is>
          <t>KBY1-020</t>
        </is>
      </c>
      <c r="C589" s="3" t="inlineStr">
        <is>
          <t>KBY1-020</t>
        </is>
      </c>
      <c r="D589" s="2" t="inlineStr">
        <is>
          <t>Cái</t>
        </is>
      </c>
      <c r="E589" s="9" t="n">
        <v>5200</v>
      </c>
      <c r="F589" s="3" t="inlineStr">
        <is>
          <t>Sổ chi tiết bán hàng KingBlue</t>
        </is>
      </c>
    </row>
    <row r="590">
      <c r="A590" s="2" t="n">
        <v>589</v>
      </c>
      <c r="B590" s="2" t="inlineStr">
        <is>
          <t>KBY1-025</t>
        </is>
      </c>
      <c r="C590" s="3" t="inlineStr">
        <is>
          <t>KBY1-025</t>
        </is>
      </c>
      <c r="D590" s="2" t="inlineStr">
        <is>
          <t>Cái</t>
        </is>
      </c>
      <c r="E590" s="9" t="n">
        <v>5800</v>
      </c>
      <c r="F590" s="3" t="inlineStr">
        <is>
          <t>Sổ chi tiết bán hàng KingBlue</t>
        </is>
      </c>
    </row>
    <row r="591">
      <c r="A591" s="2" t="n">
        <v>590</v>
      </c>
      <c r="B591" s="2" t="inlineStr">
        <is>
          <t>KBY1-030</t>
        </is>
      </c>
      <c r="C591" s="3" t="inlineStr">
        <is>
          <t>KBY1-030</t>
        </is>
      </c>
      <c r="D591" s="2" t="inlineStr">
        <is>
          <t>Cái</t>
        </is>
      </c>
      <c r="E591" s="9" t="n">
        <v>6900</v>
      </c>
      <c r="F591" s="3" t="inlineStr">
        <is>
          <t>Sổ chi tiết bán hàng KingBlue</t>
        </is>
      </c>
    </row>
    <row r="592">
      <c r="A592" s="2" t="n">
        <v>591</v>
      </c>
      <c r="B592" s="2" t="inlineStr">
        <is>
          <t>KBY1-032</t>
        </is>
      </c>
      <c r="C592" s="3" t="inlineStr">
        <is>
          <t>KBY1-032</t>
        </is>
      </c>
      <c r="D592" s="2" t="inlineStr">
        <is>
          <t>Cái</t>
        </is>
      </c>
      <c r="E592" s="9" t="n">
        <v>8100</v>
      </c>
      <c r="F592" s="3" t="inlineStr">
        <is>
          <t>Sổ chi tiết bán hàng KingBlue</t>
        </is>
      </c>
    </row>
    <row r="593">
      <c r="A593" s="2" t="n">
        <v>592</v>
      </c>
      <c r="B593" s="2" t="inlineStr">
        <is>
          <t>KBY1-035</t>
        </is>
      </c>
      <c r="C593" s="3" t="inlineStr">
        <is>
          <t>KBY1-035</t>
        </is>
      </c>
      <c r="D593" s="2" t="inlineStr">
        <is>
          <t>Cái</t>
        </is>
      </c>
      <c r="E593" s="9" t="n">
        <v>9200</v>
      </c>
      <c r="F593" s="3" t="inlineStr">
        <is>
          <t>Sổ chi tiết bán hàng KingBlue</t>
        </is>
      </c>
    </row>
    <row r="594">
      <c r="A594" s="2" t="n">
        <v>593</v>
      </c>
      <c r="B594" s="2" t="inlineStr">
        <is>
          <t>KBY1-040</t>
        </is>
      </c>
      <c r="C594" s="3" t="inlineStr">
        <is>
          <t>KBY1-040</t>
        </is>
      </c>
      <c r="D594" s="2" t="inlineStr">
        <is>
          <t>Cái</t>
        </is>
      </c>
      <c r="E594" s="9" t="n">
        <v>10500</v>
      </c>
      <c r="F594" s="3" t="inlineStr">
        <is>
          <t>Sổ chi tiết bán hàng KingBlue</t>
        </is>
      </c>
    </row>
    <row r="595">
      <c r="A595" s="2" t="n">
        <v>594</v>
      </c>
      <c r="B595" s="2" t="inlineStr">
        <is>
          <t>KBY1-042</t>
        </is>
      </c>
      <c r="C595" s="3" t="inlineStr">
        <is>
          <t>KBY1-042</t>
        </is>
      </c>
      <c r="D595" s="2" t="inlineStr">
        <is>
          <t>Cái</t>
        </is>
      </c>
      <c r="E595" s="9" t="n">
        <v>11500</v>
      </c>
      <c r="F595" s="3" t="inlineStr">
        <is>
          <t>Sổ chi tiết bán hàng KingBlue</t>
        </is>
      </c>
    </row>
    <row r="596">
      <c r="A596" s="2" t="n">
        <v>595</v>
      </c>
      <c r="B596" s="2" t="inlineStr">
        <is>
          <t>KBY1-045</t>
        </is>
      </c>
      <c r="C596" s="3" t="inlineStr">
        <is>
          <t>KBY1-045</t>
        </is>
      </c>
      <c r="D596" s="2" t="inlineStr">
        <is>
          <t>Cái</t>
        </is>
      </c>
      <c r="E596" s="9" t="n">
        <v>12500</v>
      </c>
      <c r="F596" s="3" t="inlineStr">
        <is>
          <t>Sổ chi tiết bán hàng KingBlue</t>
        </is>
      </c>
    </row>
    <row r="597">
      <c r="A597" s="2" t="n">
        <v>596</v>
      </c>
      <c r="B597" s="2" t="inlineStr">
        <is>
          <t>KBY1-050</t>
        </is>
      </c>
      <c r="C597" s="3" t="inlineStr">
        <is>
          <t>KBY1-050</t>
        </is>
      </c>
      <c r="D597" s="2" t="inlineStr">
        <is>
          <t>Cái</t>
        </is>
      </c>
      <c r="E597" s="9" t="n">
        <v>15000</v>
      </c>
      <c r="F597" s="3" t="inlineStr">
        <is>
          <t>Sổ chi tiết bán hàng KingBlue</t>
        </is>
      </c>
    </row>
    <row r="598">
      <c r="A598" s="2" t="n">
        <v>597</v>
      </c>
      <c r="B598" s="2" t="inlineStr">
        <is>
          <t>KBY1-052</t>
        </is>
      </c>
      <c r="C598" s="3" t="inlineStr">
        <is>
          <t>KBY1-052</t>
        </is>
      </c>
      <c r="D598" s="2" t="inlineStr">
        <is>
          <t>Cái</t>
        </is>
      </c>
      <c r="E598" s="9" t="n">
        <v>17000</v>
      </c>
      <c r="F598" s="3" t="inlineStr">
        <is>
          <t>Sổ chi tiết bán hàng KingBlue</t>
        </is>
      </c>
    </row>
    <row r="599">
      <c r="A599" s="2" t="n">
        <v>598</v>
      </c>
      <c r="B599" s="2" t="inlineStr">
        <is>
          <t>KBY1-055</t>
        </is>
      </c>
      <c r="C599" s="3" t="inlineStr">
        <is>
          <t>KBY1-055</t>
        </is>
      </c>
      <c r="D599" s="2" t="inlineStr">
        <is>
          <t>Cái</t>
        </is>
      </c>
      <c r="E599" s="9" t="n">
        <v>18000</v>
      </c>
      <c r="F599" s="3" t="inlineStr">
        <is>
          <t>Sổ chi tiết bán hàng KingBlue</t>
        </is>
      </c>
    </row>
    <row r="600">
      <c r="A600" s="2" t="n">
        <v>599</v>
      </c>
      <c r="B600" s="2" t="inlineStr">
        <is>
          <t>KBY1-060</t>
        </is>
      </c>
      <c r="C600" s="3" t="inlineStr">
        <is>
          <t>KBY1-060</t>
        </is>
      </c>
      <c r="D600" s="2" t="inlineStr">
        <is>
          <t>Cái</t>
        </is>
      </c>
      <c r="E600" s="9" t="n">
        <v>22500</v>
      </c>
      <c r="F600" s="3" t="inlineStr">
        <is>
          <t>Sổ chi tiết bán hàng KingBlue</t>
        </is>
      </c>
    </row>
    <row r="601">
      <c r="A601" s="2" t="n">
        <v>600</v>
      </c>
      <c r="B601" s="2" t="inlineStr">
        <is>
          <t>KBY1-065</t>
        </is>
      </c>
      <c r="C601" s="3" t="inlineStr">
        <is>
          <t>KBY1-065</t>
        </is>
      </c>
      <c r="D601" s="2" t="inlineStr">
        <is>
          <t>Cái</t>
        </is>
      </c>
      <c r="E601" s="9" t="n">
        <v>24000</v>
      </c>
      <c r="F601" s="3" t="inlineStr">
        <is>
          <t>Sổ chi tiết bán hàng KingBlue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2026-10-15T07:21:11Z</dcterms:created>
  <dcterms:modified xmlns:dcterms="http://purl.org/dc/terms/" xmlns:xsi="http://www.w3.org/2001/XMLSchema-instance" xsi:type="dcterms:W3CDTF">2026-10-15T07:21:11Z</dcterms:modified>
</cp:coreProperties>
</file>
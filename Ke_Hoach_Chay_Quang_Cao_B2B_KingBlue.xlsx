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amp; KPI TEST B2B" sheetId="1" state="visible" r:id="rId1"/>
    <sheet xmlns:r="http://schemas.openxmlformats.org/officeDocument/2006/relationships" name="QUAN LY TASK DU AN" sheetId="2" state="visible" r:id="rId2"/>
    <sheet xmlns:r="http://schemas.openxmlformats.org/officeDocument/2006/relationships" name="CHI TIET CHIEN DICH FB ADS" sheetId="3" state="visible" r:id="rId3"/>
    <sheet xmlns:r="http://schemas.openxmlformats.org/officeDocument/2006/relationships" name="NGAN SACH 4 TUAN" sheetId="4" state="visible" r:id="rId4"/>
    <sheet xmlns:r="http://schemas.openxmlformats.org/officeDocument/2006/relationships" name="CONTENT &amp; CREATIVE FB" sheetId="5" state="visible" r:id="rId5"/>
    <sheet xmlns:r="http://schemas.openxmlformats.org/officeDocument/2006/relationships" name="THEO DOI LEAD &amp; KHAO SAT WIN" sheetId="6" state="visible" r:id="rId6"/>
    <sheet xmlns:r="http://schemas.openxmlformats.org/officeDocument/2006/relationships" name="CAU HINH" sheetId="7" state="visible" r:id="rId7"/>
  </sheets>
  <definedNames/>
  <calcPr calcId="124519" fullCalcOnLoad="1"/>
</workbook>
</file>

<file path=xl/styles.xml><?xml version="1.0" encoding="utf-8"?>
<styleSheet xmlns="http://schemas.openxmlformats.org/spreadsheetml/2006/main">
  <numFmts count="3">
    <numFmt numFmtId="164" formatCode="#,##0 ₫"/>
    <numFmt numFmtId="165" formatCode="0.0"/>
    <numFmt numFmtId="166" formatCode="0.0%"/>
  </numFmts>
  <fonts count="8">
    <font>
      <name val="Calibri"/>
      <family val="2"/>
      <color theme="1"/>
      <sz val="11"/>
      <scheme val="minor"/>
    </font>
    <font>
      <name val="Arial"/>
      <b val="1"/>
      <color rgb="00FFFFFF"/>
      <sz val="13"/>
    </font>
    <font>
      <name val="Arial"/>
      <b val="1"/>
      <color rgb="0064748B"/>
      <sz val="8"/>
    </font>
    <font>
      <name val="Arial"/>
      <b val="1"/>
      <color rgb="001E3A8A"/>
      <sz val="12"/>
    </font>
    <font>
      <name val="Arial"/>
      <b val="1"/>
      <color rgb="00FFFFFF"/>
      <sz val="10"/>
    </font>
    <font>
      <name val="Arial"/>
      <b val="1"/>
      <color rgb="00FFFFFF"/>
      <sz val="9"/>
    </font>
    <font>
      <name val="Arial"/>
      <color rgb="000F172A"/>
      <sz val="9"/>
    </font>
    <font>
      <name val="Arial"/>
      <b val="1"/>
      <color rgb="000F172A"/>
      <sz val="9"/>
    </font>
  </fonts>
  <fills count="8">
    <fill>
      <patternFill/>
    </fill>
    <fill>
      <patternFill patternType="gray125"/>
    </fill>
    <fill>
      <patternFill patternType="solid">
        <fgColor rgb="001A365D"/>
      </patternFill>
    </fill>
    <fill>
      <patternFill patternType="solid">
        <fgColor rgb="00F1F5F9"/>
      </patternFill>
    </fill>
    <fill>
      <patternFill patternType="solid">
        <fgColor rgb="00FEF3C7"/>
      </patternFill>
    </fill>
    <fill>
      <patternFill patternType="solid">
        <fgColor rgb="00DCFCE7"/>
      </patternFill>
    </fill>
    <fill>
      <patternFill patternType="solid">
        <fgColor rgb="000F172A"/>
      </patternFill>
    </fill>
    <fill>
      <patternFill patternType="solid">
        <f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4" fillId="6" borderId="0" applyAlignment="1" pivotButton="0" quotePrefix="0" xfId="0">
      <alignment horizontal="left" vertical="center"/>
    </xf>
    <xf numFmtId="0" fontId="5" fillId="7" borderId="1" applyAlignment="1" pivotButton="0" quotePrefix="0" xfId="0">
      <alignment horizontal="center" vertical="center"/>
    </xf>
    <xf numFmtId="0" fontId="0" fillId="0" borderId="1" pivotButton="0" quotePrefix="0" xfId="0"/>
    <xf numFmtId="0" fontId="6" fillId="0" borderId="1" applyAlignment="1" pivotButton="0" quotePrefix="0" xfId="0">
      <alignment horizontal="center" vertical="center"/>
    </xf>
    <xf numFmtId="0" fontId="7" fillId="0" borderId="1" applyAlignment="1" pivotButton="0" quotePrefix="0" xfId="0">
      <alignment horizontal="left" vertical="center" wrapText="1"/>
    </xf>
    <xf numFmtId="0" fontId="6" fillId="0" borderId="1" applyAlignment="1" pivotButton="0" quotePrefix="0" xfId="0">
      <alignment horizontal="left" vertical="center" wrapText="1"/>
    </xf>
    <xf numFmtId="164" fontId="6" fillId="0" borderId="1" applyAlignment="1" pivotButton="0" quotePrefix="0" xfId="0">
      <alignment horizontal="right" vertical="center"/>
    </xf>
    <xf numFmtId="165" fontId="6" fillId="0" borderId="1" applyAlignment="1" pivotButton="0" quotePrefix="0" xfId="0">
      <alignment horizontal="center" vertical="center"/>
    </xf>
    <xf numFmtId="3" fontId="6" fillId="0" borderId="1" applyAlignment="1" pivotButton="0" quotePrefix="0" xfId="0">
      <alignment horizontal="center" vertical="center"/>
    </xf>
    <xf numFmtId="166" fontId="6" fillId="0" borderId="1" applyAlignment="1" pivotButton="0" quotePrefix="0" xfId="0">
      <alignment horizontal="center" vertical="center"/>
    </xf>
    <xf numFmtId="0" fontId="7" fillId="3" borderId="1" applyAlignment="1" pivotButton="0" quotePrefix="0" xfId="0">
      <alignment horizontal="center" vertical="center"/>
    </xf>
    <xf numFmtId="164" fontId="7" fillId="4" borderId="1" applyAlignment="1" pivotButton="0" quotePrefix="0" xfId="0">
      <alignment horizontal="right" vertical="center"/>
    </xf>
    <xf numFmtId="164" fontId="7" fillId="3" borderId="1" applyAlignment="1" pivotButton="0" quotePrefix="0" xfId="0">
      <alignment horizontal="right" vertical="center"/>
    </xf>
    <xf numFmtId="165" fontId="7" fillId="5" borderId="1" applyAlignment="1" pivotButton="0" quotePrefix="0" xfId="0">
      <alignment horizontal="center" vertical="center"/>
    </xf>
    <xf numFmtId="3" fontId="7" fillId="3" borderId="1" applyAlignment="1" pivotButton="0" quotePrefix="0" xfId="0">
      <alignment horizontal="center" vertical="center"/>
    </xf>
    <xf numFmtId="166" fontId="7" fillId="3" borderId="1" applyAlignment="1" pivotButton="0" quotePrefix="0" xfId="0">
      <alignment horizontal="center" vertical="center"/>
    </xf>
    <xf numFmtId="3" fontId="3" fillId="3" borderId="0" applyAlignment="1" pivotButton="0" quotePrefix="0" xfId="0">
      <alignment horizontal="center" vertical="center"/>
    </xf>
    <xf numFmtId="3" fontId="3" fillId="5" borderId="0" applyAlignment="1" pivotButton="0" quotePrefix="0" xfId="0">
      <alignment horizontal="center" vertical="center"/>
    </xf>
    <xf numFmtId="3" fontId="3" fillId="4" borderId="0" applyAlignment="1" pivotButton="0" quotePrefix="0" xfId="0">
      <alignment horizontal="center" vertical="center"/>
    </xf>
    <xf numFmtId="166" fontId="3" fillId="3" borderId="0" applyAlignment="1" pivotButton="0" quotePrefix="0" xfId="0">
      <alignment horizontal="center" vertical="center"/>
    </xf>
    <xf numFmtId="0" fontId="7" fillId="3" borderId="0" applyAlignment="1" pivotButton="0" quotePrefix="0" xfId="0">
      <alignment horizontal="center" vertical="center"/>
    </xf>
    <xf numFmtId="0" fontId="6" fillId="0" borderId="1" applyAlignment="1" pivotButton="0" quotePrefix="0" xfId="0">
      <alignment horizontal="left" vertical="center"/>
    </xf>
    <xf numFmtId="0" fontId="0" fillId="0" borderId="1" applyAlignment="1" pivotButton="0" quotePrefix="0" xfId="0">
      <alignment horizontal="center" vertical="center"/>
    </xf>
    <xf numFmtId="164" fontId="3" fillId="4" borderId="0" applyAlignment="1" pivotButton="0" quotePrefix="0" xfId="0">
      <alignment horizontal="center" vertical="center"/>
    </xf>
    <xf numFmtId="164" fontId="3" fillId="3" borderId="0" applyAlignment="1" pivotButton="0" quotePrefix="0" xfId="0">
      <alignment horizontal="center" vertical="center"/>
    </xf>
    <xf numFmtId="164" fontId="0" fillId="0" borderId="1" pivotButton="0" quotePrefix="0" xfId="0"/>
    <xf numFmtId="3" fontId="0" fillId="0" borderId="1" pivotButton="0" quotePrefix="0" xfId="0"/>
    <xf numFmtId="166" fontId="0" fillId="0" borderId="1" pivotButton="0" quotePrefix="0" xfId="0"/>
    <xf numFmtId="164" fontId="7" fillId="0" borderId="1" applyAlignment="1" pivotButton="0" quotePrefix="0" xfId="0">
      <alignment horizontal="right" vertical="center"/>
    </xf>
    <xf numFmtId="164" fontId="7" fillId="5" borderId="1" applyAlignment="1" pivotButton="0" quotePrefix="0" xfId="0">
      <alignment horizontal="right" vertical="center"/>
    </xf>
    <xf numFmtId="0" fontId="4" fillId="6" borderId="0" applyAlignment="1" pivotButton="0" quotePrefix="0" xfId="0">
      <alignment horizontal="center" vertical="center"/>
    </xf>
    <xf numFmtId="3" fontId="7" fillId="5" borderId="1" applyAlignment="1" pivotButton="0" quotePrefix="0" xfId="0">
      <alignment horizontal="center" vertical="center"/>
    </xf>
    <xf numFmtId="0" fontId="1"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showGridLines="1" workbookViewId="0">
      <selection activeCell="A1" sqref="A1"/>
    </sheetView>
  </sheetViews>
  <sheetFormatPr baseColWidth="8" defaultRowHeight="15"/>
  <cols>
    <col width="6" customWidth="1" min="1" max="1"/>
    <col width="26" customWidth="1" min="2" max="2"/>
    <col width="32" customWidth="1" min="3" max="3"/>
    <col width="30" customWidth="1" min="4" max="4"/>
    <col width="20" customWidth="1" min="5" max="5"/>
    <col width="26" customWidth="1" min="6" max="6"/>
    <col width="18" customWidth="1" min="7" max="7"/>
    <col width="18" customWidth="1" min="8" max="8"/>
    <col width="14" customWidth="1" min="9" max="9"/>
    <col width="14" customWidth="1" min="10" max="10"/>
    <col width="16" customWidth="1" min="11" max="11"/>
    <col width="12" customWidth="1" min="12" max="12"/>
  </cols>
  <sheetData>
    <row r="1" ht="38" customHeight="1">
      <c r="A1" s="1" t="inlineStr">
        <is>
          <t>🎯 ĐỊNH HƯỚNG TEST ADS FACEBOOK B2B (NGÂN SÁCH 600k - 700k/NGÀY &amp; TÌM SẢN PHẨM WIN) - KING BLUE</t>
        </is>
      </c>
    </row>
    <row r="2" ht="18" customHeight="1">
      <c r="A2" s="2" t="inlineStr">
        <is>
          <t>NGÂN SÁCH THÁNG</t>
        </is>
      </c>
      <c r="C2" s="3" t="inlineStr">
        <is>
          <t>NGÂN SÁCH NGÀY (DAILY)</t>
        </is>
      </c>
      <c r="E2" s="4" t="inlineStr">
        <is>
          <t>MỤC TIÊU LEAD NGÀY</t>
        </is>
      </c>
      <c r="G2" s="2" t="inlineStr">
        <is>
          <t>MỤC TIÊU LEAD THÁNG</t>
        </is>
      </c>
      <c r="I2" s="2" t="inlineStr">
        <is>
          <t>CPL MỤC TIÊU (COST/LEAD)</t>
        </is>
      </c>
      <c r="K2" s="2" t="inlineStr">
        <is>
          <t>NHÂN SỰ PHỤ TRÁCH</t>
        </is>
      </c>
    </row>
    <row r="3" ht="26" customHeight="1">
      <c r="A3" s="5" t="inlineStr">
        <is>
          <t>20,000,000 ₫</t>
        </is>
      </c>
      <c r="C3" s="6" t="inlineStr">
        <is>
          <t>600k – 700k ₫/ngày (TB 670k)</t>
        </is>
      </c>
      <c r="E3" s="7" t="inlineStr">
        <is>
          <t>~3 – 4 Leads / ngày</t>
        </is>
      </c>
      <c r="G3" s="5" t="inlineStr">
        <is>
          <t>100 – 105 Leads</t>
        </is>
      </c>
      <c r="I3" s="5" t="inlineStr">
        <is>
          <t>180,000 ₫ – 200,000 ₫</t>
        </is>
      </c>
      <c r="K3" s="5" t="inlineStr">
        <is>
          <t>Kiều Thương (Manager hỗ trợ)</t>
        </is>
      </c>
    </row>
    <row r="5" ht="24" customHeight="1">
      <c r="A5" s="8" t="inlineStr">
        <is>
          <t>1. LỘ TRÌNH 3 GIAI ĐOẠN TRIỂN KHAI CHIẾN DỊCH TEST ADS B2B &amp; TÌM SẢN PHẨM WIN</t>
        </is>
      </c>
    </row>
    <row r="6" ht="24" customHeight="1">
      <c r="A6" s="9" t="inlineStr">
        <is>
          <t>STT</t>
        </is>
      </c>
      <c r="B6" s="9" t="inlineStr">
        <is>
          <t>Giai Đoạn Triển Khai</t>
        </is>
      </c>
      <c r="C6" s="9" t="inlineStr">
        <is>
          <t>Nhiệm Vụ &amp; Hoạt Động Trọng Tâm</t>
        </is>
      </c>
      <c r="D6" s="10" t="n"/>
      <c r="E6" s="10" t="n"/>
      <c r="F6" s="9" t="inlineStr">
        <is>
          <t>Mục Tiêu &amp; Tiêu Chuẩn Đầu Ra (KPI / Ngân Sách)</t>
        </is>
      </c>
      <c r="G6" s="10" t="n"/>
      <c r="H6" s="10" t="n"/>
      <c r="I6" s="10" t="n"/>
      <c r="J6" s="10" t="n"/>
      <c r="K6" s="10" t="n"/>
      <c r="L6" s="10" t="n"/>
    </row>
    <row r="7" ht="54" customHeight="1">
      <c r="A7" s="11" t="n">
        <v>1</v>
      </c>
      <c r="B7" s="12" t="inlineStr">
        <is>
          <t>Giai đoạn 1: Sản xuất nội dung &amp; Testing tìm kiếm nội dung win (Tuần 1)</t>
        </is>
      </c>
      <c r="C7" s="13" t="inlineStr">
        <is>
          <t>• Sản xuất ma trận creative (Ảnh Carousel hệ sinh thái, Video thực tế bàn giao kệ POSM, Infographic chiết khấu 35%).
• Khởi chạy 4 Campaign thăm dò trên FB Ads với Daily Budget ~600k/ngày (130k - 200k/camp).
• Đo lường chỉ số tương tác: CTR (&gt;2.5%), CPC, tỷ lệ mở Lead Form và phản hồi ban đầu của chủ tiệm.</t>
        </is>
      </c>
      <c r="D7" s="10" t="n"/>
      <c r="E7" s="10" t="n"/>
      <c r="F7" s="13" t="inlineStr">
        <is>
          <t>• Thu về ~20 - 25 leads đầu tiên để kiểm tra chất lượng tệp đại lý.
• Xác định rõ Mẫu Nội Dung Win (Winning Creative &amp; Copy) có CPL &lt; 180k - 200k.
• Kiều Thương hoàn thiện kịch bản gọi điện tư vấn và gửi Catalogue/Báo giá sỉ.</t>
        </is>
      </c>
      <c r="G7" s="10" t="n"/>
      <c r="H7" s="10" t="n"/>
      <c r="I7" s="10" t="n"/>
      <c r="J7" s="10" t="n"/>
      <c r="K7" s="10" t="n"/>
      <c r="L7" s="10" t="n"/>
    </row>
    <row r="8" ht="54" customHeight="1">
      <c r="A8" s="11" t="n">
        <v>2</v>
      </c>
      <c r="B8" s="12" t="inlineStr">
        <is>
          <t>Giai đoạn 2: Tối ưu và chỉnh sửa (Tuần 2 đến Tuần 3)</t>
        </is>
      </c>
      <c r="C8" s="13" t="inlineStr">
        <is>
          <t>• Tắt ngay các mẫu quảng cáo/angle có CPL cao (&gt; 220k - 250k) hoặc tỷ lệ chuyển đổi thấp.
• Tối ưu sâu nội dung win: Thay hook 3s đầu video, thử nghiệm tiêu đề mới, thêm câu hỏi lọc tệp trong Lead Form để hạn chế lead rác.
• Kiều Thương phân loại dòng hàng đại lý hỏi nhiều nhất vào Tab 5 (máy pin, đá cắt, catalogue...). Manager duyệt điều chỉnh ngân sách giữa các camp.</t>
        </is>
      </c>
      <c r="D8" s="10" t="n"/>
      <c r="E8" s="10" t="n"/>
      <c r="F8" s="13" t="inlineStr">
        <is>
          <t>• Kéo CPL toàn chiến dịch về chuẩn mục tiêu: 180.000 ₫ – 200.000 ₫ / Lead.
• Tỷ lệ lead đúng chân dung chủ cửa hàng/đại lý đạt &gt; 80%.
• Thu thêm ~45 - 55 leads chất lượng cao, phục vụ sàng lọc nhu cầu thị trường.</t>
        </is>
      </c>
      <c r="G8" s="10" t="n"/>
      <c r="H8" s="10" t="n"/>
      <c r="I8" s="10" t="n"/>
      <c r="J8" s="10" t="n"/>
      <c r="K8" s="10" t="n"/>
      <c r="L8" s="10" t="n"/>
    </row>
    <row r="9" ht="54" customHeight="1">
      <c r="A9" s="11" t="n">
        <v>3</v>
      </c>
      <c r="B9" s="12" t="inlineStr">
        <is>
          <t>Giai đoạn 3: Ổn định ngân sách (Tuần 3 đến Tuần 4)</t>
        </is>
      </c>
      <c r="C9" s="13" t="inlineStr">
        <is>
          <t>• Khóa trần ngân sách ngày cố định ở mức 650.000 ₫ – 700.000 ₫ / ngày (dồn 75% ngân sách cho Camp Win, 25% duy trì khảo sát catalogue).
• Duy trì phân phối ổn định của máy học Meta để dòng lead đổ về đều đặn ~3 – 4 leads/ngày.
• Tổng kết dữ liệu Tab 5: Phân tích tỷ lệ đại lý quan tâm từng dòng hàng để chốt danh mục 'Sản Phẩm Win' cho King Blue.</t>
        </is>
      </c>
      <c r="D9" s="10" t="n"/>
      <c r="E9" s="10" t="n"/>
      <c r="F9" s="13" t="inlineStr">
        <is>
          <t>• Cán mốc tổng 100 – 105 Leads đại lý trong tháng với tổng ngân sách đúng 20.000.000 ₫.
• Kiểm soát chặt chẽ chi phí hàng ngày, không bị hụt hoặc vượt ngân sách.
• Báo cáo hoàn chỉnh danh mục Sản Phẩm Win làm tiền đề mở rộng quy mô lớn cho các tháng sau.</t>
        </is>
      </c>
      <c r="G9" s="10" t="n"/>
      <c r="H9" s="10" t="n"/>
      <c r="I9" s="10" t="n"/>
      <c r="J9" s="10" t="n"/>
      <c r="K9" s="10" t="n"/>
      <c r="L9" s="10" t="n"/>
    </row>
    <row r="10" ht="12" customHeight="1"/>
    <row r="11" ht="24" customHeight="1">
      <c r="A11" s="8" t="inlineStr">
        <is>
          <t>2. 4 TRỤC GÓC TIẾP CẬN THỬ NGHIỆM &amp; PHÂN BỔ NGÂN SÁCH NGÀY (670.000 ₫ / NGÀY)</t>
        </is>
      </c>
    </row>
    <row r="12" ht="24" customHeight="1">
      <c r="A12" s="9" t="inlineStr">
        <is>
          <t>STT</t>
        </is>
      </c>
      <c r="B12" s="9" t="inlineStr">
        <is>
          <t>Trục Góc Tiếp Cận (Angle)</t>
        </is>
      </c>
      <c r="C12" s="9" t="inlineStr">
        <is>
          <t>Ý Tưởng &amp; Định Hướng Nội Dung</t>
        </is>
      </c>
      <c r="D12" s="9" t="inlineStr">
        <is>
          <t>Giá Trị Trọng Tâm Cho Đại Lý</t>
        </is>
      </c>
      <c r="E12" s="9" t="inlineStr">
        <is>
          <t>Hình Thức Triển Khai</t>
        </is>
      </c>
      <c r="F12" s="9" t="inlineStr">
        <is>
          <t>Mục Đích Khảo Sát</t>
        </is>
      </c>
      <c r="G12" s="9" t="inlineStr">
        <is>
          <t>Ngân Sách Ngày (VNĐ)</t>
        </is>
      </c>
      <c r="H12" s="9" t="inlineStr">
        <is>
          <t>Ngân Sách Tháng (VNĐ)</t>
        </is>
      </c>
      <c r="I12" s="9" t="inlineStr">
        <is>
          <t>Lead Ngày Dự Kiến</t>
        </is>
      </c>
      <c r="J12" s="9" t="inlineStr">
        <is>
          <t>KPI Lead Tháng</t>
        </is>
      </c>
      <c r="K12" s="9" t="inlineStr">
        <is>
          <t>CPL Kế Hoạch</t>
        </is>
      </c>
      <c r="L12" s="9" t="inlineStr">
        <is>
          <t>Tỷ Trọng (%)</t>
        </is>
      </c>
    </row>
    <row r="13" ht="26" customHeight="1">
      <c r="A13" s="11" t="n">
        <v>1</v>
      </c>
      <c r="B13" s="13" t="inlineStr">
        <is>
          <t>Angle 1: Chính Sách Chiết Khấu &amp; Biên Lợi Nhuận</t>
        </is>
      </c>
      <c r="C13" s="13" t="inlineStr">
        <is>
          <t>Đánh vào bài toán lãi gộp và nhập hàng trực tiếp từ nhà sản xuất</t>
        </is>
      </c>
      <c r="D13" s="13" t="inlineStr">
        <is>
          <t>Chiết khấu đại lý lên tới 35%, bảng giá sỉ trực tiếp không trung gian</t>
        </is>
      </c>
      <c r="E13" s="13" t="inlineStr">
        <is>
          <t>Lead Form (Nhận bảng giá sỉ)</t>
        </is>
      </c>
      <c r="F13" s="13" t="inlineStr">
        <is>
          <t>Đo lường mức độ nhạy cảm về giá &amp; chiết khấu</t>
        </is>
      </c>
      <c r="G13" s="14" t="n">
        <v>200000</v>
      </c>
      <c r="H13" s="14" t="n">
        <v>6000000</v>
      </c>
      <c r="I13" s="15" t="n">
        <v>1</v>
      </c>
      <c r="J13" s="16" t="n">
        <v>32</v>
      </c>
      <c r="K13" s="14" t="n">
        <v>187500</v>
      </c>
      <c r="L13" s="17" t="n">
        <v>0.3</v>
      </c>
    </row>
    <row r="14" ht="26" customHeight="1">
      <c r="A14" s="11" t="n">
        <v>2</v>
      </c>
      <c r="B14" s="13" t="inlineStr">
        <is>
          <t>Angle 2: Hỗ Trợ Điểm Bán &amp; Kệ Trưng Bày POSM</t>
        </is>
      </c>
      <c r="C14" s="13" t="inlineStr">
        <is>
          <t>Đánh vào mong muốn nâng tầm hình ảnh cửa hàng đẹp mắt, chuyên nghiệp</t>
        </is>
      </c>
      <c r="D14" s="13" t="inlineStr">
        <is>
          <t>Tài trợ 100% Kệ sắt trưng bày chuẩn Royal Blue King Blue &amp; Biển bảng</t>
        </is>
      </c>
      <c r="E14" s="13" t="inlineStr">
        <is>
          <t>Lead Form / Messenger</t>
        </is>
      </c>
      <c r="F14" s="13" t="inlineStr">
        <is>
          <t>Đo lường sự quan tâm về hình ảnh &amp; hỗ trợ điểm bán</t>
        </is>
      </c>
      <c r="G14" s="14" t="n">
        <v>170000</v>
      </c>
      <c r="H14" s="14" t="n">
        <v>5000000</v>
      </c>
      <c r="I14" s="15" t="n">
        <v>0.9</v>
      </c>
      <c r="J14" s="16" t="n">
        <v>27</v>
      </c>
      <c r="K14" s="14" t="n">
        <v>185185</v>
      </c>
      <c r="L14" s="17" t="n">
        <v>0.25</v>
      </c>
    </row>
    <row r="15" ht="26" customHeight="1">
      <c r="A15" s="11" t="n">
        <v>3</v>
      </c>
      <c r="B15" s="13" t="inlineStr">
        <is>
          <t>Angle 3: Toàn Bộ Hệ Sinh Thái &amp; Catalogue 2026</t>
        </is>
      </c>
      <c r="C15" s="13" t="inlineStr">
        <is>
          <t>Giới thiệu toàn diện dải hàng: Máy pin, máy điện, đá mài, đồ cầm tay</t>
        </is>
      </c>
      <c r="D15" s="13" t="inlineStr">
        <is>
          <t>Tải trọn bộ Catalogue 2026 &amp; Danh mục hơn 300 sản phẩm kim khí</t>
        </is>
      </c>
      <c r="E15" s="13" t="inlineStr">
        <is>
          <t>Lead Form (Tải Catalogue)</t>
        </is>
      </c>
      <c r="F15" s="13" t="inlineStr">
        <is>
          <t>Khảo sát xem đại lý hỏi dòng sản phẩm nào nhiều nhất</t>
        </is>
      </c>
      <c r="G15" s="14" t="n">
        <v>170000</v>
      </c>
      <c r="H15" s="14" t="n">
        <v>5000000</v>
      </c>
      <c r="I15" s="15" t="n">
        <v>0.9</v>
      </c>
      <c r="J15" s="16" t="n">
        <v>27</v>
      </c>
      <c r="K15" s="14" t="n">
        <v>185185</v>
      </c>
      <c r="L15" s="17" t="n">
        <v>0.25</v>
      </c>
    </row>
    <row r="16" ht="26" customHeight="1">
      <c r="A16" s="11" t="n">
        <v>4</v>
      </c>
      <c r="B16" s="13" t="inlineStr">
        <is>
          <t>Angle 4: Cam Kết Bảo Vệ Vùng Bán &amp; Chống Phá Giá</t>
        </is>
      </c>
      <c r="C16" s="13" t="inlineStr">
        <is>
          <t>Giải quyết nỗi lo bị cạnh tranh phá giá và đọng vốn tồn kho ban đầu</t>
        </is>
      </c>
      <c r="D16" s="13" t="inlineStr">
        <is>
          <t>Bảo vệ giá niêm yết toàn quốc, hỗ trợ đổi trả hàng chậm bán 60 ngày</t>
        </is>
      </c>
      <c r="E16" s="13" t="inlineStr">
        <is>
          <t>Messenger Ads (Tư vấn 1-1)</t>
        </is>
      </c>
      <c r="F16" s="13" t="inlineStr">
        <is>
          <t>Đo lường mức độ quan tâm về chính sách bảo hộ đại lý</t>
        </is>
      </c>
      <c r="G16" s="14" t="n">
        <v>130000</v>
      </c>
      <c r="H16" s="14" t="n">
        <v>4000000</v>
      </c>
      <c r="I16" s="15" t="n">
        <v>0.6</v>
      </c>
      <c r="J16" s="16" t="n">
        <v>19</v>
      </c>
      <c r="K16" s="14" t="n">
        <v>210526</v>
      </c>
      <c r="L16" s="17" t="n">
        <v>0.2</v>
      </c>
    </row>
    <row r="17" ht="24" customHeight="1">
      <c r="A17" s="10" t="inlineStr"/>
      <c r="B17" s="18" t="inlineStr">
        <is>
          <t>TỔNG CỘNG</t>
        </is>
      </c>
      <c r="C17" s="18" t="inlineStr">
        <is>
          <t>-</t>
        </is>
      </c>
      <c r="D17" s="18" t="inlineStr">
        <is>
          <t>-</t>
        </is>
      </c>
      <c r="E17" s="18" t="inlineStr">
        <is>
          <t>-</t>
        </is>
      </c>
      <c r="F17" s="18" t="inlineStr">
        <is>
          <t>-</t>
        </is>
      </c>
      <c r="G17" s="19">
        <f>SUM(G13:G16)</f>
        <v/>
      </c>
      <c r="H17" s="20">
        <f>SUM(H13:H16)</f>
        <v/>
      </c>
      <c r="I17" s="21">
        <f>SUM(I13:I16)</f>
        <v/>
      </c>
      <c r="J17" s="22">
        <f>SUM(J13:J16)</f>
        <v/>
      </c>
      <c r="K17" s="20">
        <f>H17/J17</f>
        <v/>
      </c>
      <c r="L17" s="23">
        <f>SUM(L13:L16)</f>
        <v/>
      </c>
    </row>
  </sheetData>
  <mergeCells count="23">
    <mergeCell ref="G2:H2"/>
    <mergeCell ref="I2:J2"/>
    <mergeCell ref="F9:L9"/>
    <mergeCell ref="C9:E9"/>
    <mergeCell ref="A5:L5"/>
    <mergeCell ref="C8:E8"/>
    <mergeCell ref="C7:E7"/>
    <mergeCell ref="A3:B3"/>
    <mergeCell ref="G3:H3"/>
    <mergeCell ref="I3:J3"/>
    <mergeCell ref="F6:L6"/>
    <mergeCell ref="A2:B2"/>
    <mergeCell ref="C2:D2"/>
    <mergeCell ref="E2:F2"/>
    <mergeCell ref="K2:L2"/>
    <mergeCell ref="F7:L7"/>
    <mergeCell ref="C6:E6"/>
    <mergeCell ref="F8:L8"/>
    <mergeCell ref="A11:L11"/>
    <mergeCell ref="A1:L1"/>
    <mergeCell ref="C3:D3"/>
    <mergeCell ref="E3:F3"/>
    <mergeCell ref="K3:L3"/>
  </mergeCells>
  <dataValidations count="3">
    <dataValidation sqref="K3" showDropDown="0" showInputMessage="0" showErrorMessage="0" allowBlank="1" error="Vui lòng chọn giá trị hợp lệ từ danh sách!" promptTitle="Nhân sự phụ trách" type="list">
      <formula1>='CAU HINH'!$H$4:$H$7</formula1>
    </dataValidation>
    <dataValidation sqref="B13:B16" showDropDown="0" showInputMessage="0" showErrorMessage="0" allowBlank="1" error="Vui lòng chọn giá trị hợp lệ từ danh sách!" promptTitle="Tên chiến dịch" type="list">
      <formula1>='CAU HINH'!$C$4:$C$7</formula1>
    </dataValidation>
    <dataValidation sqref="C13:C16" showDropDown="0" showInputMessage="0" showErrorMessage="0" allowBlank="1" error="Vui lòng chọn giá trị hợp lệ từ danh sách!" promptTitle="Góc tiếp cận" type="list">
      <formula1>='CAU HINH'!$A$4:$A$9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
  <sheetViews>
    <sheetView showGridLines="1" workbookViewId="0">
      <selection activeCell="A1" sqref="A1"/>
    </sheetView>
  </sheetViews>
  <sheetFormatPr baseColWidth="8" defaultRowHeight="15"/>
  <cols>
    <col width="6" customWidth="1" min="1" max="1"/>
    <col width="12" customWidth="1" min="2" max="2"/>
    <col width="28" customWidth="1" min="3" max="3"/>
    <col width="30" customWidth="1" min="4" max="4"/>
    <col width="46" customWidth="1" min="5" max="5"/>
    <col width="36" customWidth="1" min="6" max="6"/>
    <col width="20" customWidth="1" min="7" max="7"/>
    <col width="20" customWidth="1" min="8" max="8"/>
    <col width="16" customWidth="1" min="9" max="9"/>
    <col width="14" customWidth="1" min="10" max="10"/>
    <col width="16" customWidth="1" min="11" max="11"/>
    <col width="24" customWidth="1" min="12" max="12"/>
    <col width="26" customWidth="1" min="13" max="13"/>
  </cols>
  <sheetData>
    <row r="1" ht="36" customHeight="1">
      <c r="A1" s="1" t="inlineStr">
        <is>
          <t>📋 BẢNG PHÂN CÔNG &amp; QUẢN LÝ TIẾN ĐỘ CÔNG VIỆC DỰ ÁN ADS B2B - KING BLUE</t>
        </is>
      </c>
    </row>
    <row r="2" ht="18" customHeight="1">
      <c r="A2" s="2" t="inlineStr">
        <is>
          <t>TỔNG SỐ ĐẦU VIỆC (TASKS)</t>
        </is>
      </c>
      <c r="C2" s="4" t="inlineStr">
        <is>
          <t>ĐÃ HOÀN THÀNH</t>
        </is>
      </c>
      <c r="E2" s="3" t="inlineStr">
        <is>
          <t>ĐANG THỰC HIỆN</t>
        </is>
      </c>
      <c r="G2" s="2" t="inlineStr">
        <is>
          <t>CHỜ DUYỆT / REVIEW</t>
        </is>
      </c>
      <c r="I2" s="2" t="inlineStr">
        <is>
          <t>TIẾN ĐỘ TOÀN DỰ ÁN</t>
        </is>
      </c>
      <c r="L2" s="2" t="inlineStr">
        <is>
          <t>ĐIỀU PHỐI DỰ ÁN</t>
        </is>
      </c>
    </row>
    <row r="3" ht="26" customHeight="1">
      <c r="A3" s="24">
        <f>COUNTA(B5:B25)</f>
        <v/>
      </c>
      <c r="C3" s="25">
        <f>COUNTIF(I5:I25, "Đã hoàn thành")</f>
        <v/>
      </c>
      <c r="E3" s="26">
        <f>COUNTIF(I5:I25, "Đang làm")</f>
        <v/>
      </c>
      <c r="G3" s="24">
        <f>COUNTIF(I5:I25, "Chờ duyệt")</f>
        <v/>
      </c>
      <c r="I3" s="27">
        <f>IF(COUNTA(B5:B25)&gt;0, COUNTIF(I5:I25, "Đã hoàn thành")/COUNTA(B5:B25), 0)</f>
        <v/>
      </c>
      <c r="L3" s="28" t="inlineStr">
        <is>
          <t>Kiều Thương &amp; Manager</t>
        </is>
      </c>
    </row>
    <row r="4" ht="28" customHeight="1">
      <c r="A4" s="9" t="inlineStr">
        <is>
          <t>STT</t>
        </is>
      </c>
      <c r="B4" s="9" t="inlineStr">
        <is>
          <t>Mã Task</t>
        </is>
      </c>
      <c r="C4" s="9" t="inlineStr">
        <is>
          <t>Giai Đoạn</t>
        </is>
      </c>
      <c r="D4" s="9" t="inlineStr">
        <is>
          <t>Hạng Mục / Đầu Việc</t>
        </is>
      </c>
      <c r="E4" s="9" t="inlineStr">
        <is>
          <t>Mô Tả Chi Tiết &amp; Hướng Dẫn (Làm Như Thế Nào)</t>
        </is>
      </c>
      <c r="F4" s="9" t="inlineStr">
        <is>
          <t>Tiêu Chuẩn Đầu Ra (Definition of Done)</t>
        </is>
      </c>
      <c r="G4" s="9" t="inlineStr">
        <is>
          <t>Người Phụ Trách (Ai Làm)</t>
        </is>
      </c>
      <c r="H4" s="9" t="inlineStr">
        <is>
          <t>Người Phối Hợp</t>
        </is>
      </c>
      <c r="I4" s="9" t="inlineStr">
        <is>
          <t>Trạng Thái</t>
        </is>
      </c>
      <c r="J4" s="9" t="inlineStr">
        <is>
          <t>Mức Độ Ưu Tiên</t>
        </is>
      </c>
      <c r="K4" s="9" t="inlineStr">
        <is>
          <t>Hạn Chót (Deadline)</t>
        </is>
      </c>
      <c r="L4" s="9" t="inlineStr">
        <is>
          <t>Kết Quả / Link File</t>
        </is>
      </c>
      <c r="M4" s="9" t="inlineStr">
        <is>
          <t>Ghi Chú Đánh Giá</t>
        </is>
      </c>
    </row>
    <row r="5" ht="42" customHeight="1">
      <c r="A5" s="11" t="n">
        <v>1</v>
      </c>
      <c r="B5" s="11" t="inlineStr">
        <is>
          <t>TASK-01</t>
        </is>
      </c>
      <c r="C5" s="29" t="inlineStr">
        <is>
          <t>Giai đoạn 1: SX Nội Dung &amp; Test</t>
        </is>
      </c>
      <c r="D5" s="12" t="inlineStr">
        <is>
          <t>Xây dựng kịch bản Ad Copy cho 4 Campaign</t>
        </is>
      </c>
      <c r="E5" s="13" t="inlineStr">
        <is>
          <t>Soạn 4 bộ thông điệp theo 4 Angle: (1) Chiết khấu đại lý 35%, (2) Kệ POSM điểm bán, (3) Toàn bộ Catalogue 2026, (4) Cam kết bảo vệ giá &amp; chống bán phá giá. Viết headline ngắn gọn, đánh trúng bài toán lợi nhuận của chủ tiệm.</t>
        </is>
      </c>
      <c r="F5" s="13" t="inlineStr">
        <is>
          <t>4 file kịch bản Ad Copy hoàn chỉnh (gồm Headline, Body copy, CTA) được Manager duyệt.</t>
        </is>
      </c>
      <c r="G5" s="29" t="inlineStr">
        <is>
          <t>Kiều Thương (Chạy ads chính)</t>
        </is>
      </c>
      <c r="H5" s="29" t="inlineStr">
        <is>
          <t>Marketing Manager (Hỗ trợ &amp; Duyệt)</t>
        </is>
      </c>
      <c r="I5" s="11" t="inlineStr">
        <is>
          <t>Đã hoàn thành</t>
        </is>
      </c>
      <c r="J5" s="11" t="inlineStr">
        <is>
          <t>Khẩn cấp</t>
        </is>
      </c>
      <c r="K5" s="11" t="inlineStr">
        <is>
          <t>Tuần 1 - Ngày 1</t>
        </is>
      </c>
      <c r="L5" s="13" t="inlineStr">
        <is>
          <t>Tab CONTENT &amp; CREATIVE FB</t>
        </is>
      </c>
      <c r="M5" s="13" t="inlineStr">
        <is>
          <t>Đã duyệt 4 bộ kịch bản</t>
        </is>
      </c>
    </row>
    <row r="6" ht="42" customHeight="1">
      <c r="A6" s="11" t="n">
        <v>2</v>
      </c>
      <c r="B6" s="11" t="inlineStr">
        <is>
          <t>TASK-02</t>
        </is>
      </c>
      <c r="C6" s="29" t="inlineStr">
        <is>
          <t>Giai đoạn 1: SX Nội Dung &amp; Test</t>
        </is>
      </c>
      <c r="D6" s="12" t="inlineStr">
        <is>
          <t>Thiết kế bộ Visual (Carousel 5 ảnh &amp; Banner chính sách)</t>
        </is>
      </c>
      <c r="E6" s="13" t="inlineStr">
        <is>
          <t>Thiết kế bộ Carousel 5 ảnh tỷ lệ 1:1 chuẩn màu Royal Blue King Blue (ảnh dải máy pin, đá cắt, dụng cụ cầm tay); 2 banner tĩnh kèm dấu mộc cam kết chiết khấu 35% từ nhà sản xuất.</t>
        </is>
      </c>
      <c r="F6" s="13" t="inlineStr">
        <is>
          <t>Bộ 5 ảnh Carousel 1080x1080px + 2 banner Feed/Story sắc nét, đúng quy chuẩn nhận diện thương hiệu.</t>
        </is>
      </c>
      <c r="G6" s="29" t="inlineStr">
        <is>
          <t>Thiện (Thiết kế Visual)</t>
        </is>
      </c>
      <c r="H6" s="29" t="inlineStr">
        <is>
          <t>Kiều Thương (Chạy ads chính)</t>
        </is>
      </c>
      <c r="I6" s="11" t="inlineStr">
        <is>
          <t>Đã hoàn thành</t>
        </is>
      </c>
      <c r="J6" s="11" t="inlineStr">
        <is>
          <t>Khẩn cấp</t>
        </is>
      </c>
      <c r="K6" s="11" t="inlineStr">
        <is>
          <t>Tuần 1 - Ngày 2</t>
        </is>
      </c>
      <c r="L6" s="13" t="inlineStr">
        <is>
          <t>Drive / Creative Folder</t>
        </is>
      </c>
      <c r="M6" s="13" t="inlineStr">
        <is>
          <t>Đã bàn giao đầy đủ file ảnh</t>
        </is>
      </c>
    </row>
    <row r="7" ht="42" customHeight="1">
      <c r="A7" s="11" t="n">
        <v>3</v>
      </c>
      <c r="B7" s="11" t="inlineStr">
        <is>
          <t>TASK-03</t>
        </is>
      </c>
      <c r="C7" s="29" t="inlineStr">
        <is>
          <t>Giai đoạn 1: SX Nội Dung &amp; Test</t>
        </is>
      </c>
      <c r="D7" s="12" t="inlineStr">
        <is>
          <t>Quay &amp; dựng video ngắn 30s thực tế quầy kệ POSM</t>
        </is>
      </c>
      <c r="E7" s="13" t="inlineStr">
        <is>
          <t>Đi thực tế tại điểm bán đối tác, quay cận cảnh độ chắc chắn của kệ sắt King Blue và dải hàng trưng bày; quay bàn giao biển hiệu hoặc clip giới thiệu 'Tài trợ 100% kệ sắt trưng bày'.</t>
        </is>
      </c>
      <c r="F7" s="13" t="inlineStr">
        <is>
          <t>1 video ngắn 30s tỷ lệ 9:16 (Reels/Stories) &amp; 1:1 (Feed), âm thanh rõ, có text hook 3s đầu thu hút.</t>
        </is>
      </c>
      <c r="G7" s="29" t="inlineStr">
        <is>
          <t>Tứ (Quay dựng video)</t>
        </is>
      </c>
      <c r="H7" s="29" t="inlineStr">
        <is>
          <t>Thiện (Thiết kế Visual)</t>
        </is>
      </c>
      <c r="I7" s="11" t="inlineStr">
        <is>
          <t>Đã hoàn thành</t>
        </is>
      </c>
      <c r="J7" s="11" t="inlineStr">
        <is>
          <t>Cao</t>
        </is>
      </c>
      <c r="K7" s="11" t="inlineStr">
        <is>
          <t>Tuần 1 - Ngày 3</t>
        </is>
      </c>
      <c r="L7" s="13" t="inlineStr">
        <is>
          <t>Drive / Video POSM</t>
        </is>
      </c>
      <c r="M7" s="13" t="inlineStr">
        <is>
          <t>Video đạt chất lượng sắc nét</t>
        </is>
      </c>
    </row>
    <row r="8" ht="42" customHeight="1">
      <c r="A8" s="11" t="n">
        <v>4</v>
      </c>
      <c r="B8" s="11" t="inlineStr">
        <is>
          <t>TASK-04</t>
        </is>
      </c>
      <c r="C8" s="29" t="inlineStr">
        <is>
          <t>Giai đoạn 1: SX Nội Dung &amp; Test</t>
        </is>
      </c>
      <c r="D8" s="12" t="inlineStr">
        <is>
          <t>Thiết lập Instant Lead Form &amp; Tích hợp nhận thông báo Lead</t>
        </is>
      </c>
      <c r="E8" s="13" t="inlineStr">
        <is>
          <t>Tạo Form đăng ký nhận báo giá/catalogue trên Meta: Thu thập Tên, SĐT, Tỉnh thành, Loại hình kinh doanh (Kim khí/Điện cơ/VLXD). Cài đặt thông báo chuông về Gmail/Zalo để phản hồi tức thì.</t>
        </is>
      </c>
      <c r="F8" s="13" t="inlineStr">
        <is>
          <t>Lead Form kích hoạt thành công, test điền form mẫu đổ về đầy đủ thông tin chuẩn xác.</t>
        </is>
      </c>
      <c r="G8" s="29" t="inlineStr">
        <is>
          <t>Kiều Thương (Chạy ads chính)</t>
        </is>
      </c>
      <c r="H8" s="29" t="inlineStr">
        <is>
          <t>Marketing Manager (Hỗ trợ &amp; Duyệt)</t>
        </is>
      </c>
      <c r="I8" s="11" t="inlineStr">
        <is>
          <t>Đã hoàn thành</t>
        </is>
      </c>
      <c r="J8" s="11" t="inlineStr">
        <is>
          <t>Khẩn cấp</t>
        </is>
      </c>
      <c r="K8" s="11" t="inlineStr">
        <is>
          <t>Tuần 1 - Ngày 3</t>
        </is>
      </c>
      <c r="L8" s="13" t="inlineStr">
        <is>
          <t>Trình quản lý Meta Ads</t>
        </is>
      </c>
      <c r="M8" s="13" t="inlineStr">
        <is>
          <t>Form kết nối chuẩn xác</t>
        </is>
      </c>
    </row>
    <row r="9" ht="42" customHeight="1">
      <c r="A9" s="11" t="n">
        <v>5</v>
      </c>
      <c r="B9" s="11" t="inlineStr">
        <is>
          <t>TASK-05</t>
        </is>
      </c>
      <c r="C9" s="29" t="inlineStr">
        <is>
          <t>Giai đoạn 1: SX Nội Dung &amp; Test</t>
        </is>
      </c>
      <c r="D9" s="12" t="inlineStr">
        <is>
          <t>Khởi chạy 4 Campaign thăm dò với ngân sách ~600k-670k/ngày</t>
        </is>
      </c>
      <c r="E9" s="13" t="inlineStr">
        <is>
          <t>Setup 4 Campaign trên Trình quản lý quảng cáo theo đúng phân bổ: Camp 1 (200k/ngày), Camp 2 (170k/ngày), Camp 3 (170k/ngày), Camp 4 (130k/ngày). Target tệp chủ cửa hàng tỉnh, loại trừ thợ nhỏ.</t>
        </is>
      </c>
      <c r="F9" s="13" t="inlineStr">
        <is>
          <t>4 Campaign được Meta duyệt và cắn tiền đều đặn, không vi phạm chính sách quảng cáo.</t>
        </is>
      </c>
      <c r="G9" s="29" t="inlineStr">
        <is>
          <t>Kiều Thương (Chạy ads chính)</t>
        </is>
      </c>
      <c r="H9" s="29" t="inlineStr">
        <is>
          <t>Marketing Manager (Hỗ trợ &amp; Duyệt)</t>
        </is>
      </c>
      <c r="I9" s="11" t="inlineStr">
        <is>
          <t>Đang làm</t>
        </is>
      </c>
      <c r="J9" s="11" t="inlineStr">
        <is>
          <t>Khẩn cấp</t>
        </is>
      </c>
      <c r="K9" s="11" t="inlineStr">
        <is>
          <t>Tuần 1 - Ngày 4</t>
        </is>
      </c>
      <c r="L9" s="13" t="inlineStr">
        <is>
          <t>Meta Ads Manager</t>
        </is>
      </c>
      <c r="M9" s="13" t="inlineStr">
        <is>
          <t>4 Camp đang phân phối ổn định</t>
        </is>
      </c>
    </row>
    <row r="10" ht="42" customHeight="1">
      <c r="A10" s="11" t="n">
        <v>6</v>
      </c>
      <c r="B10" s="11" t="inlineStr">
        <is>
          <t>TASK-06</t>
        </is>
      </c>
      <c r="C10" s="29" t="inlineStr">
        <is>
          <t>Giai đoạn 1: SX Nội Dung &amp; Test</t>
        </is>
      </c>
      <c r="D10" s="12" t="inlineStr">
        <is>
          <t>Tiếp nhận, gọi điện tư vấn 20-25 leads đầu tiên &amp; Cập nhật Tab 5</t>
        </is>
      </c>
      <c r="E10" s="13" t="inlineStr">
        <is>
          <t>Gọi điện tư vấn trong vòng 15-30 phút sau khi có lead. Chào đại lý, kết bạn Zalo gửi Catalogue 2026 + Bảng giá sỉ. Hỏi dòng hàng khách quan tâm nhất và ghi nhận vào Tab 5 (THEO DOI LEAD).</t>
        </is>
      </c>
      <c r="F10" s="13" t="inlineStr">
        <is>
          <t>100% lead được gọi và phân loại trạng thái (Nóng/Ấm/Lạnh/Dòng hàng hỏi nhiều nhất) trong Tab 5.</t>
        </is>
      </c>
      <c r="G10" s="29" t="inlineStr">
        <is>
          <t>Kiều Thương (Chạy ads chính)</t>
        </is>
      </c>
      <c r="H10" s="29" t="inlineStr">
        <is>
          <t>Marketing Manager (Hỗ trợ &amp; Duyệt)</t>
        </is>
      </c>
      <c r="I10" s="11" t="inlineStr">
        <is>
          <t>Đang làm</t>
        </is>
      </c>
      <c r="J10" s="11" t="inlineStr">
        <is>
          <t>Cao</t>
        </is>
      </c>
      <c r="K10" s="11" t="inlineStr">
        <is>
          <t>Tuần 1 - Ngày 7</t>
        </is>
      </c>
      <c r="L10" s="13" t="inlineStr">
        <is>
          <t>Tab THEO DOI LEAD</t>
        </is>
      </c>
      <c r="M10" s="13" t="inlineStr">
        <is>
          <t>Đã tiếp nhận 6 leads đầu tiên</t>
        </is>
      </c>
    </row>
    <row r="11" ht="42" customHeight="1">
      <c r="A11" s="11" t="n">
        <v>7</v>
      </c>
      <c r="B11" s="11" t="inlineStr">
        <is>
          <t>TASK-07</t>
        </is>
      </c>
      <c r="C11" s="29" t="inlineStr">
        <is>
          <t>Giai đoạn 2: Tối Ưu &amp; Chỉnh Sửa</t>
        </is>
      </c>
      <c r="D11" s="12" t="inlineStr">
        <is>
          <t>Rà soát chỉ số 4 Campaign &amp; Tắt góc tiếp cận CPL cao (&gt;220k)</t>
        </is>
      </c>
      <c r="E11" s="13" t="inlineStr">
        <is>
          <t>Sau 3 - 5 ngày chạy, họp nhanh 15 phút đánh giá CTR, CPC, CPL và chất lượng phản hồi từ cuộc gọi. Tắt các angle đắt hoặc ra lead không nghe máy/sai số.</t>
        </is>
      </c>
      <c r="F11" s="13" t="inlineStr">
        <is>
          <t>Biên bản quyết định tắt 1-2 camp kém hiệu quả, giữ lại 1-2 camp win có CPL tốt nhất.</t>
        </is>
      </c>
      <c r="G11" s="29" t="inlineStr">
        <is>
          <t>Kiều Thương (Chạy ads chính)</t>
        </is>
      </c>
      <c r="H11" s="29" t="inlineStr">
        <is>
          <t>Marketing Manager (Hỗ trợ &amp; Duyệt)</t>
        </is>
      </c>
      <c r="I11" s="11" t="inlineStr">
        <is>
          <t>Đang làm</t>
        </is>
      </c>
      <c r="J11" s="11" t="inlineStr">
        <is>
          <t>Cao</t>
        </is>
      </c>
      <c r="K11" s="11" t="inlineStr">
        <is>
          <t>Tuần 2 - Ngày 2</t>
        </is>
      </c>
      <c r="L11" s="13" t="inlineStr">
        <is>
          <t>Tab CHI TIET CHIEN DICH</t>
        </is>
      </c>
      <c r="M11" s="13" t="inlineStr">
        <is>
          <t>Đang theo dõi số liệu 3 ngày đầu</t>
        </is>
      </c>
    </row>
    <row r="12" ht="42" customHeight="1">
      <c r="A12" s="11" t="n">
        <v>8</v>
      </c>
      <c r="B12" s="11" t="inlineStr">
        <is>
          <t>TASK-08</t>
        </is>
      </c>
      <c r="C12" s="29" t="inlineStr">
        <is>
          <t>Giai đoạn 2: Tối Ưu &amp; Chỉnh Sửa</t>
        </is>
      </c>
      <c r="D12" s="12" t="inlineStr">
        <is>
          <t>Chỉnh sửa Creative Win &amp; Thêm câu hỏi lọc tệp trong Lead Form</t>
        </is>
      </c>
      <c r="E12" s="13" t="inlineStr">
        <is>
          <t>Tối ưu lại mẫu quảng cáo win: Thay tiêu đề headline mạnh hơn, đổi ảnh bìa thumbnail, thêm câu hỏi bắt buộc: 'Anh/chị đang có mặt bằng cửa hàng kinh doanh không?' để chặn lead rác.</t>
        </is>
      </c>
      <c r="F12" s="13" t="inlineStr">
        <is>
          <t>Bộ 2-3 biến thể quảng cáo tối ưu được kích hoạt thay thế cho các mẫu cũ bị tắt.</t>
        </is>
      </c>
      <c r="G12" s="29" t="inlineStr">
        <is>
          <t>Thiện (Thiết kế Visual)</t>
        </is>
      </c>
      <c r="H12" s="29" t="inlineStr">
        <is>
          <t>Kiều Thương (Chạy ads chính)</t>
        </is>
      </c>
      <c r="I12" s="11" t="inlineStr">
        <is>
          <t>Chưa bắt đầu</t>
        </is>
      </c>
      <c r="J12" s="11" t="inlineStr">
        <is>
          <t>Trung bình</t>
        </is>
      </c>
      <c r="K12" s="11" t="inlineStr">
        <is>
          <t>Tuần 2 - Ngày 4</t>
        </is>
      </c>
      <c r="L12" s="13" t="inlineStr">
        <is>
          <t>Drive / Creative Win</t>
        </is>
      </c>
      <c r="M12" s="13" t="inlineStr">
        <is>
          <t>Chờ dữ liệu đo lường tuần 1</t>
        </is>
      </c>
    </row>
    <row r="13" ht="42" customHeight="1">
      <c r="A13" s="11" t="n">
        <v>9</v>
      </c>
      <c r="B13" s="11" t="inlineStr">
        <is>
          <t>TASK-09</t>
        </is>
      </c>
      <c r="C13" s="29" t="inlineStr">
        <is>
          <t>Giai đoạn 2: Tối Ưu &amp; Chỉnh Sửa</t>
        </is>
      </c>
      <c r="D13" s="12" t="inlineStr">
        <is>
          <t>Tăng ngân sách cho Campaign Win lên 400k-450k/ngày</t>
        </is>
      </c>
      <c r="E13" s="13" t="inlineStr">
        <is>
          <t>Dồn ngân sách cho Camp Win lên 400k - 450k/ngày, duy trì camp catalogue 150k - 200k/ngày. Tuyệt đối giữ tổng ngân sách ngày không vượt quá trần 700.000 ₫/ngày.</t>
        </is>
      </c>
      <c r="F13" s="13" t="inlineStr">
        <is>
          <t>Ngân sách tài khoản duy trì mức 650k - 700k/ngày, CPL bình quân toàn tài khoản giảm dưới 190.000 ₫.</t>
        </is>
      </c>
      <c r="G13" s="29" t="inlineStr">
        <is>
          <t>Kiều Thương (Chạy ads chính)</t>
        </is>
      </c>
      <c r="H13" s="29" t="inlineStr">
        <is>
          <t>Marketing Manager (Hỗ trợ &amp; Duyệt)</t>
        </is>
      </c>
      <c r="I13" s="11" t="inlineStr">
        <is>
          <t>Chưa bắt đầu</t>
        </is>
      </c>
      <c r="J13" s="11" t="inlineStr">
        <is>
          <t>Cao</t>
        </is>
      </c>
      <c r="K13" s="11" t="inlineStr">
        <is>
          <t>Tuần 2 - Ngày 5</t>
        </is>
      </c>
      <c r="L13" s="13" t="inlineStr">
        <is>
          <t>Meta Ads Manager</t>
        </is>
      </c>
      <c r="M13" s="13" t="inlineStr">
        <is>
          <t>Sẽ nâng sau khi xác định camp win</t>
        </is>
      </c>
    </row>
    <row r="14" ht="42" customHeight="1">
      <c r="A14" s="11" t="n">
        <v>10</v>
      </c>
      <c r="B14" s="11" t="inlineStr">
        <is>
          <t>TASK-10</t>
        </is>
      </c>
      <c r="C14" s="29" t="inlineStr">
        <is>
          <t>Giai đoạn 2: Tối Ưu &amp; Chỉnh Sửa</t>
        </is>
      </c>
      <c r="D14" s="12" t="inlineStr">
        <is>
          <t>Chăm sóc chuyên sâu tệp lead 'Ấm' &amp; 'Nóng' - Gửi mẫu dùng thử</t>
        </is>
      </c>
      <c r="E14" s="13" t="inlineStr">
        <is>
          <t>Lọc ra danh sách chủ tiệm có mặt bằng lớn, gọi điện tư vấn chính sách hỗ trợ mở điểm bán, gửi catalogue bản in + tặng mẫu đá cắt dùng thử hoặc mời ghé showroom.</t>
        </is>
      </c>
      <c r="F14" s="13" t="inlineStr">
        <is>
          <t>Tối thiểu 5 - 8 đại lý xác nhận quan tâm sâu hoặc hẹn lịch bàn giao quầy kệ điểm bán.</t>
        </is>
      </c>
      <c r="G14" s="29" t="inlineStr">
        <is>
          <t>Kiều Thương (Chạy ads chính)</t>
        </is>
      </c>
      <c r="H14" s="29" t="inlineStr">
        <is>
          <t>Marketing Manager (Hỗ trợ &amp; Duyệt)</t>
        </is>
      </c>
      <c r="I14" s="11" t="inlineStr">
        <is>
          <t>Chưa bắt đầu</t>
        </is>
      </c>
      <c r="J14" s="11" t="inlineStr">
        <is>
          <t>Trung bình</t>
        </is>
      </c>
      <c r="K14" s="11" t="inlineStr">
        <is>
          <t>Tuần 2 - Ngày 7</t>
        </is>
      </c>
      <c r="L14" s="13" t="inlineStr">
        <is>
          <t>Zalo OA / Sổ tay CRM</t>
        </is>
      </c>
      <c r="M14" s="13" t="inlineStr">
        <is>
          <t>Thực hiện liên tục khi có lead tốt</t>
        </is>
      </c>
    </row>
    <row r="15" ht="42" customHeight="1">
      <c r="A15" s="11" t="n">
        <v>11</v>
      </c>
      <c r="B15" s="11" t="inlineStr">
        <is>
          <t>TASK-11</t>
        </is>
      </c>
      <c r="C15" s="29" t="inlineStr">
        <is>
          <t>Giai đoạn 3: Ổn Định Ngân Sách</t>
        </is>
      </c>
      <c r="D15" s="12" t="inlineStr">
        <is>
          <t>Khóa trần ngân sách 650k-700k/ngày &amp; Thu đều 3-4 leads/ngày</t>
        </is>
      </c>
      <c r="E15" s="13" t="inlineStr">
        <is>
          <t>Kiểm tra nhịp tiêu tiền của tài khoản Meta 2 lần/ngày (11h &amp; 17h). Đảm bảo cắn tiền đều, duy trì dòng lead 3 - 4 số/ngày đổ về ổn định, tích lũy tiệm cận 20 triệu.</t>
        </is>
      </c>
      <c r="F15" s="13" t="inlineStr">
        <is>
          <t>Dòng lead đổ về đều đặn mỗi ngày, bảng Tab 2 và Tab 5 nhảy số tự động, không bị hụt ngân sách.</t>
        </is>
      </c>
      <c r="G15" s="29" t="inlineStr">
        <is>
          <t>Kiều Thương (Chạy ads chính)</t>
        </is>
      </c>
      <c r="H15" s="29" t="inlineStr">
        <is>
          <t>Marketing Manager (Hỗ trợ &amp; Duyệt)</t>
        </is>
      </c>
      <c r="I15" s="11" t="inlineStr">
        <is>
          <t>Chưa bắt đầu</t>
        </is>
      </c>
      <c r="J15" s="11" t="inlineStr">
        <is>
          <t>Cao</t>
        </is>
      </c>
      <c r="K15" s="11" t="inlineStr">
        <is>
          <t>Tuần 3 - Tuần 4</t>
        </is>
      </c>
      <c r="L15" s="13" t="inlineStr">
        <is>
          <t>Meta Ads Manager</t>
        </is>
      </c>
      <c r="M15" s="13" t="inlineStr">
        <is>
          <t>Duy trì ổn định cả tuần</t>
        </is>
      </c>
    </row>
    <row r="16" ht="42" customHeight="1">
      <c r="A16" s="11" t="n">
        <v>12</v>
      </c>
      <c r="B16" s="11" t="inlineStr">
        <is>
          <t>TASK-12</t>
        </is>
      </c>
      <c r="C16" s="29" t="inlineStr">
        <is>
          <t>Giai đoạn 3: Ổn Định Ngân Sách</t>
        </is>
      </c>
      <c r="D16" s="12" t="inlineStr">
        <is>
          <t>Thống kê dữ liệu Tab 5 &amp; Phân tích tỷ lệ dòng hàng đại lý hỏi</t>
        </is>
      </c>
      <c r="E16" s="13" t="inlineStr">
        <is>
          <t>Trích xuất dữ liệu cột 'Dòng hàng khách hỏi nhiều nhất' tại Tab 5. Lập bảng thống kê tỷ lệ % đại lý quan tâm Máy pin 21V, Đá cắt/đá mài, Dụng cụ cầm tay, hay Catalogue mở tiệm mới.</t>
        </is>
      </c>
      <c r="F16" s="13" t="inlineStr">
        <is>
          <t>Biểu đồ phân tích thị hiếu thực tế của tệp 100+ đại lý kim khí toàn quốc đối với sản phẩm King Blue.</t>
        </is>
      </c>
      <c r="G16" s="29" t="inlineStr">
        <is>
          <t>Kiều Thương (Chạy ads chính)</t>
        </is>
      </c>
      <c r="H16" s="29" t="inlineStr">
        <is>
          <t>Marketing Manager (Hỗ trợ &amp; Duyệt)</t>
        </is>
      </c>
      <c r="I16" s="11" t="inlineStr">
        <is>
          <t>Chưa bắt đầu</t>
        </is>
      </c>
      <c r="J16" s="11" t="inlineStr">
        <is>
          <t>Cao</t>
        </is>
      </c>
      <c r="K16" s="11" t="inlineStr">
        <is>
          <t>Tuần 4 - Ngày 5</t>
        </is>
      </c>
      <c r="L16" s="13" t="inlineStr">
        <is>
          <t>Tab THEO DOI LEAD</t>
        </is>
      </c>
      <c r="M16" s="13" t="inlineStr">
        <is>
          <t>Dữ liệu phục vụ chốt sản phẩm win</t>
        </is>
      </c>
    </row>
    <row r="17" ht="42" customHeight="1">
      <c r="A17" s="11" t="n">
        <v>13</v>
      </c>
      <c r="B17" s="11" t="inlineStr">
        <is>
          <t>TASK-13</t>
        </is>
      </c>
      <c r="C17" s="29" t="inlineStr">
        <is>
          <t>Giai đoạn 3: Ổn Định Ngân Sách</t>
        </is>
      </c>
      <c r="D17" s="12" t="inlineStr">
        <is>
          <t>Họp nghiệm thu dự án Test Ads &amp; Chốt danh mục 'Sản Phẩm Win'</t>
        </is>
      </c>
      <c r="E17" s="13" t="inlineStr">
        <is>
          <t>Họp tổng kết giữa Marketing Manager và Kiều Thương: Đánh giá tổng số lead thu về (100 - 105 lead), CPL thực tế (180k - 200k), chi đúng 20 triệu. Chốt danh mục dòng sản phẩm win để lập kế hoạch mở rộng.</t>
        </is>
      </c>
      <c r="F17" s="13" t="inlineStr">
        <is>
          <t>Báo cáo tổng kết dự án Test B2B hoàn chỉnh + Đề xuất ngân sách và chiến lược scale cho giai đoạn tiếp theo.</t>
        </is>
      </c>
      <c r="G17" s="29" t="inlineStr">
        <is>
          <t>Marketing Manager (Hỗ trợ &amp; Duyệt)</t>
        </is>
      </c>
      <c r="H17" s="29" t="inlineStr">
        <is>
          <t>Kiều Thương (Chạy ads chính)</t>
        </is>
      </c>
      <c r="I17" s="11" t="inlineStr">
        <is>
          <t>Chưa bắt đầu</t>
        </is>
      </c>
      <c r="J17" s="11" t="inlineStr">
        <is>
          <t>Cao</t>
        </is>
      </c>
      <c r="K17" s="11" t="inlineStr">
        <is>
          <t>Tuần 4 - Ngày 7</t>
        </is>
      </c>
      <c r="L17" s="13" t="inlineStr">
        <is>
          <t>Báo cáo nghiệm thu dự án</t>
        </is>
      </c>
      <c r="M17" s="13" t="inlineStr">
        <is>
          <t>Chốt sản phẩm win làm trọng tâm</t>
        </is>
      </c>
    </row>
    <row r="18" ht="24" customHeight="1">
      <c r="A18" s="30" t="n">
        <v>14</v>
      </c>
      <c r="B18" s="10" t="inlineStr"/>
      <c r="C18" s="10" t="inlineStr"/>
      <c r="D18" s="10" t="inlineStr"/>
      <c r="E18" s="10" t="inlineStr"/>
      <c r="F18" s="10" t="inlineStr"/>
      <c r="G18" s="10" t="inlineStr"/>
      <c r="H18" s="10" t="inlineStr"/>
      <c r="I18" s="10" t="inlineStr"/>
      <c r="J18" s="10" t="inlineStr"/>
      <c r="K18" s="10" t="inlineStr"/>
      <c r="L18" s="10" t="inlineStr"/>
      <c r="M18" s="10" t="inlineStr"/>
    </row>
    <row r="19" ht="24" customHeight="1">
      <c r="A19" s="30" t="n">
        <v>15</v>
      </c>
      <c r="B19" s="10" t="inlineStr"/>
      <c r="C19" s="10" t="inlineStr"/>
      <c r="D19" s="10" t="inlineStr"/>
      <c r="E19" s="10" t="inlineStr"/>
      <c r="F19" s="10" t="inlineStr"/>
      <c r="G19" s="10" t="inlineStr"/>
      <c r="H19" s="10" t="inlineStr"/>
      <c r="I19" s="10" t="inlineStr"/>
      <c r="J19" s="10" t="inlineStr"/>
      <c r="K19" s="10" t="inlineStr"/>
      <c r="L19" s="10" t="inlineStr"/>
      <c r="M19" s="10" t="inlineStr"/>
    </row>
    <row r="20" ht="24" customHeight="1">
      <c r="A20" s="30" t="n">
        <v>16</v>
      </c>
      <c r="B20" s="10" t="inlineStr"/>
      <c r="C20" s="10" t="inlineStr"/>
      <c r="D20" s="10" t="inlineStr"/>
      <c r="E20" s="10" t="inlineStr"/>
      <c r="F20" s="10" t="inlineStr"/>
      <c r="G20" s="10" t="inlineStr"/>
      <c r="H20" s="10" t="inlineStr"/>
      <c r="I20" s="10" t="inlineStr"/>
      <c r="J20" s="10" t="inlineStr"/>
      <c r="K20" s="10" t="inlineStr"/>
      <c r="L20" s="10" t="inlineStr"/>
      <c r="M20" s="10" t="inlineStr"/>
    </row>
    <row r="21" ht="24" customHeight="1">
      <c r="A21" s="30" t="n">
        <v>17</v>
      </c>
      <c r="B21" s="10" t="inlineStr"/>
      <c r="C21" s="10" t="inlineStr"/>
      <c r="D21" s="10" t="inlineStr"/>
      <c r="E21" s="10" t="inlineStr"/>
      <c r="F21" s="10" t="inlineStr"/>
      <c r="G21" s="10" t="inlineStr"/>
      <c r="H21" s="10" t="inlineStr"/>
      <c r="I21" s="10" t="inlineStr"/>
      <c r="J21" s="10" t="inlineStr"/>
      <c r="K21" s="10" t="inlineStr"/>
      <c r="L21" s="10" t="inlineStr"/>
      <c r="M21" s="10" t="inlineStr"/>
    </row>
    <row r="22" ht="24" customHeight="1">
      <c r="A22" s="30" t="n">
        <v>18</v>
      </c>
      <c r="B22" s="10" t="inlineStr"/>
      <c r="C22" s="10" t="inlineStr"/>
      <c r="D22" s="10" t="inlineStr"/>
      <c r="E22" s="10" t="inlineStr"/>
      <c r="F22" s="10" t="inlineStr"/>
      <c r="G22" s="10" t="inlineStr"/>
      <c r="H22" s="10" t="inlineStr"/>
      <c r="I22" s="10" t="inlineStr"/>
      <c r="J22" s="10" t="inlineStr"/>
      <c r="K22" s="10" t="inlineStr"/>
      <c r="L22" s="10" t="inlineStr"/>
      <c r="M22" s="10" t="inlineStr"/>
    </row>
    <row r="23" ht="24" customHeight="1">
      <c r="A23" s="30" t="n">
        <v>19</v>
      </c>
      <c r="B23" s="10" t="inlineStr"/>
      <c r="C23" s="10" t="inlineStr"/>
      <c r="D23" s="10" t="inlineStr"/>
      <c r="E23" s="10" t="inlineStr"/>
      <c r="F23" s="10" t="inlineStr"/>
      <c r="G23" s="10" t="inlineStr"/>
      <c r="H23" s="10" t="inlineStr"/>
      <c r="I23" s="10" t="inlineStr"/>
      <c r="J23" s="10" t="inlineStr"/>
      <c r="K23" s="10" t="inlineStr"/>
      <c r="L23" s="10" t="inlineStr"/>
      <c r="M23" s="10" t="inlineStr"/>
    </row>
    <row r="24" ht="24" customHeight="1">
      <c r="A24" s="30" t="n">
        <v>20</v>
      </c>
      <c r="B24" s="10" t="inlineStr"/>
      <c r="C24" s="10" t="inlineStr"/>
      <c r="D24" s="10" t="inlineStr"/>
      <c r="E24" s="10" t="inlineStr"/>
      <c r="F24" s="10" t="inlineStr"/>
      <c r="G24" s="10" t="inlineStr"/>
      <c r="H24" s="10" t="inlineStr"/>
      <c r="I24" s="10" t="inlineStr"/>
      <c r="J24" s="10" t="inlineStr"/>
      <c r="K24" s="10" t="inlineStr"/>
      <c r="L24" s="10" t="inlineStr"/>
      <c r="M24" s="10" t="inlineStr"/>
    </row>
    <row r="25" ht="24" customHeight="1">
      <c r="A25" s="30" t="n">
        <v>21</v>
      </c>
      <c r="B25" s="10" t="inlineStr"/>
      <c r="C25" s="10" t="inlineStr"/>
      <c r="D25" s="10" t="inlineStr"/>
      <c r="E25" s="10" t="inlineStr"/>
      <c r="F25" s="10" t="inlineStr"/>
      <c r="G25" s="10" t="inlineStr"/>
      <c r="H25" s="10" t="inlineStr"/>
      <c r="I25" s="10" t="inlineStr"/>
      <c r="J25" s="10" t="inlineStr"/>
      <c r="K25" s="10" t="inlineStr"/>
      <c r="L25" s="10" t="inlineStr"/>
      <c r="M25" s="10" t="inlineStr"/>
    </row>
  </sheetData>
  <mergeCells count="13">
    <mergeCell ref="L2:M2"/>
    <mergeCell ref="L3:M3"/>
    <mergeCell ref="A2:B2"/>
    <mergeCell ref="I2:K2"/>
    <mergeCell ref="A1:M1"/>
    <mergeCell ref="C2:D2"/>
    <mergeCell ref="G2:H2"/>
    <mergeCell ref="E2:F2"/>
    <mergeCell ref="I3:K3"/>
    <mergeCell ref="C3:D3"/>
    <mergeCell ref="A3:B3"/>
    <mergeCell ref="G3:H3"/>
    <mergeCell ref="E3:F3"/>
  </mergeCells>
  <dataValidations count="7">
    <dataValidation sqref="C5:C25" showDropDown="0" showInputMessage="0" showErrorMessage="0" allowBlank="1" error="Vui lòng chọn giá trị hợp lệ từ danh sách!" promptTitle="Giai đoạn dự án" type="list">
      <formula1>='CAU HINH'!$I$4:$I$6</formula1>
    </dataValidation>
    <dataValidation sqref="G5:G25" showDropDown="0" showInputMessage="0" showErrorMessage="0" allowBlank="1" error="Vui lòng chọn giá trị hợp lệ từ danh sách!" promptTitle="Người phụ trách" type="list">
      <formula1>='CAU HINH'!$H$4:$H$7</formula1>
    </dataValidation>
    <dataValidation sqref="H5:H25" showDropDown="0" showInputMessage="0" showErrorMessage="0" allowBlank="1" error="Vui lòng chọn giá trị hợp lệ từ danh sách!" promptTitle="Người phối hợp" type="list">
      <formula1>='CAU HINH'!$H$4:$H$7</formula1>
    </dataValidation>
    <dataValidation sqref="I5:I25" showDropDown="0" showInputMessage="0" showErrorMessage="0" allowBlank="1" error="Vui lòng chọn giá trị hợp lệ từ danh sách!" promptTitle="Trạng thái task" type="list">
      <formula1>='CAU HINH'!$J$4:$J$8</formula1>
    </dataValidation>
    <dataValidation sqref="J5:J25" showDropDown="0" showInputMessage="0" showErrorMessage="0" allowBlank="1" error="Vui lòng chọn giá trị hợp lệ từ danh sách!" promptTitle="Mức độ ưu tiên" type="list">
      <formula1>='CAU HINH'!$K$4:$K$7</formula1>
    </dataValidation>
    <dataValidation sqref="K5:K25" showDropDown="0" showInputMessage="0" showErrorMessage="0" allowBlank="1" error="Vui lòng chọn giá trị hợp lệ từ danh sách!" promptTitle="Hạn chót / Mốc thời gian" type="list">
      <formula1>='CAU HINH'!$R$4:$R$17</formula1>
    </dataValidation>
    <dataValidation sqref="L5:L25" showDropDown="0" showInputMessage="0" showErrorMessage="0" allowBlank="1" error="Vui lòng chọn giá trị hợp lệ từ danh sách!" promptTitle="Kênh lưu trữ / Báo cáo" type="list">
      <formula1>='CAU HINH'!$S$4:$S$11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
  <sheetViews>
    <sheetView showGridLines="1" workbookViewId="0">
      <selection activeCell="A1" sqref="A1"/>
    </sheetView>
  </sheetViews>
  <sheetFormatPr baseColWidth="8" defaultRowHeight="15"/>
  <cols>
    <col width="6" customWidth="1" min="1" max="1"/>
    <col width="14" customWidth="1" min="2" max="2"/>
    <col width="20" customWidth="1" min="3" max="3"/>
    <col width="26" customWidth="1" min="4" max="4"/>
    <col width="22" customWidth="1" min="5" max="5"/>
    <col width="18" customWidth="1" min="6" max="6"/>
    <col width="18" customWidth="1" min="7" max="7"/>
    <col width="18" customWidth="1" min="8" max="8"/>
    <col width="10" customWidth="1" min="9" max="9"/>
    <col width="10" customWidth="1" min="10" max="10"/>
    <col width="12" customWidth="1" min="11" max="11"/>
    <col width="16" customWidth="1" min="12" max="12"/>
    <col width="16" customWidth="1" min="13" max="13"/>
    <col width="16" customWidth="1" min="14" max="14"/>
    <col width="14" customWidth="1" min="15" max="15"/>
  </cols>
  <sheetData>
    <row r="1" ht="36" customHeight="1">
      <c r="A1" s="1" t="inlineStr">
        <is>
          <t>🎯 THEO DÕI CHI TIẾT CHIẾN DỊCH FB ADS (NGÂN SÁCH NGÀY 600k - 700k/NGÀY &amp; ĐO LƯỜNG LEAD)</t>
        </is>
      </c>
    </row>
    <row r="2" ht="18" customHeight="1">
      <c r="A2" s="3" t="inlineStr">
        <is>
          <t>NGÂN SÁCH NGÀY (DAILY)</t>
        </is>
      </c>
      <c r="C2" s="2" t="inlineStr">
        <is>
          <t>TỔNG NGÂN SÁCH THÁNG</t>
        </is>
      </c>
      <c r="E2" s="2" t="inlineStr">
        <is>
          <t>TỔNG THỰC CHI</t>
        </is>
      </c>
      <c r="G2" s="2" t="inlineStr">
        <is>
          <t>MỤC TIÊU LEAD THÁNG</t>
        </is>
      </c>
      <c r="I2" s="4" t="inlineStr">
        <is>
          <t>LEAD THỰC TẾ THU VỀ</t>
        </is>
      </c>
      <c r="K2" s="2" t="inlineStr">
        <is>
          <t>CPL THỰC TẾ TRUNG BÌNH</t>
        </is>
      </c>
      <c r="M2" s="2" t="inlineStr">
        <is>
          <t>TIẾN ĐỘ ĐẠT LEAD</t>
        </is>
      </c>
      <c r="O2" s="2" t="inlineStr">
        <is>
          <t>VẬN HÀNH</t>
        </is>
      </c>
    </row>
    <row r="3" ht="26" customHeight="1">
      <c r="A3" s="31">
        <f>SUM(F5:F15)</f>
        <v/>
      </c>
      <c r="C3" s="32">
        <f>SUM(G5:G15)</f>
        <v/>
      </c>
      <c r="E3" s="32">
        <f>SUM(H5:H15)</f>
        <v/>
      </c>
      <c r="G3" s="24">
        <f>SUM(I5:I15)</f>
        <v/>
      </c>
      <c r="I3" s="25">
        <f>SUM(J5:J15)</f>
        <v/>
      </c>
      <c r="K3" s="32">
        <f>IF(SUM(J5:J15)&gt;0, SUM(H5:H15)/SUM(J5:J15), 0)</f>
        <v/>
      </c>
      <c r="M3" s="27">
        <f>IF(SUM(I5:I15)&gt;0, SUM(J5:J15)/SUM(I5:I15), 0)</f>
        <v/>
      </c>
      <c r="O3" s="28" t="inlineStr">
        <is>
          <t>Kiều Thương</t>
        </is>
      </c>
    </row>
    <row r="4" ht="26" customHeight="1">
      <c r="A4" s="9" t="inlineStr">
        <is>
          <t>STT</t>
        </is>
      </c>
      <c r="B4" s="9" t="inlineStr">
        <is>
          <t>Mã Chiến Dịch</t>
        </is>
      </c>
      <c r="C4" s="9" t="inlineStr">
        <is>
          <t>Tên Chiến Dịch Facebook Ads</t>
        </is>
      </c>
      <c r="D4" s="9" t="inlineStr">
        <is>
          <t>Góc Tiếp Cận (Angle Thử Nghiệm)</t>
        </is>
      </c>
      <c r="E4" s="9" t="inlineStr">
        <is>
          <t>Định Dạng Ads</t>
        </is>
      </c>
      <c r="F4" s="9" t="inlineStr">
        <is>
          <t>Ngân Sách Ngày (VNĐ)</t>
        </is>
      </c>
      <c r="G4" s="9" t="inlineStr">
        <is>
          <t>Ngân Sách Tháng KH (VNĐ)</t>
        </is>
      </c>
      <c r="H4" s="9" t="inlineStr">
        <is>
          <t>Thực Chi (VNĐ)</t>
        </is>
      </c>
      <c r="I4" s="9" t="inlineStr">
        <is>
          <t>KPI Lead</t>
        </is>
      </c>
      <c r="J4" s="9" t="inlineStr">
        <is>
          <t>Lead Đạt</t>
        </is>
      </c>
      <c r="K4" s="9" t="inlineStr">
        <is>
          <t>Tỷ Lệ Đạt</t>
        </is>
      </c>
      <c r="L4" s="9" t="inlineStr">
        <is>
          <t>CPL KH (VNĐ)</t>
        </is>
      </c>
      <c r="M4" s="9" t="inlineStr">
        <is>
          <t>CPL Thực (VNĐ)</t>
        </is>
      </c>
      <c r="N4" s="9" t="inlineStr">
        <is>
          <t>Người Phụ Trách</t>
        </is>
      </c>
      <c r="O4" s="9" t="inlineStr">
        <is>
          <t>Trạng Thái</t>
        </is>
      </c>
    </row>
    <row r="5" ht="22" customHeight="1">
      <c r="A5" s="11" t="n">
        <v>1</v>
      </c>
      <c r="B5" s="11" t="inlineStr">
        <is>
          <t>FB-TEST-01</t>
        </is>
      </c>
      <c r="C5" s="29" t="inlineStr">
        <is>
          <t>Campaign 1</t>
        </is>
      </c>
      <c r="D5" s="29" t="inlineStr">
        <is>
          <t>Chiết khấu &amp; Lợi nhuận</t>
        </is>
      </c>
      <c r="E5" s="29" t="inlineStr">
        <is>
          <t>Instant Lead Form</t>
        </is>
      </c>
      <c r="F5" s="14" t="n">
        <v>200000</v>
      </c>
      <c r="G5" s="14" t="n">
        <v>6000000</v>
      </c>
      <c r="H5" s="14" t="n">
        <v>190000</v>
      </c>
      <c r="I5" s="16">
        <f>'THEO DOI LEAD &amp; KHAO SAT WIN'!R5</f>
        <v/>
      </c>
      <c r="J5" s="16">
        <f>'THEO DOI LEAD &amp; KHAO SAT WIN'!S5</f>
        <v/>
      </c>
      <c r="K5" s="17">
        <f>IF(I5&gt;0, J5/I5, 0)</f>
        <v/>
      </c>
      <c r="L5" s="14">
        <f>IF(I5&gt;0, G5/I5, 0)</f>
        <v/>
      </c>
      <c r="M5" s="14">
        <f>IF(J5&gt;0, H5/J5, 0)</f>
        <v/>
      </c>
      <c r="N5" s="29" t="inlineStr">
        <is>
          <t>Kiều Thương (Chạy ads chính)</t>
        </is>
      </c>
      <c r="O5" s="11" t="inlineStr">
        <is>
          <t>Đang chạy</t>
        </is>
      </c>
    </row>
    <row r="6" ht="22" customHeight="1">
      <c r="A6" s="11" t="n">
        <v>2</v>
      </c>
      <c r="B6" s="11" t="inlineStr">
        <is>
          <t>FB-TEST-02</t>
        </is>
      </c>
      <c r="C6" s="29" t="inlineStr">
        <is>
          <t>Campaign 2</t>
        </is>
      </c>
      <c r="D6" s="29" t="inlineStr">
        <is>
          <t>Hỗ trợ điểm bán &amp; Kệ POSM</t>
        </is>
      </c>
      <c r="E6" s="29" t="inlineStr">
        <is>
          <t>Instant Lead Form</t>
        </is>
      </c>
      <c r="F6" s="14" t="n">
        <v>170000</v>
      </c>
      <c r="G6" s="14" t="n">
        <v>5000000</v>
      </c>
      <c r="H6" s="14" t="n">
        <v>370000</v>
      </c>
      <c r="I6" s="16">
        <f>'THEO DOI LEAD &amp; KHAO SAT WIN'!R6</f>
        <v/>
      </c>
      <c r="J6" s="16">
        <f>'THEO DOI LEAD &amp; KHAO SAT WIN'!S6</f>
        <v/>
      </c>
      <c r="K6" s="17">
        <f>IF(I6&gt;0, J6/I6, 0)</f>
        <v/>
      </c>
      <c r="L6" s="14">
        <f>IF(I6&gt;0, G6/I6, 0)</f>
        <v/>
      </c>
      <c r="M6" s="14">
        <f>IF(J6&gt;0, H6/J6, 0)</f>
        <v/>
      </c>
      <c r="N6" s="29" t="inlineStr">
        <is>
          <t>Kiều Thương (Chạy ads chính)</t>
        </is>
      </c>
      <c r="O6" s="11" t="inlineStr">
        <is>
          <t>Đang chạy</t>
        </is>
      </c>
    </row>
    <row r="7" ht="22" customHeight="1">
      <c r="A7" s="11" t="n">
        <v>3</v>
      </c>
      <c r="B7" s="11" t="inlineStr">
        <is>
          <t>FB-TEST-03</t>
        </is>
      </c>
      <c r="C7" s="29" t="inlineStr">
        <is>
          <t>Campaign 3</t>
        </is>
      </c>
      <c r="D7" s="29" t="inlineStr">
        <is>
          <t>Catalogue &amp; Hệ sinh thái</t>
        </is>
      </c>
      <c r="E7" s="29" t="inlineStr">
        <is>
          <t>Lead Form (Khảo sát dòng hàng)</t>
        </is>
      </c>
      <c r="F7" s="14" t="n">
        <v>170000</v>
      </c>
      <c r="G7" s="14" t="n">
        <v>5000000</v>
      </c>
      <c r="H7" s="14" t="n">
        <v>360000</v>
      </c>
      <c r="I7" s="16">
        <f>'THEO DOI LEAD &amp; KHAO SAT WIN'!R7</f>
        <v/>
      </c>
      <c r="J7" s="16">
        <f>'THEO DOI LEAD &amp; KHAO SAT WIN'!S7</f>
        <v/>
      </c>
      <c r="K7" s="17">
        <f>IF(I7&gt;0, J7/I7, 0)</f>
        <v/>
      </c>
      <c r="L7" s="14">
        <f>IF(I7&gt;0, G7/I7, 0)</f>
        <v/>
      </c>
      <c r="M7" s="14">
        <f>IF(J7&gt;0, H7/J7, 0)</f>
        <v/>
      </c>
      <c r="N7" s="29" t="inlineStr">
        <is>
          <t>Kiều Thương (Chạy ads chính)</t>
        </is>
      </c>
      <c r="O7" s="11" t="inlineStr">
        <is>
          <t>Đang chạy</t>
        </is>
      </c>
    </row>
    <row r="8" ht="22" customHeight="1">
      <c r="A8" s="11" t="n">
        <v>4</v>
      </c>
      <c r="B8" s="11" t="inlineStr">
        <is>
          <t>FB-TEST-04</t>
        </is>
      </c>
      <c r="C8" s="29" t="inlineStr">
        <is>
          <t>Campaign 4</t>
        </is>
      </c>
      <c r="D8" s="29" t="inlineStr">
        <is>
          <t>Bảo vệ giá &amp; Hạn chế rủi ro</t>
        </is>
      </c>
      <c r="E8" s="29" t="inlineStr">
        <is>
          <t>Messenger Ads (Tin nhắn)</t>
        </is>
      </c>
      <c r="F8" s="14" t="n">
        <v>130000</v>
      </c>
      <c r="G8" s="14" t="n">
        <v>4000000</v>
      </c>
      <c r="H8" s="14" t="n">
        <v>200000</v>
      </c>
      <c r="I8" s="16">
        <f>'THEO DOI LEAD &amp; KHAO SAT WIN'!R8</f>
        <v/>
      </c>
      <c r="J8" s="16">
        <f>'THEO DOI LEAD &amp; KHAO SAT WIN'!S8</f>
        <v/>
      </c>
      <c r="K8" s="17">
        <f>IF(I8&gt;0, J8/I8, 0)</f>
        <v/>
      </c>
      <c r="L8" s="14">
        <f>IF(I8&gt;0, G8/I8, 0)</f>
        <v/>
      </c>
      <c r="M8" s="14">
        <f>IF(J8&gt;0, H8/J8, 0)</f>
        <v/>
      </c>
      <c r="N8" s="29" t="inlineStr">
        <is>
          <t>Kiều Thương (Chạy ads chính)</t>
        </is>
      </c>
      <c r="O8" s="11" t="inlineStr">
        <is>
          <t>Đang chạy</t>
        </is>
      </c>
    </row>
    <row r="9" ht="20" customHeight="1">
      <c r="A9" s="30" t="n">
        <v>5</v>
      </c>
      <c r="B9" s="10" t="inlineStr"/>
      <c r="C9" s="10" t="inlineStr"/>
      <c r="D9" s="10" t="inlineStr"/>
      <c r="E9" s="10" t="inlineStr"/>
      <c r="F9" s="33" t="inlineStr"/>
      <c r="G9" s="33" t="inlineStr"/>
      <c r="H9" s="33" t="inlineStr"/>
      <c r="I9" s="34" t="inlineStr"/>
      <c r="J9" s="34" t="inlineStr"/>
      <c r="K9" s="35">
        <f>IF(I9&gt;0, J9/I9, 0)</f>
        <v/>
      </c>
      <c r="L9" s="33" t="inlineStr"/>
      <c r="M9" s="33" t="inlineStr"/>
      <c r="N9" s="10" t="inlineStr"/>
      <c r="O9" s="10" t="inlineStr"/>
    </row>
    <row r="10" ht="20" customHeight="1">
      <c r="A10" s="30" t="n">
        <v>6</v>
      </c>
      <c r="B10" s="10" t="inlineStr"/>
      <c r="C10" s="10" t="inlineStr"/>
      <c r="D10" s="10" t="inlineStr"/>
      <c r="E10" s="10" t="inlineStr"/>
      <c r="F10" s="33" t="inlineStr"/>
      <c r="G10" s="33" t="inlineStr"/>
      <c r="H10" s="33" t="inlineStr"/>
      <c r="I10" s="34" t="inlineStr"/>
      <c r="J10" s="34" t="inlineStr"/>
      <c r="K10" s="35">
        <f>IF(I10&gt;0, J10/I10, 0)</f>
        <v/>
      </c>
      <c r="L10" s="33" t="inlineStr"/>
      <c r="M10" s="33" t="inlineStr"/>
      <c r="N10" s="10" t="inlineStr"/>
      <c r="O10" s="10" t="inlineStr"/>
    </row>
    <row r="11" ht="20" customHeight="1">
      <c r="A11" s="30" t="n">
        <v>7</v>
      </c>
      <c r="B11" s="10" t="inlineStr"/>
      <c r="C11" s="10" t="inlineStr"/>
      <c r="D11" s="10" t="inlineStr"/>
      <c r="E11" s="10" t="inlineStr"/>
      <c r="F11" s="33" t="inlineStr"/>
      <c r="G11" s="33" t="inlineStr"/>
      <c r="H11" s="33" t="inlineStr"/>
      <c r="I11" s="34" t="inlineStr"/>
      <c r="J11" s="34" t="inlineStr"/>
      <c r="K11" s="35">
        <f>IF(I11&gt;0, J11/I11, 0)</f>
        <v/>
      </c>
      <c r="L11" s="33" t="inlineStr"/>
      <c r="M11" s="33" t="inlineStr"/>
      <c r="N11" s="10" t="inlineStr"/>
      <c r="O11" s="10" t="inlineStr"/>
    </row>
    <row r="12" ht="20" customHeight="1">
      <c r="A12" s="30" t="n">
        <v>8</v>
      </c>
      <c r="B12" s="10" t="inlineStr"/>
      <c r="C12" s="10" t="inlineStr"/>
      <c r="D12" s="10" t="inlineStr"/>
      <c r="E12" s="10" t="inlineStr"/>
      <c r="F12" s="33" t="inlineStr"/>
      <c r="G12" s="33" t="inlineStr"/>
      <c r="H12" s="33" t="inlineStr"/>
      <c r="I12" s="34" t="inlineStr"/>
      <c r="J12" s="34" t="inlineStr"/>
      <c r="K12" s="35">
        <f>IF(I12&gt;0, J12/I12, 0)</f>
        <v/>
      </c>
      <c r="L12" s="33" t="inlineStr"/>
      <c r="M12" s="33" t="inlineStr"/>
      <c r="N12" s="10" t="inlineStr"/>
      <c r="O12" s="10" t="inlineStr"/>
    </row>
    <row r="13" ht="20" customHeight="1">
      <c r="A13" s="30" t="n">
        <v>9</v>
      </c>
      <c r="B13" s="10" t="inlineStr"/>
      <c r="C13" s="10" t="inlineStr"/>
      <c r="D13" s="10" t="inlineStr"/>
      <c r="E13" s="10" t="inlineStr"/>
      <c r="F13" s="33" t="inlineStr"/>
      <c r="G13" s="33" t="inlineStr"/>
      <c r="H13" s="33" t="inlineStr"/>
      <c r="I13" s="34" t="inlineStr"/>
      <c r="J13" s="34" t="inlineStr"/>
      <c r="K13" s="35">
        <f>IF(I13&gt;0, J13/I13, 0)</f>
        <v/>
      </c>
      <c r="L13" s="33" t="inlineStr"/>
      <c r="M13" s="33" t="inlineStr"/>
      <c r="N13" s="10" t="inlineStr"/>
      <c r="O13" s="10" t="inlineStr"/>
    </row>
    <row r="14" ht="20" customHeight="1">
      <c r="A14" s="30" t="n">
        <v>10</v>
      </c>
      <c r="B14" s="10" t="inlineStr"/>
      <c r="C14" s="10" t="inlineStr"/>
      <c r="D14" s="10" t="inlineStr"/>
      <c r="E14" s="10" t="inlineStr"/>
      <c r="F14" s="33" t="inlineStr"/>
      <c r="G14" s="33" t="inlineStr"/>
      <c r="H14" s="33" t="inlineStr"/>
      <c r="I14" s="34" t="inlineStr"/>
      <c r="J14" s="34" t="inlineStr"/>
      <c r="K14" s="35">
        <f>IF(I14&gt;0, J14/I14, 0)</f>
        <v/>
      </c>
      <c r="L14" s="33" t="inlineStr"/>
      <c r="M14" s="33" t="inlineStr"/>
      <c r="N14" s="10" t="inlineStr"/>
      <c r="O14" s="10" t="inlineStr"/>
    </row>
    <row r="15" ht="20" customHeight="1">
      <c r="A15" s="30" t="n">
        <v>11</v>
      </c>
      <c r="B15" s="10" t="inlineStr"/>
      <c r="C15" s="10" t="inlineStr"/>
      <c r="D15" s="10" t="inlineStr"/>
      <c r="E15" s="10" t="inlineStr"/>
      <c r="F15" s="33" t="inlineStr"/>
      <c r="G15" s="33" t="inlineStr"/>
      <c r="H15" s="33" t="inlineStr"/>
      <c r="I15" s="34" t="inlineStr"/>
      <c r="J15" s="34" t="inlineStr"/>
      <c r="K15" s="35">
        <f>IF(I15&gt;0, J15/I15, 0)</f>
        <v/>
      </c>
      <c r="L15" s="33" t="inlineStr"/>
      <c r="M15" s="33" t="inlineStr"/>
      <c r="N15" s="10" t="inlineStr"/>
      <c r="O15" s="10" t="inlineStr"/>
    </row>
  </sheetData>
  <mergeCells count="15">
    <mergeCell ref="M2:N2"/>
    <mergeCell ref="A2:B2"/>
    <mergeCell ref="C2:D2"/>
    <mergeCell ref="G2:H2"/>
    <mergeCell ref="E2:F2"/>
    <mergeCell ref="K2:L2"/>
    <mergeCell ref="I2:J2"/>
    <mergeCell ref="A1:O1"/>
    <mergeCell ref="M3:N3"/>
    <mergeCell ref="C3:D3"/>
    <mergeCell ref="A3:B3"/>
    <mergeCell ref="G3:H3"/>
    <mergeCell ref="E3:F3"/>
    <mergeCell ref="K3:L3"/>
    <mergeCell ref="I3:J3"/>
  </mergeCells>
  <dataValidations count="6">
    <dataValidation sqref="O3" showDropDown="0" showInputMessage="0" showErrorMessage="0" allowBlank="1" error="Vui lòng chọn giá trị hợp lệ từ danh sách!" promptTitle="Nhân sự vận hành" type="list">
      <formula1>='CAU HINH'!$H$4:$H$7</formula1>
    </dataValidation>
    <dataValidation sqref="C5:C15" showDropDown="0" showInputMessage="0" showErrorMessage="0" allowBlank="1" error="Vui lòng chọn giá trị hợp lệ từ danh sách!" promptTitle="Tên chiến dịch FB" type="list">
      <formula1>='CAU HINH'!$C$4:$C$7</formula1>
    </dataValidation>
    <dataValidation sqref="D5:D15" showDropDown="0" showInputMessage="0" showErrorMessage="0" allowBlank="1" error="Vui lòng chọn giá trị hợp lệ từ danh sách!" promptTitle="Góc tiếp cận" type="list">
      <formula1>='CAU HINH'!$A$4:$A$9</formula1>
    </dataValidation>
    <dataValidation sqref="E5:E15" showDropDown="0" showInputMessage="0" showErrorMessage="0" allowBlank="1" error="Vui lòng chọn giá trị hợp lệ từ danh sách!" promptTitle="Định dạng ads" type="list">
      <formula1>='CAU HINH'!$D$4:$D$7</formula1>
    </dataValidation>
    <dataValidation sqref="N5:N15" showDropDown="0" showInputMessage="0" showErrorMessage="0" allowBlank="1" error="Vui lòng chọn giá trị hợp lệ từ danh sách!" promptTitle="Người phụ trách" type="list">
      <formula1>='CAU HINH'!$H$4:$H$7</formula1>
    </dataValidation>
    <dataValidation sqref="O5:O15" showDropDown="0" showInputMessage="0" showErrorMessage="0" allowBlank="1" error="Vui lòng chọn giá trị hợp lệ từ danh sách!" promptTitle="Trạng thái chiến dịch" type="list">
      <formula1>='CAU HINH'!$E$4:$E$8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6" customWidth="1" min="1" max="1"/>
    <col width="38" customWidth="1" min="2" max="2"/>
    <col width="20" customWidth="1" min="3" max="3"/>
    <col width="22" customWidth="1" min="4" max="4"/>
    <col width="18" customWidth="1" min="5" max="5"/>
    <col width="18" customWidth="1" min="6" max="6"/>
    <col width="20" customWidth="1" min="7" max="7"/>
    <col width="20" customWidth="1" min="8" max="8"/>
    <col width="20" customWidth="1" min="9" max="9"/>
    <col width="20" customWidth="1" min="10" max="10"/>
    <col width="24" customWidth="1" min="11" max="11"/>
  </cols>
  <sheetData>
    <row r="1" ht="36" customHeight="1">
      <c r="A1" s="1" t="inlineStr">
        <is>
          <t>💰 BẢNG PHÂN BỔ NGÂN SÁCH FACEBOOK ADS THEO 4 TUẦN &amp; THEO NGÀY (TEST 20 TRIỆU)</t>
        </is>
      </c>
    </row>
    <row r="3" ht="26" customHeight="1">
      <c r="A3" s="9" t="inlineStr">
        <is>
          <t>STT</t>
        </is>
      </c>
      <c r="B3" s="9" t="inlineStr">
        <is>
          <t>Nhóm Góc Tiếp Cận Thử Nghiệm</t>
        </is>
      </c>
      <c r="C3" s="9" t="inlineStr">
        <is>
          <t>Ngân Sách Ngày (VNĐ)</t>
        </is>
      </c>
      <c r="D3" s="9" t="inlineStr">
        <is>
          <t>Ngân Sách Tháng KH (VNĐ)</t>
        </is>
      </c>
      <c r="E3" s="9" t="inlineStr">
        <is>
          <t>Tuần 1 (Thăm Dò)</t>
        </is>
      </c>
      <c r="F3" s="9" t="inlineStr">
        <is>
          <t>Tuần 2 (Sàng Lọc)</t>
        </is>
      </c>
      <c r="G3" s="9" t="inlineStr">
        <is>
          <t>Tuần 3 (Scale Góc Win)</t>
        </is>
      </c>
      <c r="H3" s="9" t="inlineStr">
        <is>
          <t>Tuần 4 (Tối Ưu &amp; Thu Lead)</t>
        </is>
      </c>
      <c r="I3" s="9" t="inlineStr">
        <is>
          <t>Tổng Thực Chi (VNĐ)</t>
        </is>
      </c>
      <c r="J3" s="9" t="inlineStr">
        <is>
          <t>Chênh Lệch / Còn Lại</t>
        </is>
      </c>
      <c r="K3" s="9" t="inlineStr">
        <is>
          <t>Đánh Giá Pacing Ngân Sách</t>
        </is>
      </c>
    </row>
    <row r="4" ht="22" customHeight="1">
      <c r="A4" s="11" t="n">
        <v>1</v>
      </c>
      <c r="B4" s="29" t="inlineStr">
        <is>
          <t>Campaign 1 (Angle 1: Chiết Khấu Đại Lý)</t>
        </is>
      </c>
      <c r="C4" s="14" t="n">
        <v>200000</v>
      </c>
      <c r="D4" s="14" t="n">
        <v>6000000</v>
      </c>
      <c r="E4" s="14" t="n">
        <v>1200000</v>
      </c>
      <c r="F4" s="14" t="n">
        <v>1500000</v>
      </c>
      <c r="G4" s="14" t="n">
        <v>1700000</v>
      </c>
      <c r="H4" s="14" t="n">
        <v>1600000</v>
      </c>
      <c r="I4" s="36">
        <f>SUM(E4:H4)</f>
        <v/>
      </c>
      <c r="J4" s="36">
        <f>D4-I4</f>
        <v/>
      </c>
      <c r="K4" s="11" t="inlineStr">
        <is>
          <t>Đang kiểm soát tốt</t>
        </is>
      </c>
    </row>
    <row r="5" ht="22" customHeight="1">
      <c r="A5" s="11" t="n">
        <v>2</v>
      </c>
      <c r="B5" s="29" t="inlineStr">
        <is>
          <t>Campaign 2 (Angle 2: Hỗ Trợ Kệ POSM)</t>
        </is>
      </c>
      <c r="C5" s="14" t="n">
        <v>170000</v>
      </c>
      <c r="D5" s="14" t="n">
        <v>5000000</v>
      </c>
      <c r="E5" s="14" t="n">
        <v>1000000</v>
      </c>
      <c r="F5" s="14" t="n">
        <v>1300000</v>
      </c>
      <c r="G5" s="14" t="n">
        <v>1400000</v>
      </c>
      <c r="H5" s="14" t="n">
        <v>1300000</v>
      </c>
      <c r="I5" s="36">
        <f>SUM(E5:H5)</f>
        <v/>
      </c>
      <c r="J5" s="36">
        <f>D5-I5</f>
        <v/>
      </c>
      <c r="K5" s="11" t="inlineStr">
        <is>
          <t>Đang kiểm soát tốt</t>
        </is>
      </c>
    </row>
    <row r="6" ht="22" customHeight="1">
      <c r="A6" s="11" t="n">
        <v>3</v>
      </c>
      <c r="B6" s="29" t="inlineStr">
        <is>
          <t>Campaign 3 (Angle 3: Khám Phá Catalogue)</t>
        </is>
      </c>
      <c r="C6" s="14" t="n">
        <v>170000</v>
      </c>
      <c r="D6" s="14" t="n">
        <v>5000000</v>
      </c>
      <c r="E6" s="14" t="n">
        <v>1200000</v>
      </c>
      <c r="F6" s="14" t="n">
        <v>1200000</v>
      </c>
      <c r="G6" s="14" t="n">
        <v>1300000</v>
      </c>
      <c r="H6" s="14" t="n">
        <v>1300000</v>
      </c>
      <c r="I6" s="36">
        <f>SUM(E6:H6)</f>
        <v/>
      </c>
      <c r="J6" s="36">
        <f>D6-I6</f>
        <v/>
      </c>
      <c r="K6" s="11" t="inlineStr">
        <is>
          <t>Đang kiểm soát tốt</t>
        </is>
      </c>
    </row>
    <row r="7" ht="22" customHeight="1">
      <c r="A7" s="11" t="n">
        <v>4</v>
      </c>
      <c r="B7" s="29" t="inlineStr">
        <is>
          <t>Campaign 4 (Angle 4: Bảo Vệ Vùng Bán)</t>
        </is>
      </c>
      <c r="C7" s="14" t="n">
        <v>130000</v>
      </c>
      <c r="D7" s="14" t="n">
        <v>4000000</v>
      </c>
      <c r="E7" s="14" t="n">
        <v>800000</v>
      </c>
      <c r="F7" s="14" t="n">
        <v>1000000</v>
      </c>
      <c r="G7" s="14" t="n">
        <v>1100000</v>
      </c>
      <c r="H7" s="14" t="n">
        <v>1100000</v>
      </c>
      <c r="I7" s="36">
        <f>SUM(E7:H7)</f>
        <v/>
      </c>
      <c r="J7" s="36">
        <f>D7-I7</f>
        <v/>
      </c>
      <c r="K7" s="11" t="inlineStr">
        <is>
          <t>Đang kiểm soát tốt</t>
        </is>
      </c>
    </row>
    <row r="8" ht="24" customHeight="1">
      <c r="A8" s="10" t="inlineStr"/>
      <c r="B8" s="18" t="inlineStr">
        <is>
          <t>TỔNG CỘNG THEO TUẦN</t>
        </is>
      </c>
      <c r="C8" s="19">
        <f>SUM(C4:C7)</f>
        <v/>
      </c>
      <c r="D8" s="20">
        <f>SUM(D4:D7)</f>
        <v/>
      </c>
      <c r="E8" s="20">
        <f>SUM(E4:E7)</f>
        <v/>
      </c>
      <c r="F8" s="20">
        <f>SUM(F4:F7)</f>
        <v/>
      </c>
      <c r="G8" s="20">
        <f>SUM(G4:G7)</f>
        <v/>
      </c>
      <c r="H8" s="20">
        <f>SUM(H4:H7)</f>
        <v/>
      </c>
      <c r="I8" s="19">
        <f>SUM(I4:I7)</f>
        <v/>
      </c>
      <c r="J8" s="37">
        <f>SUM(J4:J7)</f>
        <v/>
      </c>
      <c r="K8" s="10" t="inlineStr"/>
    </row>
    <row r="9" ht="24" customHeight="1">
      <c r="A9" s="10" t="inlineStr"/>
      <c r="B9" s="18" t="inlineStr">
        <is>
          <t>TRUNG BÌNH CHI TIÊU / NGÀY</t>
        </is>
      </c>
      <c r="C9" s="19">
        <f>C8</f>
        <v/>
      </c>
      <c r="D9" s="18" t="inlineStr">
        <is>
          <t>~667.000 ₫/ngày</t>
        </is>
      </c>
      <c r="E9" s="37">
        <f>E8/7</f>
        <v/>
      </c>
      <c r="F9" s="37">
        <f>F8/7</f>
        <v/>
      </c>
      <c r="G9" s="37">
        <f>G8/7</f>
        <v/>
      </c>
      <c r="H9" s="37">
        <f>H8/7</f>
        <v/>
      </c>
      <c r="I9" s="30" t="inlineStr">
        <is>
          <t>-</t>
        </is>
      </c>
      <c r="J9" s="30" t="inlineStr">
        <is>
          <t>-</t>
        </is>
      </c>
      <c r="K9" s="30" t="inlineStr">
        <is>
          <t>-</t>
        </is>
      </c>
    </row>
  </sheetData>
  <mergeCells count="1">
    <mergeCell ref="A1:K1"/>
  </mergeCells>
  <dataValidations count="2">
    <dataValidation sqref="B4:B7" showDropDown="0" showInputMessage="0" showErrorMessage="0" allowBlank="1" error="Vui lòng chọn giá trị hợp lệ từ danh sách!" promptTitle="Nhóm góc tiếp cận" type="list">
      <formula1>='CAU HINH'!$V$4:$V$9</formula1>
    </dataValidation>
    <dataValidation sqref="K4:K7" showDropDown="0" showInputMessage="0" showErrorMessage="0" allowBlank="1" error="Vui lòng chọn giá trị hợp lệ từ danh sách!" promptTitle="Đánh giá pacing ngân sách" type="list">
      <formula1>='CAU HINH'!$U$4:$U$7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showGridLines="1" workbookViewId="0">
      <selection activeCell="A1" sqref="A1"/>
    </sheetView>
  </sheetViews>
  <sheetFormatPr baseColWidth="8" defaultRowHeight="15"/>
  <cols>
    <col width="6" customWidth="1" min="1" max="1"/>
    <col width="24" customWidth="1" min="2" max="2"/>
    <col width="32" customWidth="1" min="3" max="3"/>
    <col width="40" customWidth="1" min="4" max="4"/>
    <col width="24" customWidth="1" min="5" max="5"/>
    <col width="30" customWidth="1" min="6" max="6"/>
    <col width="22" customWidth="1" min="7" max="7"/>
    <col width="24" customWidth="1" min="8" max="8"/>
    <col width="16" customWidth="1" min="9" max="9"/>
    <col width="18" customWidth="1" min="10" max="10"/>
    <col width="16" customWidth="1" min="11" max="11"/>
  </cols>
  <sheetData>
    <row r="1" ht="36" customHeight="1">
      <c r="A1" s="1" t="inlineStr">
        <is>
          <t>📝 MA TRẬN NỘI DUNG TỔNG THỂ THƯƠNG HIỆU &amp; HỢP TÁC ĐẠI LÝ KING BLUE</t>
        </is>
      </c>
    </row>
    <row r="3" ht="26" customHeight="1">
      <c r="A3" s="9" t="inlineStr">
        <is>
          <t>STT</t>
        </is>
      </c>
      <c r="B3" s="9" t="inlineStr">
        <is>
          <t>Trục Thông Điệp (Angle)</t>
        </is>
      </c>
      <c r="C3" s="9" t="inlineStr">
        <is>
          <t>Tiêu Đề Quảng Cáo (Headline)</t>
        </is>
      </c>
      <c r="D3" s="9" t="inlineStr">
        <is>
          <t>Nội Dung Tiếp Cận (Ad Copy)</t>
        </is>
      </c>
      <c r="E3" s="9" t="inlineStr">
        <is>
          <t>Định Dạng Visual</t>
        </is>
      </c>
      <c r="F3" s="9" t="inlineStr">
        <is>
          <t>Yêu Cầu Media (Quay/Chụp)</t>
        </is>
      </c>
      <c r="G3" s="9" t="inlineStr">
        <is>
          <t>Kêu Gọi Hành Động (CTA)</t>
        </is>
      </c>
      <c r="H3" s="9" t="inlineStr">
        <is>
          <t>Đối Tượng Xem</t>
        </is>
      </c>
      <c r="I3" s="9" t="inlineStr">
        <is>
          <t>Người Phụ Trách</t>
        </is>
      </c>
      <c r="J3" s="9" t="inlineStr">
        <is>
          <t>Hỗ Trợ Visual</t>
        </is>
      </c>
      <c r="K3" s="9" t="inlineStr">
        <is>
          <t>Trạng Thái</t>
        </is>
      </c>
    </row>
    <row r="4" ht="36" customHeight="1">
      <c r="A4" s="11" t="n">
        <v>1</v>
      </c>
      <c r="B4" s="29" t="inlineStr">
        <is>
          <t>Chiết khấu &amp; Lợi nhuận</t>
        </is>
      </c>
      <c r="C4" s="13" t="inlineStr">
        <is>
          <t>TÌM NGUỒN HÀNG KIM KHÍ LÃI TỐT? CHIẾT KHẤU ĐẠI LÝ LÊN TỚI 35% CÙNG KING BLUE</t>
        </is>
      </c>
      <c r="D4" s="13" t="inlineStr">
        <is>
          <t>Kinh doanh kim khí muốn giữ khách phải có hàng bền, muốn biên lãi cao phải nhập tận gốc. King Blue mở rộng hệ thống đại lý toàn quốc: Chiết khấu tới 35%, bảng giá sỉ trực tiếp từ nhà sản xuất không qua trung gian.</t>
        </is>
      </c>
      <c r="E4" s="13" t="inlineStr">
        <is>
          <t>Ảnh Carousel 5 tấm trọn bộ</t>
        </is>
      </c>
      <c r="F4" s="13" t="inlineStr">
        <is>
          <t>Layout ảnh chụp tổng thể hệ sinh thái dụng cụ King Blue</t>
        </is>
      </c>
      <c r="G4" s="11" t="inlineStr">
        <is>
          <t>Đăng Ký Nhận Báo Giá Sỉ</t>
        </is>
      </c>
      <c r="H4" s="29" t="inlineStr">
        <is>
          <t>Chủ cửa hàng kim khí, điện cơ</t>
        </is>
      </c>
      <c r="I4" s="29" t="inlineStr">
        <is>
          <t>Kiều Thương (Chạy ads chính)</t>
        </is>
      </c>
      <c r="J4" s="29" t="inlineStr">
        <is>
          <t>Thiện (Thiết kế Visual)</t>
        </is>
      </c>
      <c r="K4" s="11" t="inlineStr">
        <is>
          <t>Đã sẵn sàng</t>
        </is>
      </c>
    </row>
    <row r="5" ht="36" customHeight="1">
      <c r="A5" s="11" t="n">
        <v>2</v>
      </c>
      <c r="B5" s="29" t="inlineStr">
        <is>
          <t>Hỗ trợ điểm bán &amp; Kệ POSM</t>
        </is>
      </c>
      <c r="C5" s="13" t="inlineStr">
        <is>
          <t>MỞ ĐIỂM BÁN KING BLUE: TÀI TRỢ 100% KỆ TRƯNG BÀY &amp; BIỂN HIỆU NHẬN DIỆN THƯƠNG HIỆU</t>
        </is>
      </c>
      <c r="D5" s="13" t="inlineStr">
        <is>
          <t>Nâng cấp không gian cửa hàng của bạn đẹp và chuyên nghiệp nhất khu vực. King Blue tài trợ kệ sắt sơn tĩnh điện chuyên dụng chuẩn thương hiệu Royal Blue, hỗ trợ thiết kế biển bảng mặt tiền.</t>
        </is>
      </c>
      <c r="E5" s="13" t="inlineStr">
        <is>
          <t>Video 30s thực tế lắp đặt kệ POSM</t>
        </is>
      </c>
      <c r="F5" s="13" t="inlineStr">
        <is>
          <t>Clip Tứ quay bàn giao kệ POSM tại cửa hàng đối tác</t>
        </is>
      </c>
      <c r="G5" s="11" t="inlineStr">
        <is>
          <t>Đăng Ký Tư Vấn Điểm Bán</t>
        </is>
      </c>
      <c r="H5" s="29" t="inlineStr">
        <is>
          <t>Chủ tiệm kim khí, VLXD</t>
        </is>
      </c>
      <c r="I5" s="29" t="inlineStr">
        <is>
          <t>Kiều Thương (Chạy ads chính)</t>
        </is>
      </c>
      <c r="J5" s="29" t="inlineStr">
        <is>
          <t>Tứ (Quay dựng video)</t>
        </is>
      </c>
      <c r="K5" s="11" t="inlineStr">
        <is>
          <t>Đã sẵn sàng</t>
        </is>
      </c>
    </row>
    <row r="6" ht="36" customHeight="1">
      <c r="A6" s="11" t="n">
        <v>3</v>
      </c>
      <c r="B6" s="29" t="inlineStr">
        <is>
          <t>Catalogue &amp; Hệ sinh thái</t>
        </is>
      </c>
      <c r="C6" s="13" t="inlineStr">
        <is>
          <t>KHÁM PHÁ HỆ SINH THÁI THIẾT BỊ &amp; KIM KHÍ KING BLUE 2026 - NHẬN TRỌN BỘ CATALOGUE</t>
        </is>
      </c>
      <c r="D6" s="13" t="inlineStr">
        <is>
          <t>Hơn 300 danh mục thiết bị từ máy pin, máy điện đến vật tư tiêu hao (đá cắt, mũi khoan, dụng cụ cầm tay). Đăng ký để tải trọn bộ catalogue chi tiết thông số và nhận tư vấn dòng hàng phù hợp nhất với khu vực của bạn.</t>
        </is>
      </c>
      <c r="E6" s="13" t="inlineStr">
        <is>
          <t>Banner Catalogue 2026 tổng thể</t>
        </is>
      </c>
      <c r="F6" s="13" t="inlineStr">
        <is>
          <t>Thiện thiết kế mockup cuốn catalogue King Blue dày dặn</t>
        </is>
      </c>
      <c r="G6" s="11" t="inlineStr">
        <is>
          <t>Tải Trọn Bộ Catalogue</t>
        </is>
      </c>
      <c r="H6" s="29" t="inlineStr">
        <is>
          <t>Chủ cửa hàng kim khí, điện cơ</t>
        </is>
      </c>
      <c r="I6" s="29" t="inlineStr">
        <is>
          <t>Kiều Thương (Chạy ads chính)</t>
        </is>
      </c>
      <c r="J6" s="29" t="inlineStr">
        <is>
          <t>Thiện (Thiết kế Visual)</t>
        </is>
      </c>
      <c r="K6" s="11" t="inlineStr">
        <is>
          <t>Đã sẵn sàng</t>
        </is>
      </c>
    </row>
    <row r="7" ht="36" customHeight="1">
      <c r="A7" s="11" t="n">
        <v>4</v>
      </c>
      <c r="B7" s="29" t="inlineStr">
        <is>
          <t>Bảo vệ giá &amp; Hạn chế rủi ro</t>
        </is>
      </c>
      <c r="C7" s="13" t="inlineStr">
        <is>
          <t>CHÍNH SÁCH BẢO HỘ ĐẠI LÝ: KIỂM SOÁT 1 GIÁ TOÀN QUỐC - HỖ TRỢ ĐỔI TRẢ HÀNG CHẬM 60 NGÀY</t>
        </is>
      </c>
      <c r="D7" s="13" t="inlineStr">
        <is>
          <t>Không lo bị bán phá giá, không sợ tồn kho đọng vốn. King Blue áp dụng chính sách bảo vệ vùng bán và hỗ trợ đổi sang các sản phẩm phù hợp hơn trong 60 ngày đầu để đại lý yên tâm kinh doanh bền vững.</t>
        </is>
      </c>
      <c r="E7" s="13" t="inlineStr">
        <is>
          <t>Infographic cam kết bảo vệ đại lý</t>
        </is>
      </c>
      <c r="F7" s="13" t="inlineStr">
        <is>
          <t>Thiện làm visual cam kết không phá giá &amp; đổi trả linh hoạt</t>
        </is>
      </c>
      <c r="G7" s="11" t="inlineStr">
        <is>
          <t>Xem Chính Sách Đại Lý</t>
        </is>
      </c>
      <c r="H7" s="29" t="inlineStr">
        <is>
          <t>Chủ cửa hàng máy công cụ, điện cơ</t>
        </is>
      </c>
      <c r="I7" s="29" t="inlineStr">
        <is>
          <t>Kiều Thương (Chạy ads chính)</t>
        </is>
      </c>
      <c r="J7" s="29" t="inlineStr">
        <is>
          <t>Thiện (Thiết kế Visual)</t>
        </is>
      </c>
      <c r="K7" s="11" t="inlineStr">
        <is>
          <t>Đã sẵn sàng</t>
        </is>
      </c>
    </row>
    <row r="8" ht="28" customHeight="1">
      <c r="A8" s="30" t="n">
        <v>5</v>
      </c>
      <c r="B8" s="10" t="inlineStr"/>
      <c r="C8" s="10" t="inlineStr"/>
      <c r="D8" s="10" t="inlineStr"/>
      <c r="E8" s="10" t="inlineStr"/>
      <c r="F8" s="10" t="inlineStr"/>
      <c r="G8" s="10" t="inlineStr"/>
      <c r="H8" s="10" t="inlineStr"/>
      <c r="I8" s="10" t="inlineStr"/>
      <c r="J8" s="10" t="inlineStr"/>
      <c r="K8" s="10" t="inlineStr"/>
    </row>
    <row r="9" ht="28" customHeight="1">
      <c r="A9" s="30" t="n">
        <v>6</v>
      </c>
      <c r="B9" s="10" t="inlineStr"/>
      <c r="C9" s="10" t="inlineStr"/>
      <c r="D9" s="10" t="inlineStr"/>
      <c r="E9" s="10" t="inlineStr"/>
      <c r="F9" s="10" t="inlineStr"/>
      <c r="G9" s="10" t="inlineStr"/>
      <c r="H9" s="10" t="inlineStr"/>
      <c r="I9" s="10" t="inlineStr"/>
      <c r="J9" s="10" t="inlineStr"/>
      <c r="K9" s="10" t="inlineStr"/>
    </row>
    <row r="10" ht="28" customHeight="1">
      <c r="A10" s="30" t="n">
        <v>7</v>
      </c>
      <c r="B10" s="10" t="inlineStr"/>
      <c r="C10" s="10" t="inlineStr"/>
      <c r="D10" s="10" t="inlineStr"/>
      <c r="E10" s="10" t="inlineStr"/>
      <c r="F10" s="10" t="inlineStr"/>
      <c r="G10" s="10" t="inlineStr"/>
      <c r="H10" s="10" t="inlineStr"/>
      <c r="I10" s="10" t="inlineStr"/>
      <c r="J10" s="10" t="inlineStr"/>
      <c r="K10" s="10" t="inlineStr"/>
    </row>
    <row r="11" ht="28" customHeight="1">
      <c r="A11" s="30" t="n">
        <v>8</v>
      </c>
      <c r="B11" s="10" t="inlineStr"/>
      <c r="C11" s="10" t="inlineStr"/>
      <c r="D11" s="10" t="inlineStr"/>
      <c r="E11" s="10" t="inlineStr"/>
      <c r="F11" s="10" t="inlineStr"/>
      <c r="G11" s="10" t="inlineStr"/>
      <c r="H11" s="10" t="inlineStr"/>
      <c r="I11" s="10" t="inlineStr"/>
      <c r="J11" s="10" t="inlineStr"/>
      <c r="K11" s="10" t="inlineStr"/>
    </row>
    <row r="12" ht="28" customHeight="1">
      <c r="A12" s="30" t="n">
        <v>9</v>
      </c>
      <c r="B12" s="10" t="inlineStr"/>
      <c r="C12" s="10" t="inlineStr"/>
      <c r="D12" s="10" t="inlineStr"/>
      <c r="E12" s="10" t="inlineStr"/>
      <c r="F12" s="10" t="inlineStr"/>
      <c r="G12" s="10" t="inlineStr"/>
      <c r="H12" s="10" t="inlineStr"/>
      <c r="I12" s="10" t="inlineStr"/>
      <c r="J12" s="10" t="inlineStr"/>
      <c r="K12" s="10" t="inlineStr"/>
    </row>
    <row r="13" ht="28" customHeight="1">
      <c r="A13" s="30" t="n">
        <v>10</v>
      </c>
      <c r="B13" s="10" t="inlineStr"/>
      <c r="C13" s="10" t="inlineStr"/>
      <c r="D13" s="10" t="inlineStr"/>
      <c r="E13" s="10" t="inlineStr"/>
      <c r="F13" s="10" t="inlineStr"/>
      <c r="G13" s="10" t="inlineStr"/>
      <c r="H13" s="10" t="inlineStr"/>
      <c r="I13" s="10" t="inlineStr"/>
      <c r="J13" s="10" t="inlineStr"/>
      <c r="K13" s="10" t="inlineStr"/>
    </row>
    <row r="14" ht="28" customHeight="1">
      <c r="A14" s="30" t="n">
        <v>11</v>
      </c>
      <c r="B14" s="10" t="inlineStr"/>
      <c r="C14" s="10" t="inlineStr"/>
      <c r="D14" s="10" t="inlineStr"/>
      <c r="E14" s="10" t="inlineStr"/>
      <c r="F14" s="10" t="inlineStr"/>
      <c r="G14" s="10" t="inlineStr"/>
      <c r="H14" s="10" t="inlineStr"/>
      <c r="I14" s="10" t="inlineStr"/>
      <c r="J14" s="10" t="inlineStr"/>
      <c r="K14" s="10" t="inlineStr"/>
    </row>
    <row r="15" ht="28" customHeight="1">
      <c r="A15" s="30" t="n">
        <v>12</v>
      </c>
      <c r="B15" s="10" t="inlineStr"/>
      <c r="C15" s="10" t="inlineStr"/>
      <c r="D15" s="10" t="inlineStr"/>
      <c r="E15" s="10" t="inlineStr"/>
      <c r="F15" s="10" t="inlineStr"/>
      <c r="G15" s="10" t="inlineStr"/>
      <c r="H15" s="10" t="inlineStr"/>
      <c r="I15" s="10" t="inlineStr"/>
      <c r="J15" s="10" t="inlineStr"/>
      <c r="K15" s="10" t="inlineStr"/>
    </row>
    <row r="16" ht="28" customHeight="1">
      <c r="A16" s="30" t="n">
        <v>13</v>
      </c>
      <c r="B16" s="10" t="inlineStr"/>
      <c r="C16" s="10" t="inlineStr"/>
      <c r="D16" s="10" t="inlineStr"/>
      <c r="E16" s="10" t="inlineStr"/>
      <c r="F16" s="10" t="inlineStr"/>
      <c r="G16" s="10" t="inlineStr"/>
      <c r="H16" s="10" t="inlineStr"/>
      <c r="I16" s="10" t="inlineStr"/>
      <c r="J16" s="10" t="inlineStr"/>
      <c r="K16" s="10" t="inlineStr"/>
    </row>
    <row r="17" ht="28" customHeight="1">
      <c r="A17" s="30" t="n">
        <v>14</v>
      </c>
      <c r="B17" s="10" t="inlineStr"/>
      <c r="C17" s="10" t="inlineStr"/>
      <c r="D17" s="10" t="inlineStr"/>
      <c r="E17" s="10" t="inlineStr"/>
      <c r="F17" s="10" t="inlineStr"/>
      <c r="G17" s="10" t="inlineStr"/>
      <c r="H17" s="10" t="inlineStr"/>
      <c r="I17" s="10" t="inlineStr"/>
      <c r="J17" s="10" t="inlineStr"/>
      <c r="K17" s="10" t="inlineStr"/>
    </row>
    <row r="18" ht="28" customHeight="1">
      <c r="A18" s="30" t="n">
        <v>15</v>
      </c>
      <c r="B18" s="10" t="inlineStr"/>
      <c r="C18" s="10" t="inlineStr"/>
      <c r="D18" s="10" t="inlineStr"/>
      <c r="E18" s="10" t="inlineStr"/>
      <c r="F18" s="10" t="inlineStr"/>
      <c r="G18" s="10" t="inlineStr"/>
      <c r="H18" s="10" t="inlineStr"/>
      <c r="I18" s="10" t="inlineStr"/>
      <c r="J18" s="10" t="inlineStr"/>
      <c r="K18" s="10" t="inlineStr"/>
    </row>
    <row r="19" ht="28" customHeight="1">
      <c r="A19" s="30" t="n">
        <v>16</v>
      </c>
      <c r="B19" s="10" t="inlineStr"/>
      <c r="C19" s="10" t="inlineStr"/>
      <c r="D19" s="10" t="inlineStr"/>
      <c r="E19" s="10" t="inlineStr"/>
      <c r="F19" s="10" t="inlineStr"/>
      <c r="G19" s="10" t="inlineStr"/>
      <c r="H19" s="10" t="inlineStr"/>
      <c r="I19" s="10" t="inlineStr"/>
      <c r="J19" s="10" t="inlineStr"/>
      <c r="K19" s="10" t="inlineStr"/>
    </row>
    <row r="20" ht="28" customHeight="1">
      <c r="A20" s="30" t="n">
        <v>17</v>
      </c>
      <c r="B20" s="10" t="inlineStr"/>
      <c r="C20" s="10" t="inlineStr"/>
      <c r="D20" s="10" t="inlineStr"/>
      <c r="E20" s="10" t="inlineStr"/>
      <c r="F20" s="10" t="inlineStr"/>
      <c r="G20" s="10" t="inlineStr"/>
      <c r="H20" s="10" t="inlineStr"/>
      <c r="I20" s="10" t="inlineStr"/>
      <c r="J20" s="10" t="inlineStr"/>
      <c r="K20" s="10" t="inlineStr"/>
    </row>
  </sheetData>
  <mergeCells count="1">
    <mergeCell ref="A1:K1"/>
  </mergeCells>
  <dataValidations count="8">
    <dataValidation sqref="B4:B20" showDropDown="0" showInputMessage="0" showErrorMessage="0" allowBlank="1" error="Vui lòng chọn giá trị hợp lệ từ danh sách!" promptTitle="Trục thông điệp" type="list">
      <formula1>='CAU HINH'!$A$4:$A$9</formula1>
    </dataValidation>
    <dataValidation sqref="E4:E20" showDropDown="0" showInputMessage="0" showErrorMessage="0" allowBlank="1" error="Vui lòng chọn giá trị hợp lệ từ danh sách!" promptTitle="Định dạng visual" type="list">
      <formula1>='CAU HINH'!$M$4:$M$9</formula1>
    </dataValidation>
    <dataValidation sqref="F4:F20" showDropDown="0" showInputMessage="0" showErrorMessage="0" allowBlank="1" error="Vui lòng chọn giá trị hợp lệ từ danh sách!" promptTitle="Yêu cầu media quay chụp" type="list">
      <formula1>='CAU HINH'!$T$4:$T$10</formula1>
    </dataValidation>
    <dataValidation sqref="G4:G20" showDropDown="0" showInputMessage="0" showErrorMessage="0" allowBlank="1" error="Vui lòng chọn giá trị hợp lệ từ danh sách!" promptTitle="Kêu gọi hành động CTA" type="list">
      <formula1>='CAU HINH'!$N$4:$N$8</formula1>
    </dataValidation>
    <dataValidation sqref="H4:H20" showDropDown="0" showInputMessage="0" showErrorMessage="0" allowBlank="1" error="Vui lòng chọn giá trị hợp lệ từ danh sách!" promptTitle="Đối tượng xem" type="list">
      <formula1>='CAU HINH'!$P$4:$P$8</formula1>
    </dataValidation>
    <dataValidation sqref="I4:I20" showDropDown="0" showInputMessage="0" showErrorMessage="0" allowBlank="1" error="Vui lòng chọn giá trị hợp lệ từ danh sách!" promptTitle="Người phụ trách" type="list">
      <formula1>='CAU HINH'!$H$4:$H$7</formula1>
    </dataValidation>
    <dataValidation sqref="J4:J20" showDropDown="0" showInputMessage="0" showErrorMessage="0" allowBlank="1" error="Vui lòng chọn giá trị hợp lệ từ danh sách!" promptTitle="Hỗ trợ visual" type="list">
      <formula1>='CAU HINH'!$H$4:$H$7</formula1>
    </dataValidation>
    <dataValidation sqref="K4:K20" showDropDown="0" showInputMessage="0" showErrorMessage="0" allowBlank="1" error="Vui lòng chọn giá trị hợp lệ từ danh sách!" promptTitle="Trạng thái content" type="list">
      <formula1>='CAU HINH'!$O$4:$O$8</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5"/>
  <sheetViews>
    <sheetView showGridLines="1" workbookViewId="0">
      <selection activeCell="A1" sqref="A1"/>
    </sheetView>
  </sheetViews>
  <sheetFormatPr baseColWidth="8" defaultRowHeight="15"/>
  <cols>
    <col width="6" customWidth="1" min="1" max="1"/>
    <col width="14" customWidth="1" min="2" max="2"/>
    <col width="12" customWidth="1" min="3" max="3"/>
    <col width="16" customWidth="1" min="4" max="4"/>
    <col width="28" customWidth="1" min="5" max="5"/>
    <col width="20" customWidth="1" min="6" max="6"/>
    <col width="16" customWidth="1" min="7" max="7"/>
    <col width="16" customWidth="1" min="8" max="8"/>
    <col width="16" customWidth="1" min="9" max="9"/>
    <col width="32" customWidth="1" min="10" max="10"/>
    <col width="26" customWidth="1" min="11" max="11"/>
    <col width="16" customWidth="1" min="12" max="12"/>
    <col width="16" customWidth="1" min="13" max="13"/>
    <col width="34" customWidth="1" min="14" max="14"/>
    <col width="4" customWidth="1" min="15" max="15"/>
    <col width="6" customWidth="1" min="16" max="16"/>
    <col width="16" customWidth="1" min="17" max="17"/>
    <col width="12" customWidth="1" min="18" max="18"/>
    <col width="14" customWidth="1" min="19" max="19"/>
    <col width="12" customWidth="1" min="20" max="20"/>
  </cols>
  <sheetData>
    <row r="1" ht="36" customHeight="1">
      <c r="A1" s="1" t="inlineStr">
        <is>
          <t>🤝 DANH SÁCH TIẾP NHẬN LEAD ĐẠI LÝ &amp; GHI NHẬN NHU CẦU ĐỂ TÌM 'SẢN PHẨM WIN'</t>
        </is>
      </c>
    </row>
    <row r="2" ht="18" customHeight="1">
      <c r="A2" s="2" t="inlineStr">
        <is>
          <t>TỔNG LEAD THU VỀ</t>
        </is>
      </c>
      <c r="D2" s="3" t="inlineStr">
        <is>
          <t>LEAD ĐÚNG CHÂN DUNG CỬA HÀNG</t>
        </is>
      </c>
      <c r="G2" s="2" t="inlineStr">
        <is>
          <t>ĐÃ GỬI BÁO GIÁ / CATALOGUE</t>
        </is>
      </c>
      <c r="J2" s="4" t="inlineStr">
        <is>
          <t>HẸN HỢP TÁC / MỞ ĐIỂM BÁN</t>
        </is>
      </c>
      <c r="M2" s="2" t="inlineStr">
        <is>
          <t>TỶ LỆ CHỐT LEAD</t>
        </is>
      </c>
      <c r="P2" s="38" t="inlineStr">
        <is>
          <t>🎯 BẢNG CHỈ TIÊU KPI &amp; THỰC ĐẠT THEO CHIẾN DỊCH</t>
        </is>
      </c>
    </row>
    <row r="3" ht="26" customHeight="1">
      <c r="A3" s="24">
        <f>COUNTA(B5:B50)</f>
        <v/>
      </c>
      <c r="D3" s="26">
        <f>COUNTIF(M5:M50, "Nóng") + COUNTIF(M5:M50, "Ấm")</f>
        <v/>
      </c>
      <c r="G3" s="24">
        <f>COUNTIF(K5:K50, "*Báo giá*") + COUNTIF(K5:K50, "*Catalogue*")</f>
        <v/>
      </c>
      <c r="J3" s="25">
        <f>COUNTIF(K5:K50, "*ký thỏa thuận*") + COUNTIF(K5:K50, "*hẹn*")</f>
        <v/>
      </c>
      <c r="M3" s="27">
        <f>IF(COUNTA(B5:B50)&gt;0, COUNTIF(K5:K50, "*ký thỏa thuận*")/COUNTA(B5:B50), 0)</f>
        <v/>
      </c>
    </row>
    <row r="4" ht="26" customHeight="1">
      <c r="A4" s="9" t="inlineStr">
        <is>
          <t>STT</t>
        </is>
      </c>
      <c r="B4" s="9" t="inlineStr">
        <is>
          <t>Mã Lead</t>
        </is>
      </c>
      <c r="C4" s="9" t="inlineStr">
        <is>
          <t>Ngày Nhận</t>
        </is>
      </c>
      <c r="D4" s="9" t="inlineStr">
        <is>
          <t>Chiến Dịch FB</t>
        </is>
      </c>
      <c r="E4" s="9" t="inlineStr">
        <is>
          <t>Tên Cửa Hàng / Đại Lý</t>
        </is>
      </c>
      <c r="F4" s="9" t="inlineStr">
        <is>
          <t>Người Liên Hệ</t>
        </is>
      </c>
      <c r="G4" s="9" t="inlineStr">
        <is>
          <t>Chức Vụ</t>
        </is>
      </c>
      <c r="H4" s="9" t="inlineStr">
        <is>
          <t>Số Điện Thoại / Zalo</t>
        </is>
      </c>
      <c r="I4" s="9" t="inlineStr">
        <is>
          <t>Tỉnh / Khu Vực</t>
        </is>
      </c>
      <c r="J4" s="9" t="inlineStr">
        <is>
          <t>Dòng Hàng Khách Hỏi Nhiều Nhất (Tìm SP Win)</t>
        </is>
      </c>
      <c r="K4" s="9" t="inlineStr">
        <is>
          <t>Trạng Thái Xử Lý</t>
        </is>
      </c>
      <c r="L4" s="9" t="inlineStr">
        <is>
          <t>Người Tiếp Nhận</t>
        </is>
      </c>
      <c r="M4" s="9" t="inlineStr">
        <is>
          <t>Đánh Giá Chất Lượng</t>
        </is>
      </c>
      <c r="N4" s="9" t="inlineStr">
        <is>
          <t>Ghi Chú Chi Tiết Phản Hồi Của Đại Lý</t>
        </is>
      </c>
      <c r="P4" s="9" t="inlineStr">
        <is>
          <t>STT</t>
        </is>
      </c>
      <c r="Q4" s="9" t="inlineStr">
        <is>
          <t>Chiến Dịch FB</t>
        </is>
      </c>
      <c r="R4" s="9" t="inlineStr">
        <is>
          <t>KPI Lead</t>
        </is>
      </c>
      <c r="S4" s="9" t="inlineStr">
        <is>
          <t>Lead Đã Nhận</t>
        </is>
      </c>
      <c r="T4" s="9" t="inlineStr">
        <is>
          <t>Tỷ Lệ Đạt</t>
        </is>
      </c>
    </row>
    <row r="5" ht="24" customHeight="1">
      <c r="A5" s="11" t="n">
        <v>1</v>
      </c>
      <c r="B5" s="11" t="inlineStr">
        <is>
          <t>FB-DL-001</t>
        </is>
      </c>
      <c r="C5" s="11" t="inlineStr">
        <is>
          <t>06/10/2026</t>
        </is>
      </c>
      <c r="D5" s="11" t="inlineStr">
        <is>
          <t>Campaign 1</t>
        </is>
      </c>
      <c r="E5" s="13" t="inlineStr">
        <is>
          <t>Cửa Hàng Kim Khí &amp; Điện Nước Tuấn Phát</t>
        </is>
      </c>
      <c r="F5" s="13" t="inlineStr">
        <is>
          <t>Anh Nguyễn Văn Tuấn</t>
        </is>
      </c>
      <c r="G5" s="11" t="inlineStr">
        <is>
          <t>Chủ cửa hàng</t>
        </is>
      </c>
      <c r="H5" s="11" t="inlineStr">
        <is>
          <t>0912 345 678</t>
        </is>
      </c>
      <c r="I5" s="11" t="inlineStr">
        <is>
          <t>Đồng Nai</t>
        </is>
      </c>
      <c r="J5" s="13" t="inlineStr">
        <is>
          <t>Đá cắt &amp; Đá mài (Vật tư tiêu hao)</t>
        </is>
      </c>
      <c r="K5" s="13" t="inlineStr">
        <is>
          <t>3-Đã gửi Báo giá &amp; Chính sách</t>
        </is>
      </c>
      <c r="L5" s="11" t="inlineStr">
        <is>
          <t>Kiều Thương (Chạy ads chính)</t>
        </is>
      </c>
      <c r="M5" s="11" t="inlineStr">
        <is>
          <t>Nóng (Muốn hợp tác ngay)</t>
        </is>
      </c>
      <c r="N5" s="13" t="inlineStr">
        <is>
          <t>Khách hỏi kỹ giá đá cắt 107mm và 355mm, muốn so sánh giá với thương hiệu khác</t>
        </is>
      </c>
      <c r="P5" s="11" t="n">
        <v>1</v>
      </c>
      <c r="Q5" s="11" t="inlineStr">
        <is>
          <t>Campaign 1</t>
        </is>
      </c>
      <c r="R5" s="16">
        <f>'TONG QUAN &amp; KPI TEST B2B'!J13</f>
        <v/>
      </c>
      <c r="S5" s="16">
        <f>COUNTIF(D$5:D$100, Q5)</f>
        <v/>
      </c>
      <c r="T5" s="17">
        <f>IF(R5&gt;0, S5/R5, 0)</f>
        <v/>
      </c>
    </row>
    <row r="6" ht="24" customHeight="1">
      <c r="A6" s="11" t="n">
        <v>2</v>
      </c>
      <c r="B6" s="11" t="inlineStr">
        <is>
          <t>FB-DL-002</t>
        </is>
      </c>
      <c r="C6" s="11" t="inlineStr">
        <is>
          <t>06/10/2026</t>
        </is>
      </c>
      <c r="D6" s="11" t="inlineStr">
        <is>
          <t>Campaign 2</t>
        </is>
      </c>
      <c r="E6" s="13" t="inlineStr">
        <is>
          <t>Đại Lý Dụng Cụ Cơ Khí Hoàng Gia</t>
        </is>
      </c>
      <c r="F6" s="13" t="inlineStr">
        <is>
          <t>Anh Hoàng Văn Nam</t>
        </is>
      </c>
      <c r="G6" s="11" t="inlineStr">
        <is>
          <t>Chủ đại lý</t>
        </is>
      </c>
      <c r="H6" s="11" t="inlineStr">
        <is>
          <t>0988 123 456</t>
        </is>
      </c>
      <c r="I6" s="11" t="inlineStr">
        <is>
          <t>Bình Dương</t>
        </is>
      </c>
      <c r="J6" s="13" t="inlineStr">
        <is>
          <t>Combo mở điểm bán mới</t>
        </is>
      </c>
      <c r="K6" s="13" t="inlineStr">
        <is>
          <t>4-Đã ký thỏa thuận phân phối</t>
        </is>
      </c>
      <c r="L6" s="11" t="inlineStr">
        <is>
          <t>Kiều Thương (Chạy ads chính)</t>
        </is>
      </c>
      <c r="M6" s="11" t="inlineStr">
        <is>
          <t>Nóng (Muốn hợp tác ngay)</t>
        </is>
      </c>
      <c r="N6" s="13" t="inlineStr">
        <is>
          <t>Mặt bằng đẹp mặt tiền đường lớn, duyệt lắp kệ trưng bày King Blue và nhập dải máy pin</t>
        </is>
      </c>
      <c r="P6" s="11" t="n">
        <v>2</v>
      </c>
      <c r="Q6" s="11" t="inlineStr">
        <is>
          <t>Campaign 2</t>
        </is>
      </c>
      <c r="R6" s="16">
        <f>'TONG QUAN &amp; KPI TEST B2B'!J14</f>
        <v/>
      </c>
      <c r="S6" s="16">
        <f>COUNTIF(D$5:D$100, Q6)</f>
        <v/>
      </c>
      <c r="T6" s="17">
        <f>IF(R6&gt;0, S6/R6, 0)</f>
        <v/>
      </c>
    </row>
    <row r="7" ht="24" customHeight="1">
      <c r="A7" s="11" t="n">
        <v>3</v>
      </c>
      <c r="B7" s="11" t="inlineStr">
        <is>
          <t>FB-DL-003</t>
        </is>
      </c>
      <c r="C7" s="11" t="inlineStr">
        <is>
          <t>07/10/2026</t>
        </is>
      </c>
      <c r="D7" s="11" t="inlineStr">
        <is>
          <t>Campaign 3</t>
        </is>
      </c>
      <c r="E7" s="13" t="inlineStr">
        <is>
          <t>Cửa Hàng Thiết Bị Điện Cơ Tân Phát</t>
        </is>
      </c>
      <c r="F7" s="13" t="inlineStr">
        <is>
          <t>Anh Lê Quốc Tuấn</t>
        </is>
      </c>
      <c r="G7" s="11" t="inlineStr">
        <is>
          <t>Chủ tiệm</t>
        </is>
      </c>
      <c r="H7" s="11" t="inlineStr">
        <is>
          <t>0903 789 012</t>
        </is>
      </c>
      <c r="I7" s="11" t="inlineStr">
        <is>
          <t>Cần Thơ</t>
        </is>
      </c>
      <c r="J7" s="13" t="inlineStr">
        <is>
          <t>Máy pin Brushless 21V</t>
        </is>
      </c>
      <c r="K7" s="13" t="inlineStr">
        <is>
          <t>2-Đã tư vấn &amp; Gửi Catalogue</t>
        </is>
      </c>
      <c r="L7" s="11" t="inlineStr">
        <is>
          <t>Kiều Thương (Chạy ads chính)</t>
        </is>
      </c>
      <c r="M7" s="11" t="inlineStr">
        <is>
          <t>Ấm (Đang xem chiết khấu)</t>
        </is>
      </c>
      <c r="N7" s="13" t="inlineStr">
        <is>
          <t>Tải catalogue xong nhắn hỏi máy pin có dùng chung chân pin Makita phổ thông không</t>
        </is>
      </c>
      <c r="P7" s="11" t="n">
        <v>3</v>
      </c>
      <c r="Q7" s="11" t="inlineStr">
        <is>
          <t>Campaign 3</t>
        </is>
      </c>
      <c r="R7" s="16">
        <f>'TONG QUAN &amp; KPI TEST B2B'!J15</f>
        <v/>
      </c>
      <c r="S7" s="16">
        <f>COUNTIF(D$5:D$100, Q7)</f>
        <v/>
      </c>
      <c r="T7" s="17">
        <f>IF(R7&gt;0, S7/R7, 0)</f>
        <v/>
      </c>
    </row>
    <row r="8" ht="24" customHeight="1">
      <c r="A8" s="11" t="n">
        <v>4</v>
      </c>
      <c r="B8" s="11" t="inlineStr">
        <is>
          <t>FB-DL-004</t>
        </is>
      </c>
      <c r="C8" s="11" t="inlineStr">
        <is>
          <t>07/10/2026</t>
        </is>
      </c>
      <c r="D8" s="11" t="inlineStr">
        <is>
          <t>Campaign 2</t>
        </is>
      </c>
      <c r="E8" s="13" t="inlineStr">
        <is>
          <t>Vật Liệu Xây Dựng &amp; Kim Khí Việt Thắng</t>
        </is>
      </c>
      <c r="F8" s="13" t="inlineStr">
        <is>
          <t>Anh Phạm Văn Thắng</t>
        </is>
      </c>
      <c r="G8" s="11" t="inlineStr">
        <is>
          <t>Chủ đại lý</t>
        </is>
      </c>
      <c r="H8" s="11" t="inlineStr">
        <is>
          <t>0977 654 321</t>
        </is>
      </c>
      <c r="I8" s="11" t="inlineStr">
        <is>
          <t>Bắc Giang</t>
        </is>
      </c>
      <c r="J8" s="13" t="inlineStr">
        <is>
          <t>Combo mở điểm bán mới</t>
        </is>
      </c>
      <c r="K8" s="13" t="inlineStr">
        <is>
          <t>3-Đã gửi Báo giá &amp; Chính sách</t>
        </is>
      </c>
      <c r="L8" s="11" t="inlineStr">
        <is>
          <t>Kiều Thương (Chạy ads chính)</t>
        </is>
      </c>
      <c r="M8" s="11" t="inlineStr">
        <is>
          <t>Nóng (Muốn hợp tác ngay)</t>
        </is>
      </c>
      <c r="N8" s="13" t="inlineStr">
        <is>
          <t>Chuẩn bị mở thêm chi nhánh, cần tư vấn danh mục 30 món hàng kim khí bán chạy nhất</t>
        </is>
      </c>
      <c r="P8" s="11" t="n">
        <v>4</v>
      </c>
      <c r="Q8" s="11" t="inlineStr">
        <is>
          <t>Campaign 4</t>
        </is>
      </c>
      <c r="R8" s="16">
        <f>'TONG QUAN &amp; KPI TEST B2B'!J16</f>
        <v/>
      </c>
      <c r="S8" s="16">
        <f>COUNTIF(D$5:D$100, Q8)</f>
        <v/>
      </c>
      <c r="T8" s="17">
        <f>IF(R8&gt;0, S8/R8, 0)</f>
        <v/>
      </c>
    </row>
    <row r="9" ht="24" customHeight="1">
      <c r="A9" s="11" t="n">
        <v>5</v>
      </c>
      <c r="B9" s="11" t="inlineStr">
        <is>
          <t>FB-DL-005</t>
        </is>
      </c>
      <c r="C9" s="11" t="inlineStr">
        <is>
          <t>08/10/2026</t>
        </is>
      </c>
      <c r="D9" s="11" t="inlineStr">
        <is>
          <t>Campaign 3</t>
        </is>
      </c>
      <c r="E9" s="13" t="inlineStr">
        <is>
          <t>Cửa Hàng Dụng Cụ Cầm Tay Tiến Phát</t>
        </is>
      </c>
      <c r="F9" s="13" t="inlineStr">
        <is>
          <t>Anh Trần Tiến Phát</t>
        </is>
      </c>
      <c r="G9" s="11" t="inlineStr">
        <is>
          <t>Chủ cửa hàng</t>
        </is>
      </c>
      <c r="H9" s="11" t="inlineStr">
        <is>
          <t>0934 567 890</t>
        </is>
      </c>
      <c r="I9" s="11" t="inlineStr">
        <is>
          <t>Hải Phòng</t>
        </is>
      </c>
      <c r="J9" s="13" t="inlineStr">
        <is>
          <t>Dụng cụ cầm tay &amp; Thước cuộn</t>
        </is>
      </c>
      <c r="K9" s="13" t="inlineStr">
        <is>
          <t>2-Đã tư vấn &amp; Gửi Catalogue</t>
        </is>
      </c>
      <c r="L9" s="11" t="inlineStr">
        <is>
          <t>Kiều Thương (Chạy ads chính)</t>
        </is>
      </c>
      <c r="M9" s="11" t="inlineStr">
        <is>
          <t>Ấm (Đang xem chiết khấu)</t>
        </is>
      </c>
      <c r="N9" s="13" t="inlineStr">
        <is>
          <t>Quan tâm kìm, cờ lê, thước cuộn tự hãm King Blue, đã gửi catalogue bản in</t>
        </is>
      </c>
      <c r="P9" s="18" t="inlineStr">
        <is>
          <t>TỔNG CỘNG</t>
        </is>
      </c>
      <c r="Q9" s="10" t="n"/>
      <c r="R9" s="22">
        <f>SUM(R5:R8)</f>
        <v/>
      </c>
      <c r="S9" s="39">
        <f>SUM(S5:S8)</f>
        <v/>
      </c>
      <c r="T9" s="23">
        <f>IF(R9&gt;0, S9/R9, 0)</f>
        <v/>
      </c>
    </row>
    <row r="10" ht="24" customHeight="1">
      <c r="A10" s="11" t="n">
        <v>6</v>
      </c>
      <c r="B10" s="11" t="inlineStr">
        <is>
          <t>FB-DL-006</t>
        </is>
      </c>
      <c r="C10" s="11" t="inlineStr">
        <is>
          <t>08/10/2026</t>
        </is>
      </c>
      <c r="D10" s="11" t="inlineStr">
        <is>
          <t>Campaign 4</t>
        </is>
      </c>
      <c r="E10" s="13" t="inlineStr">
        <is>
          <t>Đại Lý Phụ Kiện Kim Khí Quang Dũng</t>
        </is>
      </c>
      <c r="F10" s="13" t="inlineStr">
        <is>
          <t>Anh Vũ Quang Dũng</t>
        </is>
      </c>
      <c r="G10" s="11" t="inlineStr">
        <is>
          <t>Chủ tiệm</t>
        </is>
      </c>
      <c r="H10" s="11" t="inlineStr">
        <is>
          <t>0968 112 233</t>
        </is>
      </c>
      <c r="I10" s="11" t="inlineStr">
        <is>
          <t>Thanh Hóa</t>
        </is>
      </c>
      <c r="J10" s="13" t="inlineStr">
        <is>
          <t>Đá cắt &amp; Đá mài (Vật tư tiêu hao)</t>
        </is>
      </c>
      <c r="K10" s="13" t="inlineStr">
        <is>
          <t>1-Mới tiếp nhận (Chờ gọi)</t>
        </is>
      </c>
      <c r="L10" s="11" t="inlineStr">
        <is>
          <t>Kiều Thương (Chạy ads chính)</t>
        </is>
      </c>
      <c r="M10" s="11" t="inlineStr">
        <is>
          <t>Nóng (Muốn hợp tác ngay)</t>
        </is>
      </c>
      <c r="N10" s="13" t="inlineStr">
        <is>
          <t>Lead mới đổ về, quan tâm chính sách bảo vệ giá và độc quyền khu vực huyện</t>
        </is>
      </c>
    </row>
    <row r="11" ht="20" customHeight="1">
      <c r="A11" s="30" t="n">
        <v>7</v>
      </c>
      <c r="B11" s="10" t="inlineStr"/>
      <c r="C11" s="10" t="inlineStr"/>
      <c r="D11" s="10" t="inlineStr"/>
      <c r="E11" s="10" t="inlineStr"/>
      <c r="F11" s="10" t="inlineStr"/>
      <c r="G11" s="10" t="inlineStr"/>
      <c r="H11" s="10" t="inlineStr"/>
      <c r="I11" s="10" t="inlineStr"/>
      <c r="J11" s="10" t="inlineStr"/>
      <c r="K11" s="10" t="inlineStr"/>
      <c r="L11" s="10" t="inlineStr"/>
      <c r="M11" s="10" t="inlineStr"/>
      <c r="N11" s="10" t="inlineStr"/>
    </row>
    <row r="12" ht="20" customHeight="1">
      <c r="A12" s="30" t="n">
        <v>8</v>
      </c>
      <c r="B12" s="10" t="inlineStr"/>
      <c r="C12" s="10" t="inlineStr"/>
      <c r="D12" s="10" t="inlineStr"/>
      <c r="E12" s="10" t="inlineStr"/>
      <c r="F12" s="10" t="inlineStr"/>
      <c r="G12" s="10" t="inlineStr"/>
      <c r="H12" s="10" t="inlineStr"/>
      <c r="I12" s="10" t="inlineStr"/>
      <c r="J12" s="10" t="inlineStr"/>
      <c r="K12" s="10" t="inlineStr"/>
      <c r="L12" s="10" t="inlineStr"/>
      <c r="M12" s="10" t="inlineStr"/>
      <c r="N12" s="10" t="inlineStr"/>
    </row>
    <row r="13" ht="20" customHeight="1">
      <c r="A13" s="30" t="n">
        <v>9</v>
      </c>
      <c r="B13" s="10" t="inlineStr"/>
      <c r="C13" s="10" t="inlineStr"/>
      <c r="D13" s="10" t="inlineStr"/>
      <c r="E13" s="10" t="inlineStr"/>
      <c r="F13" s="10" t="inlineStr"/>
      <c r="G13" s="10" t="inlineStr"/>
      <c r="H13" s="10" t="inlineStr"/>
      <c r="I13" s="10" t="inlineStr"/>
      <c r="J13" s="10" t="inlineStr"/>
      <c r="K13" s="10" t="inlineStr"/>
      <c r="L13" s="10" t="inlineStr"/>
      <c r="M13" s="10" t="inlineStr"/>
      <c r="N13" s="10" t="inlineStr"/>
    </row>
    <row r="14" ht="20" customHeight="1">
      <c r="A14" s="30" t="n">
        <v>10</v>
      </c>
      <c r="B14" s="10" t="inlineStr"/>
      <c r="C14" s="10" t="inlineStr"/>
      <c r="D14" s="10" t="inlineStr"/>
      <c r="E14" s="10" t="inlineStr"/>
      <c r="F14" s="10" t="inlineStr"/>
      <c r="G14" s="10" t="inlineStr"/>
      <c r="H14" s="10" t="inlineStr"/>
      <c r="I14" s="10" t="inlineStr"/>
      <c r="J14" s="10" t="inlineStr"/>
      <c r="K14" s="10" t="inlineStr"/>
      <c r="L14" s="10" t="inlineStr"/>
      <c r="M14" s="10" t="inlineStr"/>
      <c r="N14" s="10" t="inlineStr"/>
    </row>
    <row r="15" ht="20" customHeight="1">
      <c r="A15" s="30" t="n">
        <v>11</v>
      </c>
      <c r="B15" s="10" t="inlineStr"/>
      <c r="C15" s="10" t="inlineStr"/>
      <c r="D15" s="10" t="inlineStr"/>
      <c r="E15" s="10" t="inlineStr"/>
      <c r="F15" s="10" t="inlineStr"/>
      <c r="G15" s="10" t="inlineStr"/>
      <c r="H15" s="10" t="inlineStr"/>
      <c r="I15" s="10" t="inlineStr"/>
      <c r="J15" s="10" t="inlineStr"/>
      <c r="K15" s="10" t="inlineStr"/>
      <c r="L15" s="10" t="inlineStr"/>
      <c r="M15" s="10" t="inlineStr"/>
      <c r="N15" s="10" t="inlineStr"/>
    </row>
    <row r="16" ht="20" customHeight="1">
      <c r="A16" s="30" t="n">
        <v>12</v>
      </c>
      <c r="B16" s="10" t="inlineStr"/>
      <c r="C16" s="10" t="inlineStr"/>
      <c r="D16" s="10" t="inlineStr"/>
      <c r="E16" s="10" t="inlineStr"/>
      <c r="F16" s="10" t="inlineStr"/>
      <c r="G16" s="10" t="inlineStr"/>
      <c r="H16" s="10" t="inlineStr"/>
      <c r="I16" s="10" t="inlineStr"/>
      <c r="J16" s="10" t="inlineStr"/>
      <c r="K16" s="10" t="inlineStr"/>
      <c r="L16" s="10" t="inlineStr"/>
      <c r="M16" s="10" t="inlineStr"/>
      <c r="N16" s="10" t="inlineStr"/>
    </row>
    <row r="17" ht="20" customHeight="1">
      <c r="A17" s="30" t="n">
        <v>13</v>
      </c>
      <c r="B17" s="10" t="inlineStr"/>
      <c r="C17" s="10" t="inlineStr"/>
      <c r="D17" s="10" t="inlineStr"/>
      <c r="E17" s="10" t="inlineStr"/>
      <c r="F17" s="10" t="inlineStr"/>
      <c r="G17" s="10" t="inlineStr"/>
      <c r="H17" s="10" t="inlineStr"/>
      <c r="I17" s="10" t="inlineStr"/>
      <c r="J17" s="10" t="inlineStr"/>
      <c r="K17" s="10" t="inlineStr"/>
      <c r="L17" s="10" t="inlineStr"/>
      <c r="M17" s="10" t="inlineStr"/>
      <c r="N17" s="10" t="inlineStr"/>
    </row>
    <row r="18" ht="20" customHeight="1">
      <c r="A18" s="30" t="n">
        <v>14</v>
      </c>
      <c r="B18" s="10" t="inlineStr"/>
      <c r="C18" s="10" t="inlineStr"/>
      <c r="D18" s="10" t="inlineStr"/>
      <c r="E18" s="10" t="inlineStr"/>
      <c r="F18" s="10" t="inlineStr"/>
      <c r="G18" s="10" t="inlineStr"/>
      <c r="H18" s="10" t="inlineStr"/>
      <c r="I18" s="10" t="inlineStr"/>
      <c r="J18" s="10" t="inlineStr"/>
      <c r="K18" s="10" t="inlineStr"/>
      <c r="L18" s="10" t="inlineStr"/>
      <c r="M18" s="10" t="inlineStr"/>
      <c r="N18" s="10" t="inlineStr"/>
    </row>
    <row r="19" ht="20" customHeight="1">
      <c r="A19" s="30" t="n">
        <v>15</v>
      </c>
      <c r="B19" s="10" t="inlineStr"/>
      <c r="C19" s="10" t="inlineStr"/>
      <c r="D19" s="10" t="inlineStr"/>
      <c r="E19" s="10" t="inlineStr"/>
      <c r="F19" s="10" t="inlineStr"/>
      <c r="G19" s="10" t="inlineStr"/>
      <c r="H19" s="10" t="inlineStr"/>
      <c r="I19" s="10" t="inlineStr"/>
      <c r="J19" s="10" t="inlineStr"/>
      <c r="K19" s="10" t="inlineStr"/>
      <c r="L19" s="10" t="inlineStr"/>
      <c r="M19" s="10" t="inlineStr"/>
      <c r="N19" s="10" t="inlineStr"/>
    </row>
    <row r="20" ht="20" customHeight="1">
      <c r="A20" s="30" t="n">
        <v>16</v>
      </c>
      <c r="B20" s="10" t="inlineStr"/>
      <c r="C20" s="10" t="inlineStr"/>
      <c r="D20" s="10" t="inlineStr"/>
      <c r="E20" s="10" t="inlineStr"/>
      <c r="F20" s="10" t="inlineStr"/>
      <c r="G20" s="10" t="inlineStr"/>
      <c r="H20" s="10" t="inlineStr"/>
      <c r="I20" s="10" t="inlineStr"/>
      <c r="J20" s="10" t="inlineStr"/>
      <c r="K20" s="10" t="inlineStr"/>
      <c r="L20" s="10" t="inlineStr"/>
      <c r="M20" s="10" t="inlineStr"/>
      <c r="N20" s="10" t="inlineStr"/>
    </row>
    <row r="21" ht="20" customHeight="1">
      <c r="A21" s="30" t="n">
        <v>17</v>
      </c>
      <c r="B21" s="10" t="inlineStr"/>
      <c r="C21" s="10" t="inlineStr"/>
      <c r="D21" s="10" t="inlineStr"/>
      <c r="E21" s="10" t="inlineStr"/>
      <c r="F21" s="10" t="inlineStr"/>
      <c r="G21" s="10" t="inlineStr"/>
      <c r="H21" s="10" t="inlineStr"/>
      <c r="I21" s="10" t="inlineStr"/>
      <c r="J21" s="10" t="inlineStr"/>
      <c r="K21" s="10" t="inlineStr"/>
      <c r="L21" s="10" t="inlineStr"/>
      <c r="M21" s="10" t="inlineStr"/>
      <c r="N21" s="10" t="inlineStr"/>
    </row>
    <row r="22" ht="20" customHeight="1">
      <c r="A22" s="30" t="n">
        <v>18</v>
      </c>
      <c r="B22" s="10" t="inlineStr"/>
      <c r="C22" s="10" t="inlineStr"/>
      <c r="D22" s="10" t="inlineStr"/>
      <c r="E22" s="10" t="inlineStr"/>
      <c r="F22" s="10" t="inlineStr"/>
      <c r="G22" s="10" t="inlineStr"/>
      <c r="H22" s="10" t="inlineStr"/>
      <c r="I22" s="10" t="inlineStr"/>
      <c r="J22" s="10" t="inlineStr"/>
      <c r="K22" s="10" t="inlineStr"/>
      <c r="L22" s="10" t="inlineStr"/>
      <c r="M22" s="10" t="inlineStr"/>
      <c r="N22" s="10" t="inlineStr"/>
    </row>
    <row r="23" ht="20" customHeight="1">
      <c r="A23" s="30" t="n">
        <v>19</v>
      </c>
      <c r="B23" s="10" t="inlineStr"/>
      <c r="C23" s="10" t="inlineStr"/>
      <c r="D23" s="10" t="inlineStr"/>
      <c r="E23" s="10" t="inlineStr"/>
      <c r="F23" s="10" t="inlineStr"/>
      <c r="G23" s="10" t="inlineStr"/>
      <c r="H23" s="10" t="inlineStr"/>
      <c r="I23" s="10" t="inlineStr"/>
      <c r="J23" s="10" t="inlineStr"/>
      <c r="K23" s="10" t="inlineStr"/>
      <c r="L23" s="10" t="inlineStr"/>
      <c r="M23" s="10" t="inlineStr"/>
      <c r="N23" s="10" t="inlineStr"/>
    </row>
    <row r="24" ht="20" customHeight="1">
      <c r="A24" s="30" t="n">
        <v>20</v>
      </c>
      <c r="B24" s="10" t="inlineStr"/>
      <c r="C24" s="10" t="inlineStr"/>
      <c r="D24" s="10" t="inlineStr"/>
      <c r="E24" s="10" t="inlineStr"/>
      <c r="F24" s="10" t="inlineStr"/>
      <c r="G24" s="10" t="inlineStr"/>
      <c r="H24" s="10" t="inlineStr"/>
      <c r="I24" s="10" t="inlineStr"/>
      <c r="J24" s="10" t="inlineStr"/>
      <c r="K24" s="10" t="inlineStr"/>
      <c r="L24" s="10" t="inlineStr"/>
      <c r="M24" s="10" t="inlineStr"/>
      <c r="N24" s="10" t="inlineStr"/>
    </row>
    <row r="25" ht="20" customHeight="1">
      <c r="A25" s="30" t="n">
        <v>21</v>
      </c>
      <c r="B25" s="10" t="inlineStr"/>
      <c r="C25" s="10" t="inlineStr"/>
      <c r="D25" s="10" t="inlineStr"/>
      <c r="E25" s="10" t="inlineStr"/>
      <c r="F25" s="10" t="inlineStr"/>
      <c r="G25" s="10" t="inlineStr"/>
      <c r="H25" s="10" t="inlineStr"/>
      <c r="I25" s="10" t="inlineStr"/>
      <c r="J25" s="10" t="inlineStr"/>
      <c r="K25" s="10" t="inlineStr"/>
      <c r="L25" s="10" t="inlineStr"/>
      <c r="M25" s="10" t="inlineStr"/>
      <c r="N25" s="10" t="inlineStr"/>
    </row>
    <row r="26" ht="20" customHeight="1">
      <c r="A26" s="30" t="n">
        <v>22</v>
      </c>
      <c r="B26" s="10" t="inlineStr"/>
      <c r="C26" s="10" t="inlineStr"/>
      <c r="D26" s="10" t="inlineStr"/>
      <c r="E26" s="10" t="inlineStr"/>
      <c r="F26" s="10" t="inlineStr"/>
      <c r="G26" s="10" t="inlineStr"/>
      <c r="H26" s="10" t="inlineStr"/>
      <c r="I26" s="10" t="inlineStr"/>
      <c r="J26" s="10" t="inlineStr"/>
      <c r="K26" s="10" t="inlineStr"/>
      <c r="L26" s="10" t="inlineStr"/>
      <c r="M26" s="10" t="inlineStr"/>
      <c r="N26" s="10" t="inlineStr"/>
    </row>
    <row r="27" ht="20" customHeight="1">
      <c r="A27" s="30" t="n">
        <v>23</v>
      </c>
      <c r="B27" s="10" t="inlineStr"/>
      <c r="C27" s="10" t="inlineStr"/>
      <c r="D27" s="10" t="inlineStr"/>
      <c r="E27" s="10" t="inlineStr"/>
      <c r="F27" s="10" t="inlineStr"/>
      <c r="G27" s="10" t="inlineStr"/>
      <c r="H27" s="10" t="inlineStr"/>
      <c r="I27" s="10" t="inlineStr"/>
      <c r="J27" s="10" t="inlineStr"/>
      <c r="K27" s="10" t="inlineStr"/>
      <c r="L27" s="10" t="inlineStr"/>
      <c r="M27" s="10" t="inlineStr"/>
      <c r="N27" s="10" t="inlineStr"/>
    </row>
    <row r="28" ht="20" customHeight="1">
      <c r="A28" s="30" t="n">
        <v>24</v>
      </c>
      <c r="B28" s="10" t="inlineStr"/>
      <c r="C28" s="10" t="inlineStr"/>
      <c r="D28" s="10" t="inlineStr"/>
      <c r="E28" s="10" t="inlineStr"/>
      <c r="F28" s="10" t="inlineStr"/>
      <c r="G28" s="10" t="inlineStr"/>
      <c r="H28" s="10" t="inlineStr"/>
      <c r="I28" s="10" t="inlineStr"/>
      <c r="J28" s="10" t="inlineStr"/>
      <c r="K28" s="10" t="inlineStr"/>
      <c r="L28" s="10" t="inlineStr"/>
      <c r="M28" s="10" t="inlineStr"/>
      <c r="N28" s="10" t="inlineStr"/>
    </row>
    <row r="29" ht="20" customHeight="1">
      <c r="A29" s="30" t="n">
        <v>25</v>
      </c>
      <c r="B29" s="10" t="inlineStr"/>
      <c r="C29" s="10" t="inlineStr"/>
      <c r="D29" s="10" t="inlineStr"/>
      <c r="E29" s="10" t="inlineStr"/>
      <c r="F29" s="10" t="inlineStr"/>
      <c r="G29" s="10" t="inlineStr"/>
      <c r="H29" s="10" t="inlineStr"/>
      <c r="I29" s="10" t="inlineStr"/>
      <c r="J29" s="10" t="inlineStr"/>
      <c r="K29" s="10" t="inlineStr"/>
      <c r="L29" s="10" t="inlineStr"/>
      <c r="M29" s="10" t="inlineStr"/>
      <c r="N29" s="10" t="inlineStr"/>
    </row>
    <row r="30" ht="20" customHeight="1">
      <c r="A30" s="30" t="n">
        <v>26</v>
      </c>
      <c r="B30" s="10" t="inlineStr"/>
      <c r="C30" s="10" t="inlineStr"/>
      <c r="D30" s="10" t="inlineStr"/>
      <c r="E30" s="10" t="inlineStr"/>
      <c r="F30" s="10" t="inlineStr"/>
      <c r="G30" s="10" t="inlineStr"/>
      <c r="H30" s="10" t="inlineStr"/>
      <c r="I30" s="10" t="inlineStr"/>
      <c r="J30" s="10" t="inlineStr"/>
      <c r="K30" s="10" t="inlineStr"/>
      <c r="L30" s="10" t="inlineStr"/>
      <c r="M30" s="10" t="inlineStr"/>
      <c r="N30" s="10" t="inlineStr"/>
    </row>
    <row r="31" ht="20" customHeight="1">
      <c r="A31" s="30" t="n">
        <v>27</v>
      </c>
      <c r="B31" s="10" t="inlineStr"/>
      <c r="C31" s="10" t="inlineStr"/>
      <c r="D31" s="10" t="inlineStr"/>
      <c r="E31" s="10" t="inlineStr"/>
      <c r="F31" s="10" t="inlineStr"/>
      <c r="G31" s="10" t="inlineStr"/>
      <c r="H31" s="10" t="inlineStr"/>
      <c r="I31" s="10" t="inlineStr"/>
      <c r="J31" s="10" t="inlineStr"/>
      <c r="K31" s="10" t="inlineStr"/>
      <c r="L31" s="10" t="inlineStr"/>
      <c r="M31" s="10" t="inlineStr"/>
      <c r="N31" s="10" t="inlineStr"/>
    </row>
    <row r="32" ht="20" customHeight="1">
      <c r="A32" s="30" t="n">
        <v>28</v>
      </c>
      <c r="B32" s="10" t="inlineStr"/>
      <c r="C32" s="10" t="inlineStr"/>
      <c r="D32" s="10" t="inlineStr"/>
      <c r="E32" s="10" t="inlineStr"/>
      <c r="F32" s="10" t="inlineStr"/>
      <c r="G32" s="10" t="inlineStr"/>
      <c r="H32" s="10" t="inlineStr"/>
      <c r="I32" s="10" t="inlineStr"/>
      <c r="J32" s="10" t="inlineStr"/>
      <c r="K32" s="10" t="inlineStr"/>
      <c r="L32" s="10" t="inlineStr"/>
      <c r="M32" s="10" t="inlineStr"/>
      <c r="N32" s="10" t="inlineStr"/>
    </row>
    <row r="33" ht="20" customHeight="1">
      <c r="A33" s="30" t="n">
        <v>29</v>
      </c>
      <c r="B33" s="10" t="inlineStr"/>
      <c r="C33" s="10" t="inlineStr"/>
      <c r="D33" s="10" t="inlineStr"/>
      <c r="E33" s="10" t="inlineStr"/>
      <c r="F33" s="10" t="inlineStr"/>
      <c r="G33" s="10" t="inlineStr"/>
      <c r="H33" s="10" t="inlineStr"/>
      <c r="I33" s="10" t="inlineStr"/>
      <c r="J33" s="10" t="inlineStr"/>
      <c r="K33" s="10" t="inlineStr"/>
      <c r="L33" s="10" t="inlineStr"/>
      <c r="M33" s="10" t="inlineStr"/>
      <c r="N33" s="10" t="inlineStr"/>
    </row>
    <row r="34" ht="20" customHeight="1">
      <c r="A34" s="30" t="n">
        <v>30</v>
      </c>
      <c r="B34" s="10" t="inlineStr"/>
      <c r="C34" s="10" t="inlineStr"/>
      <c r="D34" s="10" t="inlineStr"/>
      <c r="E34" s="10" t="inlineStr"/>
      <c r="F34" s="10" t="inlineStr"/>
      <c r="G34" s="10" t="inlineStr"/>
      <c r="H34" s="10" t="inlineStr"/>
      <c r="I34" s="10" t="inlineStr"/>
      <c r="J34" s="10" t="inlineStr"/>
      <c r="K34" s="10" t="inlineStr"/>
      <c r="L34" s="10" t="inlineStr"/>
      <c r="M34" s="10" t="inlineStr"/>
      <c r="N34" s="10" t="inlineStr"/>
    </row>
    <row r="35" ht="20" customHeight="1">
      <c r="A35" s="30" t="n">
        <v>31</v>
      </c>
      <c r="B35" s="10" t="inlineStr"/>
      <c r="C35" s="10" t="inlineStr"/>
      <c r="D35" s="10" t="inlineStr"/>
      <c r="E35" s="10" t="inlineStr"/>
      <c r="F35" s="10" t="inlineStr"/>
      <c r="G35" s="10" t="inlineStr"/>
      <c r="H35" s="10" t="inlineStr"/>
      <c r="I35" s="10" t="inlineStr"/>
      <c r="J35" s="10" t="inlineStr"/>
      <c r="K35" s="10" t="inlineStr"/>
      <c r="L35" s="10" t="inlineStr"/>
      <c r="M35" s="10" t="inlineStr"/>
      <c r="N35" s="10" t="inlineStr"/>
    </row>
    <row r="36" ht="20" customHeight="1">
      <c r="A36" s="30" t="n">
        <v>32</v>
      </c>
      <c r="B36" s="10" t="inlineStr"/>
      <c r="C36" s="10" t="inlineStr"/>
      <c r="D36" s="10" t="inlineStr"/>
      <c r="E36" s="10" t="inlineStr"/>
      <c r="F36" s="10" t="inlineStr"/>
      <c r="G36" s="10" t="inlineStr"/>
      <c r="H36" s="10" t="inlineStr"/>
      <c r="I36" s="10" t="inlineStr"/>
      <c r="J36" s="10" t="inlineStr"/>
      <c r="K36" s="10" t="inlineStr"/>
      <c r="L36" s="10" t="inlineStr"/>
      <c r="M36" s="10" t="inlineStr"/>
      <c r="N36" s="10" t="inlineStr"/>
    </row>
    <row r="37" ht="20" customHeight="1">
      <c r="A37" s="30" t="n">
        <v>33</v>
      </c>
      <c r="B37" s="10" t="inlineStr"/>
      <c r="C37" s="10" t="inlineStr"/>
      <c r="D37" s="10" t="inlineStr"/>
      <c r="E37" s="10" t="inlineStr"/>
      <c r="F37" s="10" t="inlineStr"/>
      <c r="G37" s="10" t="inlineStr"/>
      <c r="H37" s="10" t="inlineStr"/>
      <c r="I37" s="10" t="inlineStr"/>
      <c r="J37" s="10" t="inlineStr"/>
      <c r="K37" s="10" t="inlineStr"/>
      <c r="L37" s="10" t="inlineStr"/>
      <c r="M37" s="10" t="inlineStr"/>
      <c r="N37" s="10" t="inlineStr"/>
    </row>
    <row r="38" ht="20" customHeight="1">
      <c r="A38" s="30" t="n">
        <v>34</v>
      </c>
      <c r="B38" s="10" t="inlineStr"/>
      <c r="C38" s="10" t="inlineStr"/>
      <c r="D38" s="10" t="inlineStr"/>
      <c r="E38" s="10" t="inlineStr"/>
      <c r="F38" s="10" t="inlineStr"/>
      <c r="G38" s="10" t="inlineStr"/>
      <c r="H38" s="10" t="inlineStr"/>
      <c r="I38" s="10" t="inlineStr"/>
      <c r="J38" s="10" t="inlineStr"/>
      <c r="K38" s="10" t="inlineStr"/>
      <c r="L38" s="10" t="inlineStr"/>
      <c r="M38" s="10" t="inlineStr"/>
      <c r="N38" s="10" t="inlineStr"/>
    </row>
    <row r="39" ht="20" customHeight="1">
      <c r="A39" s="30" t="n">
        <v>35</v>
      </c>
      <c r="B39" s="10" t="inlineStr"/>
      <c r="C39" s="10" t="inlineStr"/>
      <c r="D39" s="10" t="inlineStr"/>
      <c r="E39" s="10" t="inlineStr"/>
      <c r="F39" s="10" t="inlineStr"/>
      <c r="G39" s="10" t="inlineStr"/>
      <c r="H39" s="10" t="inlineStr"/>
      <c r="I39" s="10" t="inlineStr"/>
      <c r="J39" s="10" t="inlineStr"/>
      <c r="K39" s="10" t="inlineStr"/>
      <c r="L39" s="10" t="inlineStr"/>
      <c r="M39" s="10" t="inlineStr"/>
      <c r="N39" s="10" t="inlineStr"/>
    </row>
    <row r="40" ht="20" customHeight="1">
      <c r="A40" s="30" t="n">
        <v>36</v>
      </c>
      <c r="B40" s="10" t="inlineStr"/>
      <c r="C40" s="10" t="inlineStr"/>
      <c r="D40" s="10" t="inlineStr"/>
      <c r="E40" s="10" t="inlineStr"/>
      <c r="F40" s="10" t="inlineStr"/>
      <c r="G40" s="10" t="inlineStr"/>
      <c r="H40" s="10" t="inlineStr"/>
      <c r="I40" s="10" t="inlineStr"/>
      <c r="J40" s="10" t="inlineStr"/>
      <c r="K40" s="10" t="inlineStr"/>
      <c r="L40" s="10" t="inlineStr"/>
      <c r="M40" s="10" t="inlineStr"/>
      <c r="N40" s="10" t="inlineStr"/>
    </row>
    <row r="41" ht="20" customHeight="1">
      <c r="A41" s="30" t="n">
        <v>37</v>
      </c>
      <c r="B41" s="10" t="inlineStr"/>
      <c r="C41" s="10" t="inlineStr"/>
      <c r="D41" s="10" t="inlineStr"/>
      <c r="E41" s="10" t="inlineStr"/>
      <c r="F41" s="10" t="inlineStr"/>
      <c r="G41" s="10" t="inlineStr"/>
      <c r="H41" s="10" t="inlineStr"/>
      <c r="I41" s="10" t="inlineStr"/>
      <c r="J41" s="10" t="inlineStr"/>
      <c r="K41" s="10" t="inlineStr"/>
      <c r="L41" s="10" t="inlineStr"/>
      <c r="M41" s="10" t="inlineStr"/>
      <c r="N41" s="10" t="inlineStr"/>
    </row>
    <row r="42" ht="20" customHeight="1">
      <c r="A42" s="30" t="n">
        <v>38</v>
      </c>
      <c r="B42" s="10" t="inlineStr"/>
      <c r="C42" s="10" t="inlineStr"/>
      <c r="D42" s="10" t="inlineStr"/>
      <c r="E42" s="10" t="inlineStr"/>
      <c r="F42" s="10" t="inlineStr"/>
      <c r="G42" s="10" t="inlineStr"/>
      <c r="H42" s="10" t="inlineStr"/>
      <c r="I42" s="10" t="inlineStr"/>
      <c r="J42" s="10" t="inlineStr"/>
      <c r="K42" s="10" t="inlineStr"/>
      <c r="L42" s="10" t="inlineStr"/>
      <c r="M42" s="10" t="inlineStr"/>
      <c r="N42" s="10" t="inlineStr"/>
    </row>
    <row r="43" ht="20" customHeight="1">
      <c r="A43" s="30" t="n">
        <v>39</v>
      </c>
      <c r="B43" s="10" t="inlineStr"/>
      <c r="C43" s="10" t="inlineStr"/>
      <c r="D43" s="10" t="inlineStr"/>
      <c r="E43" s="10" t="inlineStr"/>
      <c r="F43" s="10" t="inlineStr"/>
      <c r="G43" s="10" t="inlineStr"/>
      <c r="H43" s="10" t="inlineStr"/>
      <c r="I43" s="10" t="inlineStr"/>
      <c r="J43" s="10" t="inlineStr"/>
      <c r="K43" s="10" t="inlineStr"/>
      <c r="L43" s="10" t="inlineStr"/>
      <c r="M43" s="10" t="inlineStr"/>
      <c r="N43" s="10" t="inlineStr"/>
    </row>
    <row r="44" ht="20" customHeight="1">
      <c r="A44" s="30" t="n">
        <v>40</v>
      </c>
      <c r="B44" s="10" t="inlineStr"/>
      <c r="C44" s="10" t="inlineStr"/>
      <c r="D44" s="10" t="inlineStr"/>
      <c r="E44" s="10" t="inlineStr"/>
      <c r="F44" s="10" t="inlineStr"/>
      <c r="G44" s="10" t="inlineStr"/>
      <c r="H44" s="10" t="inlineStr"/>
      <c r="I44" s="10" t="inlineStr"/>
      <c r="J44" s="10" t="inlineStr"/>
      <c r="K44" s="10" t="inlineStr"/>
      <c r="L44" s="10" t="inlineStr"/>
      <c r="M44" s="10" t="inlineStr"/>
      <c r="N44" s="10" t="inlineStr"/>
    </row>
    <row r="45" ht="20" customHeight="1">
      <c r="A45" s="30" t="n">
        <v>41</v>
      </c>
      <c r="B45" s="10" t="inlineStr"/>
      <c r="C45" s="10" t="inlineStr"/>
      <c r="D45" s="10" t="inlineStr"/>
      <c r="E45" s="10" t="inlineStr"/>
      <c r="F45" s="10" t="inlineStr"/>
      <c r="G45" s="10" t="inlineStr"/>
      <c r="H45" s="10" t="inlineStr"/>
      <c r="I45" s="10" t="inlineStr"/>
      <c r="J45" s="10" t="inlineStr"/>
      <c r="K45" s="10" t="inlineStr"/>
      <c r="L45" s="10" t="inlineStr"/>
      <c r="M45" s="10" t="inlineStr"/>
      <c r="N45" s="10" t="inlineStr"/>
    </row>
  </sheetData>
  <mergeCells count="13">
    <mergeCell ref="A1:T1"/>
    <mergeCell ref="D2:F2"/>
    <mergeCell ref="G2:I2"/>
    <mergeCell ref="M2:N2"/>
    <mergeCell ref="J2:L2"/>
    <mergeCell ref="P9:Q9"/>
    <mergeCell ref="D3:F3"/>
    <mergeCell ref="A3:C3"/>
    <mergeCell ref="G3:I3"/>
    <mergeCell ref="M3:N3"/>
    <mergeCell ref="P2:T3"/>
    <mergeCell ref="J3:L3"/>
    <mergeCell ref="A2:C2"/>
  </mergeCells>
  <dataValidations count="8">
    <dataValidation sqref="D5:D50" showDropDown="0" showInputMessage="0" showErrorMessage="0" allowBlank="1" error="Vui lòng chọn giá trị hợp lệ từ danh sách!" promptTitle="Chiến dịch Facebook" type="list">
      <formula1>='CAU HINH'!$C$4:$C$7</formula1>
    </dataValidation>
    <dataValidation sqref="G5:G50" showDropDown="0" showInputMessage="0" showErrorMessage="0" allowBlank="1" error="Vui lòng chọn giá trị hợp lệ từ danh sách!" promptTitle="Chức vụ khách hàng" type="list">
      <formula1>='CAU HINH'!$L$4:$L$8</formula1>
    </dataValidation>
    <dataValidation sqref="I5:I50" showDropDown="0" showInputMessage="0" showErrorMessage="0" allowBlank="1" error="Vui lòng chọn giá trị hợp lệ từ danh sách!" promptTitle="Tỉnh / Khu vực" type="list">
      <formula1>='CAU HINH'!$Q$4:$Q$54</formula1>
    </dataValidation>
    <dataValidation sqref="J5:J50" showDropDown="0" showInputMessage="0" showErrorMessage="0" allowBlank="1" error="Vui lòng chọn giá trị hợp lệ từ danh sách!" promptTitle="Dòng hàng tìm SP win" type="list">
      <formula1>='CAU HINH'!$B$4:$B$10</formula1>
    </dataValidation>
    <dataValidation sqref="K5:K50" showDropDown="0" showInputMessage="0" showErrorMessage="0" allowBlank="1" error="Vui lòng chọn giá trị hợp lệ từ danh sách!" promptTitle="Trạng thái xử lý lead" type="list">
      <formula1>='CAU HINH'!$F$4:$F$9</formula1>
    </dataValidation>
    <dataValidation sqref="L5:L50" showDropDown="0" showInputMessage="0" showErrorMessage="0" allowBlank="1" error="Vui lòng chọn giá trị hợp lệ từ danh sách!" promptTitle="Người tiếp nhận" type="list">
      <formula1>='CAU HINH'!$H$4:$H$7</formula1>
    </dataValidation>
    <dataValidation sqref="M5:M50" showDropDown="0" showInputMessage="0" showErrorMessage="0" allowBlank="1" error="Vui lòng chọn giá trị hợp lệ từ danh sách!" promptTitle="Đánh giá chất lượng lead" type="list">
      <formula1>='CAU HINH'!$G$4:$G$7</formula1>
    </dataValidation>
    <dataValidation sqref="Q5:Q8" showDropDown="0" showInputMessage="0" showErrorMessage="0" allowBlank="1" error="Vui lòng chọn giá trị hợp lệ từ danh sách!" promptTitle="Chiến dịch FB" type="list">
      <formula1>='CAU HINH'!$C$4:$C$7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showGridLines="1"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s>
  <sheetData>
    <row r="1" ht="36" customHeight="1">
      <c r="A1" s="40" t="inlineStr">
        <is>
          <t>⚙️ DANH MỤC CẤU HÌNH HỆ THỐNG DROPDOWN - FACEBOOK ADS ĐẠI LÝ B2B</t>
        </is>
      </c>
    </row>
    <row r="3" ht="24" customHeight="1">
      <c r="A3" s="9" t="inlineStr">
        <is>
          <t>GÓC TIẾP CẬN (TEST ANGLE)</t>
        </is>
      </c>
      <c r="B3" s="9" t="inlineStr">
        <is>
          <t>DÒNG HÀNG ĐẠI LÝ QUAN TÂM</t>
        </is>
      </c>
      <c r="C3" s="9" t="inlineStr">
        <is>
          <t>TÊN CHIẾN DỊCH FB</t>
        </is>
      </c>
      <c r="D3" s="9" t="inlineStr">
        <is>
          <t>ĐỊNH DẠNG QUẢNG CÁO FB</t>
        </is>
      </c>
      <c r="E3" s="9" t="inlineStr">
        <is>
          <t>TRẠNG THÁI CHIẾN DỊCH</t>
        </is>
      </c>
      <c r="F3" s="9" t="inlineStr">
        <is>
          <t>TRẠNG THÁI XỬ LÝ LEAD</t>
        </is>
      </c>
      <c r="G3" s="9" t="inlineStr">
        <is>
          <t>ĐÁNH GIÁ CHẤT LƯỢNG LEAD</t>
        </is>
      </c>
      <c r="H3" s="9" t="inlineStr">
        <is>
          <t>NHÂN SỰ DỰ ÁN</t>
        </is>
      </c>
      <c r="I3" s="9" t="inlineStr">
        <is>
          <t>GIAI ĐOẠN DỰ ÁN</t>
        </is>
      </c>
      <c r="J3" s="9" t="inlineStr">
        <is>
          <t>TRẠNG THÁI TASK</t>
        </is>
      </c>
      <c r="K3" s="9" t="inlineStr">
        <is>
          <t>MỨC ĐỘ ƯU TIÊN</t>
        </is>
      </c>
      <c r="L3" s="9" t="inlineStr">
        <is>
          <t>CHỨC VỤ KHÁCH HÀNG</t>
        </is>
      </c>
      <c r="M3" s="9" t="inlineStr">
        <is>
          <t>ĐỊNH DẠNG VISUAL (CREATIVE)</t>
        </is>
      </c>
      <c r="N3" s="9" t="inlineStr">
        <is>
          <t>KÊU GỌI HÀNH ĐỘNG (CTA)</t>
        </is>
      </c>
      <c r="O3" s="9" t="inlineStr">
        <is>
          <t>TRẠNG THÁI CONTENT</t>
        </is>
      </c>
      <c r="P3" s="9" t="inlineStr">
        <is>
          <t>ĐỐI TƯỢNG XEM ADS</t>
        </is>
      </c>
      <c r="Q3" s="9" t="inlineStr">
        <is>
          <t>TỈNH THÀNH / KHU VỰC TRỌNG TÂM</t>
        </is>
      </c>
      <c r="R3" s="9" t="inlineStr">
        <is>
          <t>MỐC THỜI GIAN / DEADLINE</t>
        </is>
      </c>
      <c r="S3" s="9" t="inlineStr">
        <is>
          <t>KÊNH LƯU TRỮ / BÁO CÁO</t>
        </is>
      </c>
      <c r="T3" s="9" t="inlineStr">
        <is>
          <t>YÊU CẦU MEDIA (QUAY/CHỤP)</t>
        </is>
      </c>
      <c r="U3" s="9" t="inlineStr">
        <is>
          <t>PACING NGÂN SÁCH (ĐÁNH GIÁ)</t>
        </is>
      </c>
      <c r="V3" s="9" t="inlineStr">
        <is>
          <t>NHÓM GÓC TIẾP CẬN NGÂN SÁCH</t>
        </is>
      </c>
    </row>
    <row r="4">
      <c r="A4" s="29" t="inlineStr">
        <is>
          <t>Chiết khấu &amp; Lợi nhuận</t>
        </is>
      </c>
      <c r="B4" s="29" t="inlineStr">
        <is>
          <t>Đá cắt &amp; Đá mài (Vật tư tiêu hao)</t>
        </is>
      </c>
      <c r="C4" s="29" t="inlineStr">
        <is>
          <t>Campaign 1</t>
        </is>
      </c>
      <c r="D4" s="29" t="inlineStr">
        <is>
          <t>Instant Lead Form</t>
        </is>
      </c>
      <c r="E4" s="29" t="inlineStr">
        <is>
          <t>Lên kế hoạch</t>
        </is>
      </c>
      <c r="F4" s="29" t="inlineStr">
        <is>
          <t>1-Mới tiếp nhận (Chờ gọi)</t>
        </is>
      </c>
      <c r="G4" s="29" t="inlineStr">
        <is>
          <t>Nóng (Muốn hợp tác ngay)</t>
        </is>
      </c>
      <c r="H4" s="29" t="inlineStr">
        <is>
          <t>Kiều Thương (Chạy ads chính)</t>
        </is>
      </c>
      <c r="I4" s="29" t="inlineStr">
        <is>
          <t>Giai đoạn 1: SX Nội Dung &amp; Test</t>
        </is>
      </c>
      <c r="J4" s="29" t="inlineStr">
        <is>
          <t>Chưa bắt đầu</t>
        </is>
      </c>
      <c r="K4" s="29" t="inlineStr">
        <is>
          <t>Khẩn cấp</t>
        </is>
      </c>
      <c r="L4" s="29" t="inlineStr">
        <is>
          <t>Chủ cửa hàng</t>
        </is>
      </c>
      <c r="M4" s="29" t="inlineStr">
        <is>
          <t>Ảnh Carousel 5 tấm trọn bộ</t>
        </is>
      </c>
      <c r="N4" s="29" t="inlineStr">
        <is>
          <t>Đăng Ký Nhận Báo Giá Sỉ</t>
        </is>
      </c>
      <c r="O4" s="29" t="inlineStr">
        <is>
          <t>Chưa bắt đầu</t>
        </is>
      </c>
      <c r="P4" s="29" t="inlineStr">
        <is>
          <t>Chủ cửa hàng kim khí, điện cơ</t>
        </is>
      </c>
      <c r="Q4" s="29" t="inlineStr">
        <is>
          <t>Đồng Nai</t>
        </is>
      </c>
      <c r="R4" s="29" t="inlineStr">
        <is>
          <t>Tuần 1 - Ngày 1</t>
        </is>
      </c>
      <c r="S4" s="29" t="inlineStr">
        <is>
          <t>Tab CONTENT &amp; CREATIVE FB</t>
        </is>
      </c>
      <c r="T4" s="29" t="inlineStr">
        <is>
          <t>Layout ảnh chụp tổng thể hệ sinh thái dụng cụ King Blue</t>
        </is>
      </c>
      <c r="U4" s="29" t="inlineStr">
        <is>
          <t>Đang kiểm soát tốt</t>
        </is>
      </c>
      <c r="V4" s="29" t="inlineStr">
        <is>
          <t>Campaign 1 (Angle 1: Chiết Khấu Đại Lý)</t>
        </is>
      </c>
    </row>
    <row r="5">
      <c r="A5" s="29" t="inlineStr">
        <is>
          <t>Hỗ trợ điểm bán &amp; Kệ POSM</t>
        </is>
      </c>
      <c r="B5" s="29" t="inlineStr">
        <is>
          <t>Máy pin Brushless 21V</t>
        </is>
      </c>
      <c r="C5" s="29" t="inlineStr">
        <is>
          <t>Campaign 2</t>
        </is>
      </c>
      <c r="D5" s="29" t="inlineStr">
        <is>
          <t>Messenger Ads (Tin nhắn)</t>
        </is>
      </c>
      <c r="E5" s="29" t="inlineStr">
        <is>
          <t>Chuẩn bị media</t>
        </is>
      </c>
      <c r="F5" s="29" t="inlineStr">
        <is>
          <t>2-Đã tư vấn &amp; Gửi Catalogue</t>
        </is>
      </c>
      <c r="G5" s="29" t="inlineStr">
        <is>
          <t>Ấm (Đang xem chiết khấu)</t>
        </is>
      </c>
      <c r="H5" s="29" t="inlineStr">
        <is>
          <t>Marketing Manager (Hỗ trợ &amp; Duyệt)</t>
        </is>
      </c>
      <c r="I5" s="29" t="inlineStr">
        <is>
          <t>Giai đoạn 2: Tối Ưu &amp; Chỉnh Sửa</t>
        </is>
      </c>
      <c r="J5" s="29" t="inlineStr">
        <is>
          <t>Đang làm</t>
        </is>
      </c>
      <c r="K5" s="29" t="inlineStr">
        <is>
          <t>Cao</t>
        </is>
      </c>
      <c r="L5" s="29" t="inlineStr">
        <is>
          <t>Chủ đại lý</t>
        </is>
      </c>
      <c r="M5" s="29" t="inlineStr">
        <is>
          <t>Video 30s thực tế lắp đặt kệ POSM</t>
        </is>
      </c>
      <c r="N5" s="29" t="inlineStr">
        <is>
          <t>Đăng Ký Tư Vấn Điểm Bán</t>
        </is>
      </c>
      <c r="O5" s="29" t="inlineStr">
        <is>
          <t>Đang sản xuất</t>
        </is>
      </c>
      <c r="P5" s="29" t="inlineStr">
        <is>
          <t>Chủ tiệm kim khí, VLXD</t>
        </is>
      </c>
      <c r="Q5" s="29" t="inlineStr">
        <is>
          <t>Bình Dương</t>
        </is>
      </c>
      <c r="R5" s="29" t="inlineStr">
        <is>
          <t>Tuần 1 - Ngày 2</t>
        </is>
      </c>
      <c r="S5" s="29" t="inlineStr">
        <is>
          <t>Drive / Creative Folder</t>
        </is>
      </c>
      <c r="T5" s="29" t="inlineStr">
        <is>
          <t>Clip Tứ quay bàn giao kệ POSM tại cửa hàng đối tác</t>
        </is>
      </c>
      <c r="U5" s="29" t="inlineStr">
        <is>
          <t>Dồn ngân sách (Scale)</t>
        </is>
      </c>
      <c r="V5" s="29" t="inlineStr">
        <is>
          <t>Campaign 2 (Angle 2: Hỗ Trợ Kệ POSM)</t>
        </is>
      </c>
    </row>
    <row r="6">
      <c r="A6" s="29" t="inlineStr">
        <is>
          <t>Catalogue &amp; Hệ sinh thái</t>
        </is>
      </c>
      <c r="B6" s="29" t="inlineStr">
        <is>
          <t>Máy điện &amp; Máy hàn điện tử</t>
        </is>
      </c>
      <c r="C6" s="29" t="inlineStr">
        <is>
          <t>Campaign 3</t>
        </is>
      </c>
      <c r="D6" s="29" t="inlineStr">
        <is>
          <t>Lead Form (Khảo sát dòng hàng)</t>
        </is>
      </c>
      <c r="E6" s="29" t="inlineStr">
        <is>
          <t>Đang chạy</t>
        </is>
      </c>
      <c r="F6" s="29" t="inlineStr">
        <is>
          <t>3-Đã gửi Báo giá &amp; Chính sách</t>
        </is>
      </c>
      <c r="G6" s="29" t="inlineStr">
        <is>
          <t>Lạnh (Tham khảo thêm)</t>
        </is>
      </c>
      <c r="H6" s="29" t="inlineStr">
        <is>
          <t>Tứ (Quay dựng video)</t>
        </is>
      </c>
      <c r="I6" s="29" t="inlineStr">
        <is>
          <t>Giai đoạn 3: Ổn Định Ngân Sách</t>
        </is>
      </c>
      <c r="J6" s="29" t="inlineStr">
        <is>
          <t>Chờ duyệt</t>
        </is>
      </c>
      <c r="K6" s="29" t="inlineStr">
        <is>
          <t>Trung bình</t>
        </is>
      </c>
      <c r="L6" s="29" t="inlineStr">
        <is>
          <t>Chủ tiệm</t>
        </is>
      </c>
      <c r="M6" s="29" t="inlineStr">
        <is>
          <t>Banner Catalogue 2026 tổng thể</t>
        </is>
      </c>
      <c r="N6" s="29" t="inlineStr">
        <is>
          <t>Tải Trọn Bộ Catalogue</t>
        </is>
      </c>
      <c r="O6" s="29" t="inlineStr">
        <is>
          <t>Chờ duyệt</t>
        </is>
      </c>
      <c r="P6" s="29" t="inlineStr">
        <is>
          <t>Chủ cửa hàng máy công cụ, điện cơ</t>
        </is>
      </c>
      <c r="Q6" s="29" t="inlineStr">
        <is>
          <t>Cần Thơ</t>
        </is>
      </c>
      <c r="R6" s="29" t="inlineStr">
        <is>
          <t>Tuần 1 - Ngày 3</t>
        </is>
      </c>
      <c r="S6" s="29" t="inlineStr">
        <is>
          <t>Drive / Video POSM</t>
        </is>
      </c>
      <c r="T6" s="29" t="inlineStr">
        <is>
          <t>Thiện thiết kế mockup cuốn catalogue King Blue dày dặn</t>
        </is>
      </c>
      <c r="U6" s="29" t="inlineStr">
        <is>
          <t>Cắt giảm ngân sách</t>
        </is>
      </c>
      <c r="V6" s="29" t="inlineStr">
        <is>
          <t>Campaign 3 (Angle 3: Khám Phá Catalogue)</t>
        </is>
      </c>
    </row>
    <row r="7">
      <c r="A7" s="29" t="inlineStr">
        <is>
          <t>Bảo vệ giá &amp; Hạn chế rủi ro</t>
        </is>
      </c>
      <c r="B7" s="29" t="inlineStr">
        <is>
          <t>Dụng cụ cầm tay &amp; Thước cuộn</t>
        </is>
      </c>
      <c r="C7" s="29" t="inlineStr">
        <is>
          <t>Campaign 4</t>
        </is>
      </c>
      <c r="D7" s="29" t="inlineStr">
        <is>
          <t>Post Tương Tác Kéo Lead</t>
        </is>
      </c>
      <c r="E7" s="29" t="inlineStr">
        <is>
          <t>Tạm dừng</t>
        </is>
      </c>
      <c r="F7" s="29" t="inlineStr">
        <is>
          <t>4-Đã ký thỏa thuận phân phối</t>
        </is>
      </c>
      <c r="G7" s="29" t="inlineStr">
        <is>
          <t>Sai số / Không nghe máy</t>
        </is>
      </c>
      <c r="H7" s="29" t="inlineStr">
        <is>
          <t>Thiện (Thiết kế Visual)</t>
        </is>
      </c>
      <c r="J7" s="29" t="inlineStr">
        <is>
          <t>Đã hoàn thành</t>
        </is>
      </c>
      <c r="K7" s="29" t="inlineStr">
        <is>
          <t>Thấp</t>
        </is>
      </c>
      <c r="L7" s="29" t="inlineStr">
        <is>
          <t>Quản lý kinh doanh</t>
        </is>
      </c>
      <c r="M7" s="29" t="inlineStr">
        <is>
          <t>Infographic cam kết bảo vệ đại lý</t>
        </is>
      </c>
      <c r="N7" s="29" t="inlineStr">
        <is>
          <t>Xem Chính Sách Đại Lý</t>
        </is>
      </c>
      <c r="O7" s="29" t="inlineStr">
        <is>
          <t>Đã sẵn sàng</t>
        </is>
      </c>
      <c r="P7" s="29" t="inlineStr">
        <is>
          <t>Đại lý phân phối cấp 2 / cấp 3</t>
        </is>
      </c>
      <c r="Q7" s="29" t="inlineStr">
        <is>
          <t>Bắc Giang</t>
        </is>
      </c>
      <c r="R7" s="29" t="inlineStr">
        <is>
          <t>Tuần 1 - Ngày 4</t>
        </is>
      </c>
      <c r="S7" s="29" t="inlineStr">
        <is>
          <t>Trình quản lý Meta Ads</t>
        </is>
      </c>
      <c r="T7" s="29" t="inlineStr">
        <is>
          <t>Thiện làm visual cam kết không phá giá &amp; đổi trả linh hoạt</t>
        </is>
      </c>
      <c r="U7" s="29" t="inlineStr">
        <is>
          <t>Hoàn thành ngân sách</t>
        </is>
      </c>
      <c r="V7" s="29" t="inlineStr">
        <is>
          <t>Campaign 4 (Angle 4: Bảo Vệ Vùng Bán)</t>
        </is>
      </c>
    </row>
    <row r="8">
      <c r="A8" s="29" t="inlineStr">
        <is>
          <t>Chính sách bảo hành uy tín</t>
        </is>
      </c>
      <c r="B8" s="29" t="inlineStr">
        <is>
          <t>Thiết bị đo Laser</t>
        </is>
      </c>
      <c r="E8" s="29" t="inlineStr">
        <is>
          <t>Đã hoàn thành</t>
        </is>
      </c>
      <c r="F8" s="29" t="inlineStr">
        <is>
          <t>5-Không liên lạc được / Sai số</t>
        </is>
      </c>
      <c r="J8" s="29" t="inlineStr">
        <is>
          <t>Tạm hoãn</t>
        </is>
      </c>
      <c r="L8" s="29" t="inlineStr">
        <is>
          <t>Thợ nhận thầu / Cá nhân</t>
        </is>
      </c>
      <c r="M8" s="29" t="inlineStr">
        <is>
          <t>Bộ ảnh đơn chụp sản phẩm thực tế</t>
        </is>
      </c>
      <c r="N8" s="29" t="inlineStr">
        <is>
          <t>Nhận Báo Giá &amp; Chiết Khấu</t>
        </is>
      </c>
      <c r="O8" s="29" t="inlineStr">
        <is>
          <t>Đang chạy ads</t>
        </is>
      </c>
      <c r="P8" s="29" t="inlineStr">
        <is>
          <t>Thợ thi công công trình lớn</t>
        </is>
      </c>
      <c r="Q8" s="29" t="inlineStr">
        <is>
          <t>Hải Phòng</t>
        </is>
      </c>
      <c r="R8" s="29" t="inlineStr">
        <is>
          <t>Tuần 1 - Ngày 7</t>
        </is>
      </c>
      <c r="S8" s="29" t="inlineStr">
        <is>
          <t>Tab THEO DOI LEAD</t>
        </is>
      </c>
      <c r="T8" s="29" t="inlineStr">
        <is>
          <t>Chụp chi tiết dải máy pin Brushless 21V</t>
        </is>
      </c>
      <c r="V8" s="29" t="inlineStr">
        <is>
          <t>Campaign Scale (Góc Tiếp Cận Win)</t>
        </is>
      </c>
    </row>
    <row r="9">
      <c r="A9" s="29" t="inlineStr">
        <is>
          <t>Combo mở điểm bán mới</t>
        </is>
      </c>
      <c r="B9" s="29" t="inlineStr">
        <is>
          <t>Trọn bộ Catalogue / Tổng hợp</t>
        </is>
      </c>
      <c r="F9" s="29" t="inlineStr">
        <is>
          <t>6-Không có nhu cầu</t>
        </is>
      </c>
      <c r="M9" s="29" t="inlineStr">
        <is>
          <t>Video review máy pin / dụng cụ</t>
        </is>
      </c>
      <c r="Q9" s="29" t="inlineStr">
        <is>
          <t>Thanh Hóa</t>
        </is>
      </c>
      <c r="R9" s="29" t="inlineStr">
        <is>
          <t>Tuần 2 - Ngày 2</t>
        </is>
      </c>
      <c r="S9" s="29" t="inlineStr">
        <is>
          <t>Báo cáo nghiệm thu dự án</t>
        </is>
      </c>
      <c r="T9" s="29" t="inlineStr">
        <is>
          <t>Video test độ bền đá cắt &amp; đá mài King Blue</t>
        </is>
      </c>
      <c r="V9" s="29" t="inlineStr">
        <is>
          <t>Dự phòng phát sinh</t>
        </is>
      </c>
    </row>
    <row r="10">
      <c r="B10" s="29" t="inlineStr">
        <is>
          <t>Combo mở điểm bán mới</t>
        </is>
      </c>
      <c r="Q10" s="29" t="inlineStr">
        <is>
          <t>Nghệ An</t>
        </is>
      </c>
      <c r="R10" s="29" t="inlineStr">
        <is>
          <t>Tuần 2 - Ngày 4</t>
        </is>
      </c>
      <c r="S10" s="29" t="inlineStr">
        <is>
          <t>Zalo OA / Sổ tay CRM</t>
        </is>
      </c>
      <c r="T10" s="29" t="inlineStr">
        <is>
          <t>Chụp quầy kệ &amp; biển bảng nhận diện thương hiệu</t>
        </is>
      </c>
    </row>
    <row r="11">
      <c r="Q11" s="29" t="inlineStr">
        <is>
          <t>Hà Nội</t>
        </is>
      </c>
      <c r="R11" s="29" t="inlineStr">
        <is>
          <t>Tuần 2 - Ngày 5</t>
        </is>
      </c>
      <c r="S11" s="29" t="inlineStr">
        <is>
          <t>Google Drive Chung</t>
        </is>
      </c>
    </row>
    <row r="12">
      <c r="Q12" s="29" t="inlineStr">
        <is>
          <t>TP. Hồ Chí Minh</t>
        </is>
      </c>
      <c r="R12" s="29" t="inlineStr">
        <is>
          <t>Tuần 2 - Ngày 7</t>
        </is>
      </c>
    </row>
    <row r="13">
      <c r="Q13" s="29" t="inlineStr">
        <is>
          <t>Đà Nẵng</t>
        </is>
      </c>
      <c r="R13" s="29" t="inlineStr">
        <is>
          <t>Tuần 3 - Tuần 4</t>
        </is>
      </c>
    </row>
    <row r="14">
      <c r="Q14" s="29" t="inlineStr">
        <is>
          <t>Vĩnh Phúc</t>
        </is>
      </c>
      <c r="R14" s="29" t="inlineStr">
        <is>
          <t>Tuần 4 - Ngày 5</t>
        </is>
      </c>
    </row>
    <row r="15">
      <c r="Q15" s="29" t="inlineStr">
        <is>
          <t>Thái Bình</t>
        </is>
      </c>
      <c r="R15" s="29" t="inlineStr">
        <is>
          <t>Tuần 4 - Ngày 7</t>
        </is>
      </c>
    </row>
    <row r="16">
      <c r="Q16" s="29" t="inlineStr">
        <is>
          <t>Nam Định</t>
        </is>
      </c>
      <c r="R16" s="29" t="inlineStr">
        <is>
          <t>Hàng ngày</t>
        </is>
      </c>
    </row>
    <row r="17">
      <c r="Q17" s="29" t="inlineStr">
        <is>
          <t>Hải Dương</t>
        </is>
      </c>
      <c r="R17" s="29" t="inlineStr">
        <is>
          <t>Liên tục cả tháng</t>
        </is>
      </c>
    </row>
    <row r="18">
      <c r="Q18" s="29" t="inlineStr">
        <is>
          <t>Quảng Ninh</t>
        </is>
      </c>
    </row>
    <row r="19">
      <c r="Q19" s="29" t="inlineStr">
        <is>
          <t>Bắc Ninh</t>
        </is>
      </c>
    </row>
    <row r="20">
      <c r="Q20" s="29" t="inlineStr">
        <is>
          <t>Thái Nguyên</t>
        </is>
      </c>
    </row>
    <row r="21">
      <c r="Q21" s="29" t="inlineStr">
        <is>
          <t>Phú Thọ</t>
        </is>
      </c>
    </row>
    <row r="22">
      <c r="Q22" s="29" t="inlineStr">
        <is>
          <t>Hưng Yên</t>
        </is>
      </c>
    </row>
    <row r="23">
      <c r="Q23" s="29" t="inlineStr">
        <is>
          <t>Hà Nam</t>
        </is>
      </c>
    </row>
    <row r="24">
      <c r="Q24" s="29" t="inlineStr">
        <is>
          <t>Ninh Bình</t>
        </is>
      </c>
    </row>
    <row r="25">
      <c r="Q25" s="29" t="inlineStr">
        <is>
          <t>Hà Tĩnh</t>
        </is>
      </c>
    </row>
    <row r="26">
      <c r="Q26" s="29" t="inlineStr">
        <is>
          <t>Quảng Bình</t>
        </is>
      </c>
    </row>
    <row r="27">
      <c r="Q27" s="29" t="inlineStr">
        <is>
          <t>Quảng Trị</t>
        </is>
      </c>
    </row>
    <row r="28">
      <c r="Q28" s="29" t="inlineStr">
        <is>
          <t>Thừa Thiên Huế</t>
        </is>
      </c>
    </row>
    <row r="29">
      <c r="Q29" s="29" t="inlineStr">
        <is>
          <t>Quảng Nam</t>
        </is>
      </c>
    </row>
    <row r="30">
      <c r="Q30" s="29" t="inlineStr">
        <is>
          <t>Quảng Ngãi</t>
        </is>
      </c>
    </row>
    <row r="31">
      <c r="Q31" s="29" t="inlineStr">
        <is>
          <t>Bình Định</t>
        </is>
      </c>
    </row>
    <row r="32">
      <c r="Q32" s="29" t="inlineStr">
        <is>
          <t>Phú Yên</t>
        </is>
      </c>
    </row>
    <row r="33">
      <c r="Q33" s="29" t="inlineStr">
        <is>
          <t>Khánh Hòa</t>
        </is>
      </c>
    </row>
    <row r="34">
      <c r="Q34" s="29" t="inlineStr">
        <is>
          <t>Gia Lai</t>
        </is>
      </c>
    </row>
    <row r="35">
      <c r="Q35" s="29" t="inlineStr">
        <is>
          <t>Đắk Lắk</t>
        </is>
      </c>
    </row>
    <row r="36">
      <c r="Q36" s="29" t="inlineStr">
        <is>
          <t>Lâm Đồng</t>
        </is>
      </c>
    </row>
    <row r="37">
      <c r="Q37" s="29" t="inlineStr">
        <is>
          <t>Bình Phước</t>
        </is>
      </c>
    </row>
    <row r="38">
      <c r="Q38" s="29" t="inlineStr">
        <is>
          <t>Tây Ninh</t>
        </is>
      </c>
    </row>
    <row r="39">
      <c r="Q39" s="29" t="inlineStr">
        <is>
          <t>Bà Rịa - Vũng Tàu</t>
        </is>
      </c>
    </row>
    <row r="40">
      <c r="Q40" s="29" t="inlineStr">
        <is>
          <t>Long An</t>
        </is>
      </c>
    </row>
    <row r="41">
      <c r="Q41" s="29" t="inlineStr">
        <is>
          <t>Tiền Giang</t>
        </is>
      </c>
    </row>
    <row r="42">
      <c r="Q42" s="29" t="inlineStr">
        <is>
          <t>Bến Tre</t>
        </is>
      </c>
    </row>
    <row r="43">
      <c r="Q43" s="29" t="inlineStr">
        <is>
          <t>Trà Vinh</t>
        </is>
      </c>
    </row>
    <row r="44">
      <c r="Q44" s="29" t="inlineStr">
        <is>
          <t>Vĩnh Long</t>
        </is>
      </c>
    </row>
    <row r="45">
      <c r="Q45" s="29" t="inlineStr">
        <is>
          <t>Đồng Tháp</t>
        </is>
      </c>
    </row>
    <row r="46">
      <c r="Q46" s="29" t="inlineStr">
        <is>
          <t>An Giang</t>
        </is>
      </c>
    </row>
    <row r="47">
      <c r="Q47" s="29" t="inlineStr">
        <is>
          <t>Kiên Giang</t>
        </is>
      </c>
    </row>
    <row r="48">
      <c r="Q48" s="29" t="inlineStr">
        <is>
          <t>Hậu Giang</t>
        </is>
      </c>
    </row>
    <row r="49">
      <c r="Q49" s="29" t="inlineStr">
        <is>
          <t>Sóc Trăng</t>
        </is>
      </c>
    </row>
    <row r="50">
      <c r="Q50" s="29" t="inlineStr">
        <is>
          <t>Bạc Liêu</t>
        </is>
      </c>
    </row>
    <row r="51">
      <c r="Q51" s="29" t="inlineStr">
        <is>
          <t>Cà Mau</t>
        </is>
      </c>
    </row>
    <row r="52">
      <c r="Q52" s="29" t="inlineStr">
        <is>
          <t>Toàn Miền Bắc</t>
        </is>
      </c>
    </row>
    <row r="53">
      <c r="Q53" s="29" t="inlineStr">
        <is>
          <t>Toàn Miền Trung</t>
        </is>
      </c>
    </row>
    <row r="54">
      <c r="Q54" s="29" t="inlineStr">
        <is>
          <t>Toàn Miền Nam</t>
        </is>
      </c>
    </row>
  </sheetData>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2026-10-09T03:57:08Z</dcterms:created>
  <dcterms:modified xmlns:dcterms="http://purl.org/dc/terms/" xmlns:xsi="http://www.w3.org/2001/XMLSchema-instance" xsi:type="dcterms:W3CDTF">2026-10-09T03:57:08Z</dcterms:modified>
</cp:coreProperties>
</file>
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heo_Doi_Gia_San_TMDT" sheetId="1" state="visible" r:id="rId1"/>
    <sheet xmlns:r="http://schemas.openxmlformats.org/officeDocument/2006/relationships" name="2_Bang_Bao_Gia_Goc_PDF" sheetId="2" state="visible" r:id="rId2"/>
    <sheet xmlns:r="http://schemas.openxmlformats.org/officeDocument/2006/relationships" name="3_Danh_Sach_Dai_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66011"/>
        <bgColor rgb="00D66011"/>
      </patternFill>
    </fill>
    <fill>
      <patternFill patternType="solid">
        <fgColor rgb="002E75B6"/>
        <bgColor rgb="002E75B6"/>
      </patternFill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9" customWidth="1" min="6" max="6"/>
    <col width="18" customWidth="1" min="7" max="7"/>
    <col width="48" customWidth="1" min="8" max="8"/>
    <col width="12" customWidth="1" min="9" max="9"/>
    <col width="15" customWidth="1" min="10" max="10"/>
    <col width="24" customWidth="1" min="11" max="11"/>
    <col width="30" customWidth="1" min="12" max="12"/>
    <col width="33" customWidth="1" min="13" max="13"/>
    <col width="31" customWidth="1" min="14" max="14"/>
    <col width="24" customWidth="1" min="15" max="15"/>
    <col width="28" customWidth="1" min="16" max="16"/>
    <col width="16" customWidth="1" min="17" max="17"/>
    <col width="29" customWidth="1" min="18" max="18"/>
    <col width="24" customWidth="1" min="19" max="19"/>
  </cols>
  <sheetData>
    <row r="1">
      <c r="A1" s="1" t="inlineStr">
        <is>
          <t>STT</t>
        </is>
      </c>
      <c r="B1" s="1" t="inlineStr">
        <is>
          <t>Mã Đại Lý</t>
        </is>
      </c>
      <c r="C1" s="1" t="inlineStr">
        <is>
          <t>Tên Đại Lý / Khách Hàng</t>
        </is>
      </c>
      <c r="D1" s="1" t="inlineStr">
        <is>
          <t>Tỉnh Thành</t>
        </is>
      </c>
      <c r="E1" s="1" t="inlineStr">
        <is>
          <t>Nhân Viên Phụ Trách</t>
        </is>
      </c>
      <c r="F1" s="1" t="inlineStr">
        <is>
          <t>Sàn TMĐT</t>
        </is>
      </c>
      <c r="G1" s="1" t="inlineStr">
        <is>
          <t>Mã Sản Phẩm</t>
        </is>
      </c>
      <c r="H1" s="1" t="inlineStr">
        <is>
          <t>Tên Sản Phẩm KingBlue</t>
        </is>
      </c>
      <c r="I1" s="1" t="inlineStr">
        <is>
          <t>ĐVT</t>
        </is>
      </c>
      <c r="J1" s="1" t="inlineStr">
        <is>
          <t>GIÁ SỈ (VNĐ)</t>
        </is>
      </c>
      <c r="K1" s="1" t="inlineStr">
        <is>
          <t>GIÁ LẺ NIÊM YẾT (VNĐ)</t>
        </is>
      </c>
      <c r="L1" s="2" t="inlineStr">
        <is>
          <t>GIÁ SÀN TMĐT QUY ĐỊNH (VNĐ)</t>
        </is>
      </c>
      <c r="M1" s="1" t="inlineStr">
        <is>
          <t>GIÁ BÁN THỰC TẾ TRÊN SÀN (VNĐ)</t>
        </is>
      </c>
      <c r="N1" s="1" t="inlineStr">
        <is>
          <t>Chênh Lệch Với Giá Sàn (VNĐ)</t>
        </is>
      </c>
      <c r="O1" s="1" t="inlineStr">
        <is>
          <t>% Lệch So Với Giá Sàn</t>
        </is>
      </c>
      <c r="P1" s="1" t="inlineStr">
        <is>
          <t>KẾT LUẬN TUÂN THỦ GIÁ SÀN</t>
        </is>
      </c>
      <c r="Q1" s="1" t="inlineStr">
        <is>
          <t>Ngày Kiểm Tra</t>
        </is>
      </c>
      <c r="R1" s="1" t="inlineStr">
        <is>
          <t>Link Sản Phẩm / Bằng Chứng</t>
        </is>
      </c>
      <c r="S1" s="1" t="inlineStr">
        <is>
          <t>Hướng Xử Lý / Ghi Chú</t>
        </is>
      </c>
    </row>
    <row r="2">
      <c r="A2" s="3" t="n">
        <v>1</v>
      </c>
      <c r="B2" s="3" t="inlineStr">
        <is>
          <t>KH001</t>
        </is>
      </c>
      <c r="C2" s="4" t="inlineStr">
        <is>
          <t>Điện nước Nhật (Shop) HCM</t>
        </is>
      </c>
      <c r="D2" s="3" t="inlineStr">
        <is>
          <t>HCM</t>
        </is>
      </c>
      <c r="E2" s="3" t="inlineStr">
        <is>
          <t>BẢO TRÂM</t>
        </is>
      </c>
      <c r="F2" s="3" t="inlineStr">
        <is>
          <t>Shopee</t>
        </is>
      </c>
      <c r="G2" s="3" t="inlineStr">
        <is>
          <t>T9100E</t>
        </is>
      </c>
      <c r="H2" s="4" t="inlineStr">
        <is>
          <t>Bộ đầu hoa thị T9100E</t>
        </is>
      </c>
      <c r="I2" s="3" t="inlineStr">
        <is>
          <t>Bộ</t>
        </is>
      </c>
      <c r="J2" s="5" t="n">
        <v>86000</v>
      </c>
      <c r="K2" s="5" t="n">
        <v>108000</v>
      </c>
      <c r="L2" s="6" t="n">
        <v>142000</v>
      </c>
      <c r="M2" s="5" t="n"/>
      <c r="N2" s="5">
        <f>IF(AND(ISNUMBER(M2),ISNUMBER(L2)),M2-L2,"")</f>
        <v/>
      </c>
      <c r="O2" s="7">
        <f>IF(AND(ISNUMBER(M2),ISNUMBER(L2),L2&gt;0),(M2-L2)/L2,"")</f>
        <v/>
      </c>
      <c r="P2" s="3">
        <f>IF(O2="","",IF(O2&lt;-0.02,"🔴 Bán phá giá sàn",IF(O2&gt;0.05,"🔵 Bán cao hơn","🟢 Đúng giá sàn TMĐT")))</f>
        <v/>
      </c>
      <c r="Q2" s="3" t="n"/>
      <c r="R2" s="4" t="n"/>
      <c r="S2" s="4" t="n"/>
    </row>
    <row r="3">
      <c r="A3" s="3" t="n">
        <v>2</v>
      </c>
      <c r="B3" s="3" t="inlineStr">
        <is>
          <t>KH001</t>
        </is>
      </c>
      <c r="C3" s="4" t="inlineStr">
        <is>
          <t>Điện nước Nhật (Shop) HCM</t>
        </is>
      </c>
      <c r="D3" s="3" t="inlineStr">
        <is>
          <t>HCM</t>
        </is>
      </c>
      <c r="E3" s="3" t="inlineStr">
        <is>
          <t>BẢO TRÂM</t>
        </is>
      </c>
      <c r="F3" s="3" t="inlineStr">
        <is>
          <t>Shopee</t>
        </is>
      </c>
      <c r="G3" s="3" t="inlineStr">
        <is>
          <t>L8100E</t>
        </is>
      </c>
      <c r="H3" s="4" t="inlineStr">
        <is>
          <t>Bộ đầu lục giác L8100E</t>
        </is>
      </c>
      <c r="I3" s="3" t="inlineStr">
        <is>
          <t>Bộ</t>
        </is>
      </c>
      <c r="J3" s="5" t="n">
        <v>86000</v>
      </c>
      <c r="K3" s="5" t="n">
        <v>108000</v>
      </c>
      <c r="L3" s="6" t="n">
        <v>142000</v>
      </c>
      <c r="M3" s="5" t="n"/>
      <c r="N3" s="5">
        <f>IF(AND(ISNUMBER(M3),ISNUMBER(L3)),M3-L3,"")</f>
        <v/>
      </c>
      <c r="O3" s="7">
        <f>IF(AND(ISNUMBER(M3),ISNUMBER(L3),L3&gt;0),(M3-L3)/L3,"")</f>
        <v/>
      </c>
      <c r="P3" s="3">
        <f>IF(O3="","",IF(O3&lt;-0.02,"🔴 Bán phá giá sàn",IF(O3&gt;0.05,"🔵 Bán cao hơn","🟢 Đúng giá sàn TMĐT")))</f>
        <v/>
      </c>
      <c r="Q3" s="3" t="n"/>
      <c r="R3" s="4" t="n"/>
      <c r="S3" s="4" t="n"/>
    </row>
    <row r="4">
      <c r="A4" s="3" t="n">
        <v>3</v>
      </c>
      <c r="B4" s="3" t="inlineStr">
        <is>
          <t>KH001</t>
        </is>
      </c>
      <c r="C4" s="4" t="inlineStr">
        <is>
          <t>Điện nước Nhật (Shop) HCM</t>
        </is>
      </c>
      <c r="D4" s="3" t="inlineStr">
        <is>
          <t>HCM</t>
        </is>
      </c>
      <c r="E4" s="3" t="inlineStr">
        <is>
          <t>BẢO TRÂM</t>
        </is>
      </c>
      <c r="F4" s="3" t="inlineStr">
        <is>
          <t>Shopee</t>
        </is>
      </c>
      <c r="G4" s="3" t="inlineStr">
        <is>
          <t>KBYT6</t>
        </is>
      </c>
      <c r="H4" s="4" t="inlineStr">
        <is>
          <t>Bộ lấy ốc gãy KingBlue KBYT6</t>
        </is>
      </c>
      <c r="I4" s="3" t="inlineStr">
        <is>
          <t>Bộ</t>
        </is>
      </c>
      <c r="J4" s="5" t="n">
        <v>68000</v>
      </c>
      <c r="K4" s="5" t="n">
        <v>80000</v>
      </c>
      <c r="L4" s="6" t="n">
        <v>99000</v>
      </c>
      <c r="M4" s="5" t="n"/>
      <c r="N4" s="5">
        <f>IF(AND(ISNUMBER(M4),ISNUMBER(L4)),M4-L4,"")</f>
        <v/>
      </c>
      <c r="O4" s="7">
        <f>IF(AND(ISNUMBER(M4),ISNUMBER(L4),L4&gt;0),(M4-L4)/L4,"")</f>
        <v/>
      </c>
      <c r="P4" s="3">
        <f>IF(O4="","",IF(O4&lt;-0.02,"🔴 Bán phá giá sàn",IF(O4&gt;0.05,"🔵 Bán cao hơn","🟢 Đúng giá sàn TMĐT")))</f>
        <v/>
      </c>
      <c r="Q4" s="3" t="n"/>
      <c r="R4" s="4" t="n"/>
      <c r="S4" s="4" t="n"/>
    </row>
    <row r="5">
      <c r="A5" s="3" t="n">
        <v>4</v>
      </c>
      <c r="B5" s="3" t="inlineStr">
        <is>
          <t>KH001</t>
        </is>
      </c>
      <c r="C5" s="4" t="inlineStr">
        <is>
          <t>Điện nước Nhật (Shop) HCM</t>
        </is>
      </c>
      <c r="D5" s="3" t="inlineStr">
        <is>
          <t>HCM</t>
        </is>
      </c>
      <c r="E5" s="3" t="inlineStr">
        <is>
          <t>BẢO TRÂM</t>
        </is>
      </c>
      <c r="F5" s="3" t="inlineStr">
        <is>
          <t>Shopee</t>
        </is>
      </c>
      <c r="G5" s="3" t="inlineStr">
        <is>
          <t>KL-008</t>
        </is>
      </c>
      <c r="H5" s="4" t="inlineStr">
        <is>
          <t>Bộ lục giác gập KL-008</t>
        </is>
      </c>
      <c r="I5" s="3" t="inlineStr">
        <is>
          <t>Cái</t>
        </is>
      </c>
      <c r="J5" s="5" t="n">
        <v>269000</v>
      </c>
      <c r="K5" s="5" t="n">
        <v>317000</v>
      </c>
      <c r="L5" s="6" t="n">
        <v>390000</v>
      </c>
      <c r="M5" s="5" t="n"/>
      <c r="N5" s="5">
        <f>IF(AND(ISNUMBER(M5),ISNUMBER(L5)),M5-L5,"")</f>
        <v/>
      </c>
      <c r="O5" s="7">
        <f>IF(AND(ISNUMBER(M5),ISNUMBER(L5),L5&gt;0),(M5-L5)/L5,"")</f>
        <v/>
      </c>
      <c r="P5" s="3">
        <f>IF(O5="","",IF(O5&lt;-0.02,"🔴 Bán phá giá sàn",IF(O5&gt;0.05,"🔵 Bán cao hơn","🟢 Đúng giá sàn TMĐT")))</f>
        <v/>
      </c>
      <c r="Q5" s="3" t="n"/>
      <c r="R5" s="4" t="n"/>
      <c r="S5" s="4" t="n"/>
    </row>
    <row r="6">
      <c r="A6" s="3" t="n">
        <v>5</v>
      </c>
      <c r="B6" s="3" t="inlineStr">
        <is>
          <t>KH001</t>
        </is>
      </c>
      <c r="C6" s="4" t="inlineStr">
        <is>
          <t>Điện nước Nhật (Shop) HCM</t>
        </is>
      </c>
      <c r="D6" s="3" t="inlineStr">
        <is>
          <t>HCM</t>
        </is>
      </c>
      <c r="E6" s="3" t="inlineStr">
        <is>
          <t>BẢO TRÂM</t>
        </is>
      </c>
      <c r="F6" s="3" t="inlineStr">
        <is>
          <t>Shopee</t>
        </is>
      </c>
      <c r="G6" s="3" t="inlineStr">
        <is>
          <t>KL018</t>
        </is>
      </c>
      <c r="H6" s="4" t="inlineStr">
        <is>
          <t>Bộ lục giác KL018</t>
        </is>
      </c>
      <c r="I6" s="3" t="inlineStr">
        <is>
          <t>Cái</t>
        </is>
      </c>
      <c r="J6" s="5" t="n">
        <v>269000</v>
      </c>
      <c r="K6" s="5" t="n">
        <v>317000</v>
      </c>
      <c r="L6" s="6" t="n">
        <v>390000</v>
      </c>
      <c r="M6" s="5" t="n"/>
      <c r="N6" s="5">
        <f>IF(AND(ISNUMBER(M6),ISNUMBER(L6)),M6-L6,"")</f>
        <v/>
      </c>
      <c r="O6" s="7">
        <f>IF(AND(ISNUMBER(M6),ISNUMBER(L6),L6&gt;0),(M6-L6)/L6,"")</f>
        <v/>
      </c>
      <c r="P6" s="3">
        <f>IF(O6="","",IF(O6&lt;-0.02,"🔴 Bán phá giá sàn",IF(O6&gt;0.05,"🔵 Bán cao hơn","🟢 Đúng giá sàn TMĐT")))</f>
        <v/>
      </c>
      <c r="Q6" s="3" t="n"/>
      <c r="R6" s="4" t="n"/>
      <c r="S6" s="4" t="n"/>
    </row>
    <row r="7">
      <c r="A7" s="3" t="n">
        <v>6</v>
      </c>
      <c r="B7" s="3" t="inlineStr">
        <is>
          <t>KH001</t>
        </is>
      </c>
      <c r="C7" s="4" t="inlineStr">
        <is>
          <t>Điện nước Nhật (Shop) HCM</t>
        </is>
      </c>
      <c r="D7" s="3" t="inlineStr">
        <is>
          <t>HCM</t>
        </is>
      </c>
      <c r="E7" s="3" t="inlineStr">
        <is>
          <t>BẢO TRÂM</t>
        </is>
      </c>
      <c r="F7" s="3" t="inlineStr">
        <is>
          <t>Shopee</t>
        </is>
      </c>
      <c r="G7" s="3" t="inlineStr">
        <is>
          <t>KL7-09</t>
        </is>
      </c>
      <c r="H7" s="4" t="inlineStr">
        <is>
          <t>Bộ lục giác KL7-09 ( đầu bi)</t>
        </is>
      </c>
      <c r="I7" s="3" t="inlineStr">
        <is>
          <t>Cái</t>
        </is>
      </c>
      <c r="J7" s="5" t="n">
        <v>269000</v>
      </c>
      <c r="K7" s="5" t="n">
        <v>317000</v>
      </c>
      <c r="L7" s="6" t="n">
        <v>390000</v>
      </c>
      <c r="M7" s="5" t="n"/>
      <c r="N7" s="5">
        <f>IF(AND(ISNUMBER(M7),ISNUMBER(L7)),M7-L7,"")</f>
        <v/>
      </c>
      <c r="O7" s="7">
        <f>IF(AND(ISNUMBER(M7),ISNUMBER(L7),L7&gt;0),(M7-L7)/L7,"")</f>
        <v/>
      </c>
      <c r="P7" s="3">
        <f>IF(O7="","",IF(O7&lt;-0.02,"🔴 Bán phá giá sàn",IF(O7&gt;0.05,"🔵 Bán cao hơn","🟢 Đúng giá sàn TMĐT")))</f>
        <v/>
      </c>
      <c r="Q7" s="3" t="n"/>
      <c r="R7" s="4" t="n"/>
      <c r="S7" s="4" t="n"/>
    </row>
    <row r="8">
      <c r="A8" s="3" t="n">
        <v>7</v>
      </c>
      <c r="B8" s="3" t="inlineStr">
        <is>
          <t>KH001</t>
        </is>
      </c>
      <c r="C8" s="4" t="inlineStr">
        <is>
          <t>Điện nước Nhật (Shop) HCM</t>
        </is>
      </c>
      <c r="D8" s="3" t="inlineStr">
        <is>
          <t>HCM</t>
        </is>
      </c>
      <c r="E8" s="3" t="inlineStr">
        <is>
          <t>BẢO TRÂM</t>
        </is>
      </c>
      <c r="F8" s="3" t="inlineStr">
        <is>
          <t>Shopee</t>
        </is>
      </c>
      <c r="G8" s="3" t="inlineStr">
        <is>
          <t>KL9-09</t>
        </is>
      </c>
      <c r="H8" s="4" t="inlineStr">
        <is>
          <t>Bộ lục giác KL9-09 (đầu hoa thị)</t>
        </is>
      </c>
      <c r="I8" s="3" t="inlineStr">
        <is>
          <t>Cái</t>
        </is>
      </c>
      <c r="J8" s="5" t="n">
        <v>269000</v>
      </c>
      <c r="K8" s="5" t="n">
        <v>317000</v>
      </c>
      <c r="L8" s="6" t="n">
        <v>390000</v>
      </c>
      <c r="M8" s="5" t="n"/>
      <c r="N8" s="5">
        <f>IF(AND(ISNUMBER(M8),ISNUMBER(L8)),M8-L8,"")</f>
        <v/>
      </c>
      <c r="O8" s="7">
        <f>IF(AND(ISNUMBER(M8),ISNUMBER(L8),L8&gt;0),(M8-L8)/L8,"")</f>
        <v/>
      </c>
      <c r="P8" s="3">
        <f>IF(O8="","",IF(O8&lt;-0.02,"🔴 Bán phá giá sàn",IF(O8&gt;0.05,"🔵 Bán cao hơn","🟢 Đúng giá sàn TMĐT")))</f>
        <v/>
      </c>
      <c r="Q8" s="3" t="n"/>
      <c r="R8" s="4" t="n"/>
      <c r="S8" s="4" t="n"/>
    </row>
    <row r="9">
      <c r="A9" s="3" t="n">
        <v>8</v>
      </c>
      <c r="B9" s="3" t="inlineStr">
        <is>
          <t>KH001</t>
        </is>
      </c>
      <c r="C9" s="4" t="inlineStr">
        <is>
          <t>Điện nước Nhật (Shop) HCM</t>
        </is>
      </c>
      <c r="D9" s="3" t="inlineStr">
        <is>
          <t>HCM</t>
        </is>
      </c>
      <c r="E9" s="3" t="inlineStr">
        <is>
          <t>BẢO TRÂM</t>
        </is>
      </c>
      <c r="F9" s="3" t="inlineStr">
        <is>
          <t>Shopee</t>
        </is>
      </c>
      <c r="G9" s="3" t="inlineStr">
        <is>
          <t>KV7-036</t>
        </is>
      </c>
      <c r="H9" s="4" t="inlineStr">
        <is>
          <t>Bộ tuốc nơ vít đa năng KV7-036</t>
        </is>
      </c>
      <c r="I9" s="3" t="inlineStr">
        <is>
          <t>Cái</t>
        </is>
      </c>
      <c r="J9" s="5" t="n">
        <v>176000</v>
      </c>
      <c r="K9" s="5" t="n">
        <v>208000</v>
      </c>
      <c r="L9" s="6" t="n">
        <v>255000</v>
      </c>
      <c r="M9" s="5" t="n"/>
      <c r="N9" s="5">
        <f>IF(AND(ISNUMBER(M9),ISNUMBER(L9)),M9-L9,"")</f>
        <v/>
      </c>
      <c r="O9" s="7">
        <f>IF(AND(ISNUMBER(M9),ISNUMBER(L9),L9&gt;0),(M9-L9)/L9,"")</f>
        <v/>
      </c>
      <c r="P9" s="3">
        <f>IF(O9="","",IF(O9&lt;-0.02,"🔴 Bán phá giá sàn",IF(O9&gt;0.05,"🔵 Bán cao hơn","🟢 Đúng giá sàn TMĐT")))</f>
        <v/>
      </c>
      <c r="Q9" s="3" t="n"/>
      <c r="R9" s="4" t="n"/>
      <c r="S9" s="4" t="n"/>
    </row>
    <row r="10">
      <c r="A10" s="3" t="n">
        <v>9</v>
      </c>
      <c r="B10" s="3" t="inlineStr">
        <is>
          <t>KH001</t>
        </is>
      </c>
      <c r="C10" s="4" t="inlineStr">
        <is>
          <t>Điện nước Nhật (Shop) HCM</t>
        </is>
      </c>
      <c r="D10" s="3" t="inlineStr">
        <is>
          <t>HCM</t>
        </is>
      </c>
      <c r="E10" s="3" t="inlineStr">
        <is>
          <t>BẢO TRÂM</t>
        </is>
      </c>
      <c r="F10" s="3" t="inlineStr">
        <is>
          <t>Shopee</t>
        </is>
      </c>
      <c r="G10" s="3" t="inlineStr">
        <is>
          <t>KV8-113</t>
        </is>
      </c>
      <c r="H10" s="4" t="inlineStr">
        <is>
          <t>Bộ tuốc nơ vít ĐN cao cấp 113 chi tiết KV8-113</t>
        </is>
      </c>
      <c r="I10" s="3" t="inlineStr">
        <is>
          <t>Bộ</t>
        </is>
      </c>
      <c r="J10" s="5" t="n">
        <v>372000</v>
      </c>
      <c r="K10" s="5" t="n">
        <v>439000</v>
      </c>
      <c r="L10" s="6" t="n">
        <v>539000</v>
      </c>
      <c r="M10" s="5" t="n"/>
      <c r="N10" s="5">
        <f>IF(AND(ISNUMBER(M10),ISNUMBER(L10)),M10-L10,"")</f>
        <v/>
      </c>
      <c r="O10" s="7">
        <f>IF(AND(ISNUMBER(M10),ISNUMBER(L10),L10&gt;0),(M10-L10)/L10,"")</f>
        <v/>
      </c>
      <c r="P10" s="3">
        <f>IF(O10="","",IF(O10&lt;-0.02,"🔴 Bán phá giá sàn",IF(O10&gt;0.05,"🔵 Bán cao hơn","🟢 Đúng giá sàn TMĐT")))</f>
        <v/>
      </c>
      <c r="Q10" s="3" t="n"/>
      <c r="R10" s="4" t="n"/>
      <c r="S10" s="4" t="n"/>
    </row>
    <row r="11">
      <c r="A11" s="3" t="n">
        <v>10</v>
      </c>
      <c r="B11" s="3" t="inlineStr">
        <is>
          <t>KH001</t>
        </is>
      </c>
      <c r="C11" s="4" t="inlineStr">
        <is>
          <t>Điện nước Nhật (Shop) HCM</t>
        </is>
      </c>
      <c r="D11" s="3" t="inlineStr">
        <is>
          <t>HCM</t>
        </is>
      </c>
      <c r="E11" s="3" t="inlineStr">
        <is>
          <t>BẢO TRÂM</t>
        </is>
      </c>
      <c r="F11" s="3" t="inlineStr">
        <is>
          <t>Shopee</t>
        </is>
      </c>
      <c r="G11" s="3" t="inlineStr">
        <is>
          <t>KV10-13</t>
        </is>
      </c>
      <c r="H11" s="4" t="inlineStr">
        <is>
          <t>Bộ tuvit đóng KV10-13</t>
        </is>
      </c>
      <c r="I11" s="3" t="inlineStr">
        <is>
          <t>Cái</t>
        </is>
      </c>
      <c r="J11" s="5" t="n">
        <v>269000</v>
      </c>
      <c r="K11" s="5" t="n">
        <v>317000</v>
      </c>
      <c r="L11" s="6" t="n">
        <v>390000</v>
      </c>
      <c r="M11" s="5" t="n"/>
      <c r="N11" s="5">
        <f>IF(AND(ISNUMBER(M11),ISNUMBER(L11)),M11-L11,"")</f>
        <v/>
      </c>
      <c r="O11" s="7">
        <f>IF(AND(ISNUMBER(M11),ISNUMBER(L11),L11&gt;0),(M11-L11)/L11,"")</f>
        <v/>
      </c>
      <c r="P11" s="3">
        <f>IF(O11="","",IF(O11&lt;-0.02,"🔴 Bán phá giá sàn",IF(O11&gt;0.05,"🔵 Bán cao hơn","🟢 Đúng giá sàn TMĐT")))</f>
        <v/>
      </c>
      <c r="Q11" s="3" t="n"/>
      <c r="R11" s="4" t="n"/>
      <c r="S11" s="4" t="n"/>
    </row>
    <row r="12">
      <c r="A12" s="3" t="n">
        <v>11</v>
      </c>
      <c r="B12" s="3" t="inlineStr">
        <is>
          <t>KH001</t>
        </is>
      </c>
      <c r="C12" s="4" t="inlineStr">
        <is>
          <t>Điện nước Nhật (Shop) HCM</t>
        </is>
      </c>
      <c r="D12" s="3" t="inlineStr">
        <is>
          <t>HCM</t>
        </is>
      </c>
      <c r="E12" s="3" t="inlineStr">
        <is>
          <t>BẢO TRÂM</t>
        </is>
      </c>
      <c r="F12" s="3" t="inlineStr">
        <is>
          <t>Shopee</t>
        </is>
      </c>
      <c r="G12" s="3" t="inlineStr">
        <is>
          <t>KIC140</t>
        </is>
      </c>
      <c r="H12" s="4" t="inlineStr">
        <is>
          <t>Bút thử điện KIC140</t>
        </is>
      </c>
      <c r="I12" s="3" t="inlineStr">
        <is>
          <t>Cái</t>
        </is>
      </c>
      <c r="J12" s="5" t="n">
        <v>14000</v>
      </c>
      <c r="K12" s="5" t="n">
        <v>16000</v>
      </c>
      <c r="L12" s="6" t="n">
        <v>20000</v>
      </c>
      <c r="M12" s="5" t="n"/>
      <c r="N12" s="5">
        <f>IF(AND(ISNUMBER(M12),ISNUMBER(L12)),M12-L12,"")</f>
        <v/>
      </c>
      <c r="O12" s="7">
        <f>IF(AND(ISNUMBER(M12),ISNUMBER(L12),L12&gt;0),(M12-L12)/L12,"")</f>
        <v/>
      </c>
      <c r="P12" s="3">
        <f>IF(O12="","",IF(O12&lt;-0.02,"🔴 Bán phá giá sàn",IF(O12&gt;0.05,"🔵 Bán cao hơn","🟢 Đúng giá sàn TMĐT")))</f>
        <v/>
      </c>
      <c r="Q12" s="3" t="n"/>
      <c r="R12" s="4" t="n"/>
      <c r="S12" s="4" t="n"/>
    </row>
    <row r="13">
      <c r="A13" s="3" t="n">
        <v>12</v>
      </c>
      <c r="B13" s="3" t="inlineStr">
        <is>
          <t>KH001</t>
        </is>
      </c>
      <c r="C13" s="4" t="inlineStr">
        <is>
          <t>Điện nước Nhật (Shop) HCM</t>
        </is>
      </c>
      <c r="D13" s="3" t="inlineStr">
        <is>
          <t>HCM</t>
        </is>
      </c>
      <c r="E13" s="3" t="inlineStr">
        <is>
          <t>BẢO TRÂM</t>
        </is>
      </c>
      <c r="F13" s="3" t="inlineStr">
        <is>
          <t>Shopee</t>
        </is>
      </c>
      <c r="G13" s="3" t="inlineStr">
        <is>
          <t>KCC3</t>
        </is>
      </c>
      <c r="H13" s="4" t="inlineStr">
        <is>
          <t>Cảo chữ C - KCC3</t>
        </is>
      </c>
      <c r="I13" s="3" t="inlineStr">
        <is>
          <t>Cái</t>
        </is>
      </c>
      <c r="J13" s="5" t="n">
        <v>99000</v>
      </c>
      <c r="K13" s="5" t="n">
        <v>117000</v>
      </c>
      <c r="L13" s="6" t="n">
        <v>144000</v>
      </c>
      <c r="M13" s="5" t="n"/>
      <c r="N13" s="5">
        <f>IF(AND(ISNUMBER(M13),ISNUMBER(L13)),M13-L13,"")</f>
        <v/>
      </c>
      <c r="O13" s="7">
        <f>IF(AND(ISNUMBER(M13),ISNUMBER(L13),L13&gt;0),(M13-L13)/L13,"")</f>
        <v/>
      </c>
      <c r="P13" s="3">
        <f>IF(O13="","",IF(O13&lt;-0.02,"🔴 Bán phá giá sàn",IF(O13&gt;0.05,"🔵 Bán cao hơn","🟢 Đúng giá sàn TMĐT")))</f>
        <v/>
      </c>
      <c r="Q13" s="3" t="n"/>
      <c r="R13" s="4" t="n"/>
      <c r="S13" s="4" t="n"/>
    </row>
    <row r="14">
      <c r="A14" s="3" t="n">
        <v>13</v>
      </c>
      <c r="B14" s="3" t="inlineStr">
        <is>
          <t>KH001</t>
        </is>
      </c>
      <c r="C14" s="4" t="inlineStr">
        <is>
          <t>Điện nước Nhật (Shop) HCM</t>
        </is>
      </c>
      <c r="D14" s="3" t="inlineStr">
        <is>
          <t>HCM</t>
        </is>
      </c>
      <c r="E14" s="3" t="inlineStr">
        <is>
          <t>BẢO TRÂM</t>
        </is>
      </c>
      <c r="F14" s="3" t="inlineStr">
        <is>
          <t>Shopee</t>
        </is>
      </c>
      <c r="G14" s="3" t="inlineStr">
        <is>
          <t>KFC8.150</t>
        </is>
      </c>
      <c r="H14" s="4" t="inlineStr">
        <is>
          <t>Cảo chữ F - KFC8.150</t>
        </is>
      </c>
      <c r="I14" s="3" t="inlineStr">
        <is>
          <t>Cái</t>
        </is>
      </c>
      <c r="J14" s="5" t="n">
        <v>269000</v>
      </c>
      <c r="K14" s="5" t="n">
        <v>317000</v>
      </c>
      <c r="L14" s="6" t="n">
        <v>390000</v>
      </c>
      <c r="M14" s="5" t="n"/>
      <c r="N14" s="5">
        <f>IF(AND(ISNUMBER(M14),ISNUMBER(L14)),M14-L14,"")</f>
        <v/>
      </c>
      <c r="O14" s="7">
        <f>IF(AND(ISNUMBER(M14),ISNUMBER(L14),L14&gt;0),(M14-L14)/L14,"")</f>
        <v/>
      </c>
      <c r="P14" s="3">
        <f>IF(O14="","",IF(O14&lt;-0.02,"🔴 Bán phá giá sàn",IF(O14&gt;0.05,"🔵 Bán cao hơn","🟢 Đúng giá sàn TMĐT")))</f>
        <v/>
      </c>
      <c r="Q14" s="3" t="n"/>
      <c r="R14" s="4" t="n"/>
      <c r="S14" s="4" t="n"/>
    </row>
    <row r="15">
      <c r="A15" s="3" t="n">
        <v>14</v>
      </c>
      <c r="B15" s="3" t="inlineStr">
        <is>
          <t>KH001</t>
        </is>
      </c>
      <c r="C15" s="4" t="inlineStr">
        <is>
          <t>Điện nước Nhật (Shop) HCM</t>
        </is>
      </c>
      <c r="D15" s="3" t="inlineStr">
        <is>
          <t>HCM</t>
        </is>
      </c>
      <c r="E15" s="3" t="inlineStr">
        <is>
          <t>BẢO TRÂM</t>
        </is>
      </c>
      <c r="F15" s="3" t="inlineStr">
        <is>
          <t>Shopee</t>
        </is>
      </c>
      <c r="G15" s="3" t="inlineStr">
        <is>
          <t>KLG-01</t>
        </is>
      </c>
      <c r="H15" s="4" t="inlineStr">
        <is>
          <t>Cần siết tự động 1/2 (72 răng) KLG-01</t>
        </is>
      </c>
      <c r="I15" s="3" t="inlineStr">
        <is>
          <t>Cái</t>
        </is>
      </c>
      <c r="J15" s="5" t="n">
        <v>160000</v>
      </c>
      <c r="K15" s="5" t="n">
        <v>189000</v>
      </c>
      <c r="L15" s="6" t="n">
        <v>232000</v>
      </c>
      <c r="M15" s="5" t="n"/>
      <c r="N15" s="5">
        <f>IF(AND(ISNUMBER(M15),ISNUMBER(L15)),M15-L15,"")</f>
        <v/>
      </c>
      <c r="O15" s="7">
        <f>IF(AND(ISNUMBER(M15),ISNUMBER(L15),L15&gt;0),(M15-L15)/L15,"")</f>
        <v/>
      </c>
      <c r="P15" s="3">
        <f>IF(O15="","",IF(O15&lt;-0.02,"🔴 Bán phá giá sàn",IF(O15&gt;0.05,"🔵 Bán cao hơn","🟢 Đúng giá sàn TMĐT")))</f>
        <v/>
      </c>
      <c r="Q15" s="3" t="n"/>
      <c r="R15" s="4" t="n"/>
      <c r="S15" s="4" t="n"/>
    </row>
    <row r="16">
      <c r="A16" s="3" t="n">
        <v>15</v>
      </c>
      <c r="B16" s="3" t="inlineStr">
        <is>
          <t>KH001</t>
        </is>
      </c>
      <c r="C16" s="4" t="inlineStr">
        <is>
          <t>Điện nước Nhật (Shop) HCM</t>
        </is>
      </c>
      <c r="D16" s="3" t="inlineStr">
        <is>
          <t>HCM</t>
        </is>
      </c>
      <c r="E16" s="3" t="inlineStr">
        <is>
          <t>BẢO TRÂM</t>
        </is>
      </c>
      <c r="F16" s="3" t="inlineStr">
        <is>
          <t>Shopee</t>
        </is>
      </c>
      <c r="G16" s="3" t="inlineStr">
        <is>
          <t>KB-ST18</t>
        </is>
      </c>
      <c r="H16" s="4" t="inlineStr">
        <is>
          <t>Công cụ đóng đinh bán tự động KB-ST18</t>
        </is>
      </c>
      <c r="I16" s="3" t="inlineStr">
        <is>
          <t>Cái</t>
        </is>
      </c>
      <c r="J16" s="5" t="n">
        <v>242000</v>
      </c>
      <c r="K16" s="5" t="n">
        <v>286000</v>
      </c>
      <c r="L16" s="6" t="n">
        <v>351000</v>
      </c>
      <c r="M16" s="5" t="n"/>
      <c r="N16" s="5">
        <f>IF(AND(ISNUMBER(M16),ISNUMBER(L16)),M16-L16,"")</f>
        <v/>
      </c>
      <c r="O16" s="7">
        <f>IF(AND(ISNUMBER(M16),ISNUMBER(L16),L16&gt;0),(M16-L16)/L16,"")</f>
        <v/>
      </c>
      <c r="P16" s="3">
        <f>IF(O16="","",IF(O16&lt;-0.02,"🔴 Bán phá giá sàn",IF(O16&gt;0.05,"🔵 Bán cao hơn","🟢 Đúng giá sàn TMĐT")))</f>
        <v/>
      </c>
      <c r="Q16" s="3" t="n"/>
      <c r="R16" s="4" t="n"/>
      <c r="S16" s="4" t="n"/>
    </row>
    <row r="17">
      <c r="A17" s="3" t="n">
        <v>16</v>
      </c>
      <c r="B17" s="3" t="inlineStr">
        <is>
          <t>KH001</t>
        </is>
      </c>
      <c r="C17" s="4" t="inlineStr">
        <is>
          <t>Điện nước Nhật (Shop) HCM</t>
        </is>
      </c>
      <c r="D17" s="3" t="inlineStr">
        <is>
          <t>HCM</t>
        </is>
      </c>
      <c r="E17" s="3" t="inlineStr">
        <is>
          <t>BẢO TRÂM</t>
        </is>
      </c>
      <c r="F17" s="3" t="inlineStr">
        <is>
          <t>Shopee</t>
        </is>
      </c>
      <c r="G17" s="3" t="inlineStr">
        <is>
          <t>KH3-08</t>
        </is>
      </c>
      <c r="H17" s="4" t="inlineStr">
        <is>
          <t>Cờ lê vòng miệng tự động ( càng cua đảo chiều) KH3-08</t>
        </is>
      </c>
      <c r="I17" s="3" t="inlineStr">
        <is>
          <t>Cái</t>
        </is>
      </c>
      <c r="J17" s="5" t="n">
        <v>54000</v>
      </c>
      <c r="K17" s="5" t="n">
        <v>64000</v>
      </c>
      <c r="L17" s="6" t="n">
        <v>78000</v>
      </c>
      <c r="M17" s="5" t="n"/>
      <c r="N17" s="5">
        <f>IF(AND(ISNUMBER(M17),ISNUMBER(L17)),M17-L17,"")</f>
        <v/>
      </c>
      <c r="O17" s="7">
        <f>IF(AND(ISNUMBER(M17),ISNUMBER(L17),L17&gt;0),(M17-L17)/L17,"")</f>
        <v/>
      </c>
      <c r="P17" s="3">
        <f>IF(O17="","",IF(O17&lt;-0.02,"🔴 Bán phá giá sàn",IF(O17&gt;0.05,"🔵 Bán cao hơn","🟢 Đúng giá sàn TMĐT")))</f>
        <v/>
      </c>
      <c r="Q17" s="3" t="n"/>
      <c r="R17" s="4" t="n"/>
      <c r="S17" s="4" t="n"/>
    </row>
    <row r="18">
      <c r="A18" s="3" t="n">
        <v>17</v>
      </c>
      <c r="B18" s="3" t="inlineStr">
        <is>
          <t>KH001</t>
        </is>
      </c>
      <c r="C18" s="4" t="inlineStr">
        <is>
          <t>Điện nước Nhật (Shop) HCM</t>
        </is>
      </c>
      <c r="D18" s="3" t="inlineStr">
        <is>
          <t>HCM</t>
        </is>
      </c>
      <c r="E18" s="3" t="inlineStr">
        <is>
          <t>BẢO TRÂM</t>
        </is>
      </c>
      <c r="F18" s="3" t="inlineStr">
        <is>
          <t>Shopee</t>
        </is>
      </c>
      <c r="G18" s="3" t="inlineStr">
        <is>
          <t>KH3-10</t>
        </is>
      </c>
      <c r="H18" s="4" t="inlineStr">
        <is>
          <t>Cờ lê vòng miệng tự động ( càng cua đảo chiều) KH3-10</t>
        </is>
      </c>
      <c r="I18" s="3" t="inlineStr">
        <is>
          <t>Cái</t>
        </is>
      </c>
      <c r="J18" s="5" t="n">
        <v>62000</v>
      </c>
      <c r="K18" s="5" t="n">
        <v>73000</v>
      </c>
      <c r="L18" s="6" t="n">
        <v>90000</v>
      </c>
      <c r="M18" s="5" t="n"/>
      <c r="N18" s="5">
        <f>IF(AND(ISNUMBER(M18),ISNUMBER(L18)),M18-L18,"")</f>
        <v/>
      </c>
      <c r="O18" s="7">
        <f>IF(AND(ISNUMBER(M18),ISNUMBER(L18),L18&gt;0),(M18-L18)/L18,"")</f>
        <v/>
      </c>
      <c r="P18" s="3">
        <f>IF(O18="","",IF(O18&lt;-0.02,"🔴 Bán phá giá sàn",IF(O18&gt;0.05,"🔵 Bán cao hơn","🟢 Đúng giá sàn TMĐT")))</f>
        <v/>
      </c>
      <c r="Q18" s="3" t="n"/>
      <c r="R18" s="4" t="n"/>
      <c r="S18" s="4" t="n"/>
    </row>
    <row r="19">
      <c r="A19" s="3" t="n">
        <v>18</v>
      </c>
      <c r="B19" s="3" t="inlineStr">
        <is>
          <t>KH001</t>
        </is>
      </c>
      <c r="C19" s="4" t="inlineStr">
        <is>
          <t>Điện nước Nhật (Shop) HCM</t>
        </is>
      </c>
      <c r="D19" s="3" t="inlineStr">
        <is>
          <t>HCM</t>
        </is>
      </c>
      <c r="E19" s="3" t="inlineStr">
        <is>
          <t>BẢO TRÂM</t>
        </is>
      </c>
      <c r="F19" s="3" t="inlineStr">
        <is>
          <t>Shopee</t>
        </is>
      </c>
      <c r="G19" s="3" t="inlineStr">
        <is>
          <t>KH3-12</t>
        </is>
      </c>
      <c r="H19" s="4" t="inlineStr">
        <is>
          <t>Cờ lê vòng miệng tự động ( càng cua đảo chiều) KH3-12</t>
        </is>
      </c>
      <c r="I19" s="3" t="inlineStr">
        <is>
          <t>Cái</t>
        </is>
      </c>
      <c r="J19" s="5" t="n">
        <v>70000</v>
      </c>
      <c r="K19" s="5" t="n">
        <v>83000</v>
      </c>
      <c r="L19" s="6" t="n">
        <v>102000</v>
      </c>
      <c r="M19" s="5" t="n"/>
      <c r="N19" s="5">
        <f>IF(AND(ISNUMBER(M19),ISNUMBER(L19)),M19-L19,"")</f>
        <v/>
      </c>
      <c r="O19" s="7">
        <f>IF(AND(ISNUMBER(M19),ISNUMBER(L19),L19&gt;0),(M19-L19)/L19,"")</f>
        <v/>
      </c>
      <c r="P19" s="3">
        <f>IF(O19="","",IF(O19&lt;-0.02,"🔴 Bán phá giá sàn",IF(O19&gt;0.05,"🔵 Bán cao hơn","🟢 Đúng giá sàn TMĐT")))</f>
        <v/>
      </c>
      <c r="Q19" s="3" t="n"/>
      <c r="R19" s="4" t="n"/>
      <c r="S19" s="4" t="n"/>
    </row>
    <row r="20">
      <c r="A20" s="3" t="n">
        <v>19</v>
      </c>
      <c r="B20" s="3" t="inlineStr">
        <is>
          <t>KH001</t>
        </is>
      </c>
      <c r="C20" s="4" t="inlineStr">
        <is>
          <t>Điện nước Nhật (Shop) HCM</t>
        </is>
      </c>
      <c r="D20" s="3" t="inlineStr">
        <is>
          <t>HCM</t>
        </is>
      </c>
      <c r="E20" s="3" t="inlineStr">
        <is>
          <t>BẢO TRÂM</t>
        </is>
      </c>
      <c r="F20" s="3" t="inlineStr">
        <is>
          <t>Shopee</t>
        </is>
      </c>
      <c r="G20" s="3" t="inlineStr">
        <is>
          <t>KH3-13</t>
        </is>
      </c>
      <c r="H20" s="4" t="inlineStr">
        <is>
          <t>Cờ lê vòng miệng tự động ( càng cua đảo chiều) KH3-13</t>
        </is>
      </c>
      <c r="I20" s="3" t="inlineStr">
        <is>
          <t>Cái</t>
        </is>
      </c>
      <c r="J20" s="5" t="n">
        <v>75000</v>
      </c>
      <c r="K20" s="5" t="n">
        <v>89000</v>
      </c>
      <c r="L20" s="6" t="n">
        <v>109000</v>
      </c>
      <c r="M20" s="5" t="n"/>
      <c r="N20" s="5">
        <f>IF(AND(ISNUMBER(M20),ISNUMBER(L20)),M20-L20,"")</f>
        <v/>
      </c>
      <c r="O20" s="7">
        <f>IF(AND(ISNUMBER(M20),ISNUMBER(L20),L20&gt;0),(M20-L20)/L20,"")</f>
        <v/>
      </c>
      <c r="P20" s="3">
        <f>IF(O20="","",IF(O20&lt;-0.02,"🔴 Bán phá giá sàn",IF(O20&gt;0.05,"🔵 Bán cao hơn","🟢 Đúng giá sàn TMĐT")))</f>
        <v/>
      </c>
      <c r="Q20" s="3" t="n"/>
      <c r="R20" s="4" t="n"/>
      <c r="S20" s="4" t="n"/>
    </row>
    <row r="21">
      <c r="A21" s="3" t="n">
        <v>20</v>
      </c>
      <c r="B21" s="3" t="inlineStr">
        <is>
          <t>KH001</t>
        </is>
      </c>
      <c r="C21" s="4" t="inlineStr">
        <is>
          <t>Điện nước Nhật (Shop) HCM</t>
        </is>
      </c>
      <c r="D21" s="3" t="inlineStr">
        <is>
          <t>HCM</t>
        </is>
      </c>
      <c r="E21" s="3" t="inlineStr">
        <is>
          <t>BẢO TRÂM</t>
        </is>
      </c>
      <c r="F21" s="3" t="inlineStr">
        <is>
          <t>Shopee</t>
        </is>
      </c>
      <c r="G21" s="3" t="inlineStr">
        <is>
          <t>KH3-14</t>
        </is>
      </c>
      <c r="H21" s="4" t="inlineStr">
        <is>
          <t>Cờ lê vòng miệng tự động ( càng cua đảo chiều) KH3-14</t>
        </is>
      </c>
      <c r="I21" s="3" t="inlineStr">
        <is>
          <t>Cái</t>
        </is>
      </c>
      <c r="J21" s="5" t="n">
        <v>79000</v>
      </c>
      <c r="K21" s="5" t="n">
        <v>93000</v>
      </c>
      <c r="L21" s="6" t="n">
        <v>115000</v>
      </c>
      <c r="M21" s="5" t="n"/>
      <c r="N21" s="5">
        <f>IF(AND(ISNUMBER(M21),ISNUMBER(L21)),M21-L21,"")</f>
        <v/>
      </c>
      <c r="O21" s="7">
        <f>IF(AND(ISNUMBER(M21),ISNUMBER(L21),L21&gt;0),(M21-L21)/L21,"")</f>
        <v/>
      </c>
      <c r="P21" s="3">
        <f>IF(O21="","",IF(O21&lt;-0.02,"🔴 Bán phá giá sàn",IF(O21&gt;0.05,"🔵 Bán cao hơn","🟢 Đúng giá sàn TMĐT")))</f>
        <v/>
      </c>
      <c r="Q21" s="3" t="n"/>
      <c r="R21" s="4" t="n"/>
      <c r="S21" s="4" t="n"/>
    </row>
    <row r="22">
      <c r="A22" s="3" t="n">
        <v>21</v>
      </c>
      <c r="B22" s="3" t="inlineStr">
        <is>
          <t>KH001</t>
        </is>
      </c>
      <c r="C22" s="4" t="inlineStr">
        <is>
          <t>Điện nước Nhật (Shop) HCM</t>
        </is>
      </c>
      <c r="D22" s="3" t="inlineStr">
        <is>
          <t>HCM</t>
        </is>
      </c>
      <c r="E22" s="3" t="inlineStr">
        <is>
          <t>BẢO TRÂM</t>
        </is>
      </c>
      <c r="F22" s="3" t="inlineStr">
        <is>
          <t>Shopee</t>
        </is>
      </c>
      <c r="G22" s="3" t="inlineStr">
        <is>
          <t>KH3-17</t>
        </is>
      </c>
      <c r="H22" s="4" t="inlineStr">
        <is>
          <t>Cờ lê vòng miệng tự động ( càng cua đảo chiều) KH3-17</t>
        </is>
      </c>
      <c r="I22" s="3" t="inlineStr">
        <is>
          <t>Cái</t>
        </is>
      </c>
      <c r="J22" s="5" t="n">
        <v>97000</v>
      </c>
      <c r="K22" s="5" t="n">
        <v>115000</v>
      </c>
      <c r="L22" s="6" t="n">
        <v>141000</v>
      </c>
      <c r="M22" s="5" t="n"/>
      <c r="N22" s="5">
        <f>IF(AND(ISNUMBER(M22),ISNUMBER(L22)),M22-L22,"")</f>
        <v/>
      </c>
      <c r="O22" s="7">
        <f>IF(AND(ISNUMBER(M22),ISNUMBER(L22),L22&gt;0),(M22-L22)/L22,"")</f>
        <v/>
      </c>
      <c r="P22" s="3">
        <f>IF(O22="","",IF(O22&lt;-0.02,"🔴 Bán phá giá sàn",IF(O22&gt;0.05,"🔵 Bán cao hơn","🟢 Đúng giá sàn TMĐT")))</f>
        <v/>
      </c>
      <c r="Q22" s="3" t="n"/>
      <c r="R22" s="4" t="n"/>
      <c r="S22" s="4" t="n"/>
    </row>
    <row r="23">
      <c r="A23" s="3" t="n">
        <v>22</v>
      </c>
      <c r="B23" s="3" t="inlineStr">
        <is>
          <t>KH001</t>
        </is>
      </c>
      <c r="C23" s="4" t="inlineStr">
        <is>
          <t>Điện nước Nhật (Shop) HCM</t>
        </is>
      </c>
      <c r="D23" s="3" t="inlineStr">
        <is>
          <t>HCM</t>
        </is>
      </c>
      <c r="E23" s="3" t="inlineStr">
        <is>
          <t>BẢO TRÂM</t>
        </is>
      </c>
      <c r="F23" s="3" t="inlineStr">
        <is>
          <t>Shopee</t>
        </is>
      </c>
      <c r="G23" s="3" t="inlineStr">
        <is>
          <t>KH3-19</t>
        </is>
      </c>
      <c r="H23" s="4" t="inlineStr">
        <is>
          <t>Cờ lê vòng miệng tự động ( càng cua đảo chiều) KH3-19</t>
        </is>
      </c>
      <c r="I23" s="3" t="inlineStr">
        <is>
          <t>Cái</t>
        </is>
      </c>
      <c r="J23" s="5" t="n">
        <v>108000</v>
      </c>
      <c r="K23" s="5" t="n">
        <v>128000</v>
      </c>
      <c r="L23" s="6" t="n">
        <v>157000</v>
      </c>
      <c r="M23" s="5" t="n"/>
      <c r="N23" s="5">
        <f>IF(AND(ISNUMBER(M23),ISNUMBER(L23)),M23-L23,"")</f>
        <v/>
      </c>
      <c r="O23" s="7">
        <f>IF(AND(ISNUMBER(M23),ISNUMBER(L23),L23&gt;0),(M23-L23)/L23,"")</f>
        <v/>
      </c>
      <c r="P23" s="3">
        <f>IF(O23="","",IF(O23&lt;-0.02,"🔴 Bán phá giá sàn",IF(O23&gt;0.05,"🔵 Bán cao hơn","🟢 Đúng giá sàn TMĐT")))</f>
        <v/>
      </c>
      <c r="Q23" s="3" t="n"/>
      <c r="R23" s="4" t="n"/>
      <c r="S23" s="4" t="n"/>
    </row>
    <row r="24">
      <c r="A24" s="3" t="n">
        <v>23</v>
      </c>
      <c r="B24" s="3" t="inlineStr">
        <is>
          <t>KH001</t>
        </is>
      </c>
      <c r="C24" s="4" t="inlineStr">
        <is>
          <t>Điện nước Nhật (Shop) HCM</t>
        </is>
      </c>
      <c r="D24" s="3" t="inlineStr">
        <is>
          <t>HCM</t>
        </is>
      </c>
      <c r="E24" s="3" t="inlineStr">
        <is>
          <t>BẢO TRÂM</t>
        </is>
      </c>
      <c r="F24" s="3" t="inlineStr">
        <is>
          <t>Shopee</t>
        </is>
      </c>
      <c r="G24" s="3" t="inlineStr">
        <is>
          <t>KJH-04</t>
        </is>
      </c>
      <c r="H24" s="4" t="inlineStr">
        <is>
          <t>Dao rọc cáp đa năng KJH-04</t>
        </is>
      </c>
      <c r="I24" s="3" t="inlineStr">
        <is>
          <t>Cái</t>
        </is>
      </c>
      <c r="J24" s="5" t="n">
        <v>121000</v>
      </c>
      <c r="K24" s="5" t="n">
        <v>143000</v>
      </c>
      <c r="L24" s="6" t="n">
        <v>176000</v>
      </c>
      <c r="M24" s="5" t="n"/>
      <c r="N24" s="5">
        <f>IF(AND(ISNUMBER(M24),ISNUMBER(L24)),M24-L24,"")</f>
        <v/>
      </c>
      <c r="O24" s="7">
        <f>IF(AND(ISNUMBER(M24),ISNUMBER(L24),L24&gt;0),(M24-L24)/L24,"")</f>
        <v/>
      </c>
      <c r="P24" s="3">
        <f>IF(O24="","",IF(O24&lt;-0.02,"🔴 Bán phá giá sàn",IF(O24&gt;0.05,"🔵 Bán cao hơn","🟢 Đúng giá sàn TMĐT")))</f>
        <v/>
      </c>
      <c r="Q24" s="3" t="n"/>
      <c r="R24" s="4" t="n"/>
      <c r="S24" s="4" t="n"/>
    </row>
    <row r="25">
      <c r="A25" s="3" t="n">
        <v>24</v>
      </c>
      <c r="B25" s="3" t="inlineStr">
        <is>
          <t>KH001</t>
        </is>
      </c>
      <c r="C25" s="4" t="inlineStr">
        <is>
          <t>Điện nước Nhật (Shop) HCM</t>
        </is>
      </c>
      <c r="D25" s="3" t="inlineStr">
        <is>
          <t>HCM</t>
        </is>
      </c>
      <c r="E25" s="3" t="inlineStr">
        <is>
          <t>BẢO TRÂM</t>
        </is>
      </c>
      <c r="F25" s="3" t="inlineStr">
        <is>
          <t>Shopee</t>
        </is>
      </c>
      <c r="G25" s="3" t="inlineStr">
        <is>
          <t>KJH-06</t>
        </is>
      </c>
      <c r="H25" s="4" t="inlineStr">
        <is>
          <t>Dao rọc cáp đa năng KJH-06</t>
        </is>
      </c>
      <c r="I25" s="3" t="inlineStr">
        <is>
          <t>Cái</t>
        </is>
      </c>
      <c r="J25" s="5" t="n">
        <v>171000</v>
      </c>
      <c r="K25" s="5" t="n">
        <v>202000</v>
      </c>
      <c r="L25" s="6" t="n">
        <v>248000</v>
      </c>
      <c r="M25" s="5" t="n"/>
      <c r="N25" s="5">
        <f>IF(AND(ISNUMBER(M25),ISNUMBER(L25)),M25-L25,"")</f>
        <v/>
      </c>
      <c r="O25" s="7">
        <f>IF(AND(ISNUMBER(M25),ISNUMBER(L25),L25&gt;0),(M25-L25)/L25,"")</f>
        <v/>
      </c>
      <c r="P25" s="3">
        <f>IF(O25="","",IF(O25&lt;-0.02,"🔴 Bán phá giá sàn",IF(O25&gt;0.05,"🔵 Bán cao hơn","🟢 Đúng giá sàn TMĐT")))</f>
        <v/>
      </c>
      <c r="Q25" s="3" t="n"/>
      <c r="R25" s="4" t="n"/>
      <c r="S25" s="4" t="n"/>
    </row>
    <row r="26">
      <c r="A26" s="3" t="n">
        <v>25</v>
      </c>
      <c r="B26" s="3" t="inlineStr">
        <is>
          <t>KH001</t>
        </is>
      </c>
      <c r="C26" s="4" t="inlineStr">
        <is>
          <t>Điện nước Nhật (Shop) HCM</t>
        </is>
      </c>
      <c r="D26" s="3" t="inlineStr">
        <is>
          <t>HCM</t>
        </is>
      </c>
      <c r="E26" s="3" t="inlineStr">
        <is>
          <t>BẢO TRÂM</t>
        </is>
      </c>
      <c r="F26" s="3" t="inlineStr">
        <is>
          <t>Shopee</t>
        </is>
      </c>
      <c r="G26" s="3" t="inlineStr">
        <is>
          <t>K54M</t>
        </is>
      </c>
      <c r="H26" s="4" t="inlineStr">
        <is>
          <t>Dụng cụ khò gas mini K54M</t>
        </is>
      </c>
      <c r="I26" s="3" t="inlineStr">
        <is>
          <t>Cái</t>
        </is>
      </c>
      <c r="J26" s="5" t="n">
        <v>209000</v>
      </c>
      <c r="K26" s="5" t="n">
        <v>247000</v>
      </c>
      <c r="L26" s="6" t="n">
        <v>303000</v>
      </c>
      <c r="M26" s="5" t="n"/>
      <c r="N26" s="5">
        <f>IF(AND(ISNUMBER(M26),ISNUMBER(L26)),M26-L26,"")</f>
        <v/>
      </c>
      <c r="O26" s="7">
        <f>IF(AND(ISNUMBER(M26),ISNUMBER(L26),L26&gt;0),(M26-L26)/L26,"")</f>
        <v/>
      </c>
      <c r="P26" s="3">
        <f>IF(O26="","",IF(O26&lt;-0.02,"🔴 Bán phá giá sàn",IF(O26&gt;0.05,"🔵 Bán cao hơn","🟢 Đúng giá sàn TMĐT")))</f>
        <v/>
      </c>
      <c r="Q26" s="3" t="n"/>
      <c r="R26" s="4" t="n"/>
      <c r="S26" s="4" t="n"/>
    </row>
    <row r="27">
      <c r="A27" s="3" t="n">
        <v>26</v>
      </c>
      <c r="B27" s="3" t="inlineStr">
        <is>
          <t>KH001</t>
        </is>
      </c>
      <c r="C27" s="4" t="inlineStr">
        <is>
          <t>Điện nước Nhật (Shop) HCM</t>
        </is>
      </c>
      <c r="D27" s="3" t="inlineStr">
        <is>
          <t>HCM</t>
        </is>
      </c>
      <c r="E27" s="3" t="inlineStr">
        <is>
          <t>BẢO TRÂM</t>
        </is>
      </c>
      <c r="F27" s="3" t="inlineStr">
        <is>
          <t>Shopee</t>
        </is>
      </c>
      <c r="G27" s="3" t="inlineStr">
        <is>
          <t>D1-107x1.2</t>
        </is>
      </c>
      <c r="H27" s="4" t="inlineStr">
        <is>
          <t>Đá cắt sắt, inox KingBlue D1-107x1.2 xanh (Hộp sắt)</t>
        </is>
      </c>
      <c r="I27" s="3" t="inlineStr">
        <is>
          <t>Cái</t>
        </is>
      </c>
      <c r="J27" s="5" t="n">
        <v>4000</v>
      </c>
      <c r="K27" s="5" t="n">
        <v>5000</v>
      </c>
      <c r="L27" s="6" t="n">
        <v>6500</v>
      </c>
      <c r="M27" s="5" t="n"/>
      <c r="N27" s="5">
        <f>IF(AND(ISNUMBER(M27),ISNUMBER(L27)),M27-L27,"")</f>
        <v/>
      </c>
      <c r="O27" s="7">
        <f>IF(AND(ISNUMBER(M27),ISNUMBER(L27),L27&gt;0),(M27-L27)/L27,"")</f>
        <v/>
      </c>
      <c r="P27" s="3">
        <f>IF(O27="","",IF(O27&lt;-0.02,"🔴 Bán phá giá sàn",IF(O27&gt;0.05,"🔵 Bán cao hơn","🟢 Đúng giá sàn TMĐT")))</f>
        <v/>
      </c>
      <c r="Q27" s="3" t="n"/>
      <c r="R27" s="4" t="n"/>
      <c r="S27" s="4" t="n"/>
    </row>
    <row r="28">
      <c r="A28" s="3" t="n">
        <v>27</v>
      </c>
      <c r="B28" s="3" t="inlineStr">
        <is>
          <t>KH001</t>
        </is>
      </c>
      <c r="C28" s="4" t="inlineStr">
        <is>
          <t>Điện nước Nhật (Shop) HCM</t>
        </is>
      </c>
      <c r="D28" s="3" t="inlineStr">
        <is>
          <t>HCM</t>
        </is>
      </c>
      <c r="E28" s="3" t="inlineStr">
        <is>
          <t>BẢO TRÂM</t>
        </is>
      </c>
      <c r="F28" s="3" t="inlineStr">
        <is>
          <t>Shopee</t>
        </is>
      </c>
      <c r="G28" s="3" t="inlineStr">
        <is>
          <t>D1-125x1.6</t>
        </is>
      </c>
      <c r="H28" s="4" t="inlineStr">
        <is>
          <t>Đá cắt sắt, inox Kingblue D1-125x1.6 xanh</t>
        </is>
      </c>
      <c r="I28" s="3" t="inlineStr">
        <is>
          <t>Cái</t>
        </is>
      </c>
      <c r="J28" s="5" t="n">
        <v>8300</v>
      </c>
      <c r="K28" s="5" t="n">
        <v>10400</v>
      </c>
      <c r="L28" s="6" t="n">
        <v>13500</v>
      </c>
      <c r="M28" s="5" t="n"/>
      <c r="N28" s="5">
        <f>IF(AND(ISNUMBER(M28),ISNUMBER(L28)),M28-L28,"")</f>
        <v/>
      </c>
      <c r="O28" s="7">
        <f>IF(AND(ISNUMBER(M28),ISNUMBER(L28),L28&gt;0),(M28-L28)/L28,"")</f>
        <v/>
      </c>
      <c r="P28" s="3">
        <f>IF(O28="","",IF(O28&lt;-0.02,"🔴 Bán phá giá sàn",IF(O28&gt;0.05,"🔵 Bán cao hơn","🟢 Đúng giá sàn TMĐT")))</f>
        <v/>
      </c>
      <c r="Q28" s="3" t="n"/>
      <c r="R28" s="4" t="n"/>
      <c r="S28" s="4" t="n"/>
    </row>
    <row r="29">
      <c r="A29" s="3" t="n">
        <v>28</v>
      </c>
      <c r="B29" s="3" t="inlineStr">
        <is>
          <t>KH001</t>
        </is>
      </c>
      <c r="C29" s="4" t="inlineStr">
        <is>
          <t>Điện nước Nhật (Shop) HCM</t>
        </is>
      </c>
      <c r="D29" s="3" t="inlineStr">
        <is>
          <t>HCM</t>
        </is>
      </c>
      <c r="E29" s="3" t="inlineStr">
        <is>
          <t>BẢO TRÂM</t>
        </is>
      </c>
      <c r="F29" s="3" t="inlineStr">
        <is>
          <t>Shopee</t>
        </is>
      </c>
      <c r="G29" s="3" t="inlineStr">
        <is>
          <t>D3-107x1.2</t>
        </is>
      </c>
      <c r="H29" s="4" t="inlineStr">
        <is>
          <t>Đá cắt sắt, inox KingBlue D3-107x1.2 xanh ( hộp sắt)</t>
        </is>
      </c>
      <c r="I29" s="3" t="inlineStr">
        <is>
          <t>Viên</t>
        </is>
      </c>
      <c r="J29" s="5" t="n">
        <v>4600</v>
      </c>
      <c r="K29" s="5" t="n">
        <v>5800</v>
      </c>
      <c r="L29" s="6" t="n">
        <v>7500</v>
      </c>
      <c r="M29" s="5" t="n"/>
      <c r="N29" s="5">
        <f>IF(AND(ISNUMBER(M29),ISNUMBER(L29)),M29-L29,"")</f>
        <v/>
      </c>
      <c r="O29" s="7">
        <f>IF(AND(ISNUMBER(M29),ISNUMBER(L29),L29&gt;0),(M29-L29)/L29,"")</f>
        <v/>
      </c>
      <c r="P29" s="3">
        <f>IF(O29="","",IF(O29&lt;-0.02,"🔴 Bán phá giá sàn",IF(O29&gt;0.05,"🔵 Bán cao hơn","🟢 Đúng giá sàn TMĐT")))</f>
        <v/>
      </c>
      <c r="Q29" s="3" t="n"/>
      <c r="R29" s="4" t="n"/>
      <c r="S29" s="4" t="n"/>
    </row>
    <row r="30">
      <c r="A30" s="3" t="n">
        <v>29</v>
      </c>
      <c r="B30" s="3" t="inlineStr">
        <is>
          <t>KH001</t>
        </is>
      </c>
      <c r="C30" s="4" t="inlineStr">
        <is>
          <t>Điện nước Nhật (Shop) HCM</t>
        </is>
      </c>
      <c r="D30" s="3" t="inlineStr">
        <is>
          <t>HCM</t>
        </is>
      </c>
      <c r="E30" s="3" t="inlineStr">
        <is>
          <t>BẢO TRÂM</t>
        </is>
      </c>
      <c r="F30" s="3" t="inlineStr">
        <is>
          <t>Shopee</t>
        </is>
      </c>
      <c r="G30" s="3" t="inlineStr">
        <is>
          <t>D3-125x1.8</t>
        </is>
      </c>
      <c r="H30" s="4" t="inlineStr">
        <is>
          <t>Đá cắt sắt, inox Kingblue D3-125x1.8 xanh</t>
        </is>
      </c>
      <c r="I30" s="3" t="inlineStr">
        <is>
          <t>Viên</t>
        </is>
      </c>
      <c r="J30" s="5" t="n">
        <v>9700</v>
      </c>
      <c r="K30" s="5" t="n">
        <v>12000</v>
      </c>
      <c r="L30" s="6" t="n">
        <v>15500</v>
      </c>
      <c r="M30" s="5" t="n"/>
      <c r="N30" s="5">
        <f>IF(AND(ISNUMBER(M30),ISNUMBER(L30)),M30-L30,"")</f>
        <v/>
      </c>
      <c r="O30" s="7">
        <f>IF(AND(ISNUMBER(M30),ISNUMBER(L30),L30&gt;0),(M30-L30)/L30,"")</f>
        <v/>
      </c>
      <c r="P30" s="3">
        <f>IF(O30="","",IF(O30&lt;-0.02,"🔴 Bán phá giá sàn",IF(O30&gt;0.05,"🔵 Bán cao hơn","🟢 Đúng giá sàn TMĐT")))</f>
        <v/>
      </c>
      <c r="Q30" s="3" t="n"/>
      <c r="R30" s="4" t="n"/>
      <c r="S30" s="4" t="n"/>
    </row>
    <row r="31">
      <c r="A31" s="3" t="n">
        <v>30</v>
      </c>
      <c r="B31" s="3" t="inlineStr">
        <is>
          <t>KH001</t>
        </is>
      </c>
      <c r="C31" s="4" t="inlineStr">
        <is>
          <t>Điện nước Nhật (Shop) HCM</t>
        </is>
      </c>
      <c r="D31" s="3" t="inlineStr">
        <is>
          <t>HCM</t>
        </is>
      </c>
      <c r="E31" s="3" t="inlineStr">
        <is>
          <t>BẢO TRÂM</t>
        </is>
      </c>
      <c r="F31" s="3" t="inlineStr">
        <is>
          <t>Shopee</t>
        </is>
      </c>
      <c r="G31" s="3" t="inlineStr">
        <is>
          <t>D3-150x2.0x22mm</t>
        </is>
      </c>
      <c r="H31" s="4" t="inlineStr">
        <is>
          <t>Đá cắt sắt, inox Kingblue D3-150x2.0x22mm</t>
        </is>
      </c>
      <c r="I31" s="3" t="inlineStr">
        <is>
          <t>Cái</t>
        </is>
      </c>
      <c r="J31" s="5" t="n">
        <v>269000</v>
      </c>
      <c r="K31" s="5" t="n">
        <v>317000</v>
      </c>
      <c r="L31" s="6" t="n">
        <v>390000</v>
      </c>
      <c r="M31" s="5" t="n"/>
      <c r="N31" s="5">
        <f>IF(AND(ISNUMBER(M31),ISNUMBER(L31)),M31-L31,"")</f>
        <v/>
      </c>
      <c r="O31" s="7">
        <f>IF(AND(ISNUMBER(M31),ISNUMBER(L31),L31&gt;0),(M31-L31)/L31,"")</f>
        <v/>
      </c>
      <c r="P31" s="3">
        <f>IF(O31="","",IF(O31&lt;-0.02,"🔴 Bán phá giá sàn",IF(O31&gt;0.05,"🔵 Bán cao hơn","🟢 Đúng giá sàn TMĐT")))</f>
        <v/>
      </c>
      <c r="Q31" s="3" t="n"/>
      <c r="R31" s="4" t="n"/>
      <c r="S31" s="4" t="n"/>
    </row>
    <row r="32">
      <c r="A32" s="3" t="n">
        <v>31</v>
      </c>
      <c r="B32" s="3" t="inlineStr">
        <is>
          <t>KH001</t>
        </is>
      </c>
      <c r="C32" s="4" t="inlineStr">
        <is>
          <t>Điện nước Nhật (Shop) HCM</t>
        </is>
      </c>
      <c r="D32" s="3" t="inlineStr">
        <is>
          <t>HCM</t>
        </is>
      </c>
      <c r="E32" s="3" t="inlineStr">
        <is>
          <t>BẢO TRÂM</t>
        </is>
      </c>
      <c r="F32" s="3" t="inlineStr">
        <is>
          <t>Shopee</t>
        </is>
      </c>
      <c r="G32" s="3" t="inlineStr">
        <is>
          <t>D3-180x2.0x22mm</t>
        </is>
      </c>
      <c r="H32" s="4" t="inlineStr">
        <is>
          <t>Đá cắt sắt, inox Kingblue D3-180x2.0x22mm</t>
        </is>
      </c>
      <c r="I32" s="3" t="inlineStr">
        <is>
          <t>Cái</t>
        </is>
      </c>
      <c r="J32" s="5" t="n">
        <v>269000</v>
      </c>
      <c r="K32" s="5" t="n">
        <v>317000</v>
      </c>
      <c r="L32" s="6" t="n">
        <v>390000</v>
      </c>
      <c r="M32" s="5" t="n"/>
      <c r="N32" s="5">
        <f>IF(AND(ISNUMBER(M32),ISNUMBER(L32)),M32-L32,"")</f>
        <v/>
      </c>
      <c r="O32" s="7">
        <f>IF(AND(ISNUMBER(M32),ISNUMBER(L32),L32&gt;0),(M32-L32)/L32,"")</f>
        <v/>
      </c>
      <c r="P32" s="3">
        <f>IF(O32="","",IF(O32&lt;-0.02,"🔴 Bán phá giá sàn",IF(O32&gt;0.05,"🔵 Bán cao hơn","🟢 Đúng giá sàn TMĐT")))</f>
        <v/>
      </c>
      <c r="Q32" s="3" t="n"/>
      <c r="R32" s="4" t="n"/>
      <c r="S32" s="4" t="n"/>
    </row>
    <row r="33">
      <c r="A33" s="3" t="n">
        <v>32</v>
      </c>
      <c r="B33" s="3" t="inlineStr">
        <is>
          <t>KH001</t>
        </is>
      </c>
      <c r="C33" s="4" t="inlineStr">
        <is>
          <t>Điện nước Nhật (Shop) HCM</t>
        </is>
      </c>
      <c r="D33" s="3" t="inlineStr">
        <is>
          <t>HCM</t>
        </is>
      </c>
      <c r="E33" s="3" t="inlineStr">
        <is>
          <t>BẢO TRÂM</t>
        </is>
      </c>
      <c r="F33" s="3" t="inlineStr">
        <is>
          <t>Shopee</t>
        </is>
      </c>
      <c r="G33" s="3" t="inlineStr">
        <is>
          <t>D3-300x2.8</t>
        </is>
      </c>
      <c r="H33" s="4" t="inlineStr">
        <is>
          <t>Đá cắt sắt, inox KingBlue D3-300x2.8 S</t>
        </is>
      </c>
      <c r="I33" s="3" t="inlineStr">
        <is>
          <t>Viên</t>
        </is>
      </c>
      <c r="J33" s="5" t="n">
        <v>38500</v>
      </c>
      <c r="K33" s="5" t="n">
        <v>46000</v>
      </c>
      <c r="L33" s="6" t="n">
        <v>56000</v>
      </c>
      <c r="M33" s="5" t="n"/>
      <c r="N33" s="5">
        <f>IF(AND(ISNUMBER(M33),ISNUMBER(L33)),M33-L33,"")</f>
        <v/>
      </c>
      <c r="O33" s="7">
        <f>IF(AND(ISNUMBER(M33),ISNUMBER(L33),L33&gt;0),(M33-L33)/L33,"")</f>
        <v/>
      </c>
      <c r="P33" s="3">
        <f>IF(O33="","",IF(O33&lt;-0.02,"🔴 Bán phá giá sàn",IF(O33&gt;0.05,"🔵 Bán cao hơn","🟢 Đúng giá sàn TMĐT")))</f>
        <v/>
      </c>
      <c r="Q33" s="3" t="n"/>
      <c r="R33" s="4" t="n"/>
      <c r="S33" s="4" t="n"/>
    </row>
    <row r="34">
      <c r="A34" s="3" t="n">
        <v>33</v>
      </c>
      <c r="B34" s="3" t="inlineStr">
        <is>
          <t>KH001</t>
        </is>
      </c>
      <c r="C34" s="4" t="inlineStr">
        <is>
          <t>Điện nước Nhật (Shop) HCM</t>
        </is>
      </c>
      <c r="D34" s="3" t="inlineStr">
        <is>
          <t>HCM</t>
        </is>
      </c>
      <c r="E34" s="3" t="inlineStr">
        <is>
          <t>BẢO TRÂM</t>
        </is>
      </c>
      <c r="F34" s="3" t="inlineStr">
        <is>
          <t>Shopee</t>
        </is>
      </c>
      <c r="G34" s="3" t="inlineStr">
        <is>
          <t>D3-400x3.0</t>
        </is>
      </c>
      <c r="H34" s="4" t="inlineStr">
        <is>
          <t>Đá cắt sắt, inox KingBlue D3-400x3.0 S</t>
        </is>
      </c>
      <c r="I34" s="3" t="inlineStr">
        <is>
          <t>Cái</t>
        </is>
      </c>
      <c r="J34" s="5" t="n">
        <v>67000</v>
      </c>
      <c r="K34" s="5" t="n">
        <v>77000</v>
      </c>
      <c r="L34" s="6" t="n">
        <v>93000</v>
      </c>
      <c r="M34" s="5" t="n"/>
      <c r="N34" s="5">
        <f>IF(AND(ISNUMBER(M34),ISNUMBER(L34)),M34-L34,"")</f>
        <v/>
      </c>
      <c r="O34" s="7">
        <f>IF(AND(ISNUMBER(M34),ISNUMBER(L34),L34&gt;0),(M34-L34)/L34,"")</f>
        <v/>
      </c>
      <c r="P34" s="3">
        <f>IF(O34="","",IF(O34&lt;-0.02,"🔴 Bán phá giá sàn",IF(O34&gt;0.05,"🔵 Bán cao hơn","🟢 Đúng giá sàn TMĐT")))</f>
        <v/>
      </c>
      <c r="Q34" s="3" t="n"/>
      <c r="R34" s="4" t="n"/>
      <c r="S34" s="4" t="n"/>
    </row>
    <row r="35">
      <c r="A35" s="3" t="n">
        <v>34</v>
      </c>
      <c r="B35" s="3" t="inlineStr">
        <is>
          <t>KH001</t>
        </is>
      </c>
      <c r="C35" s="4" t="inlineStr">
        <is>
          <t>Điện nước Nhật (Shop) HCM</t>
        </is>
      </c>
      <c r="D35" s="3" t="inlineStr">
        <is>
          <t>HCM</t>
        </is>
      </c>
      <c r="E35" s="3" t="inlineStr">
        <is>
          <t>BẢO TRÂM</t>
        </is>
      </c>
      <c r="F35" s="3" t="inlineStr">
        <is>
          <t>Shopee</t>
        </is>
      </c>
      <c r="G35" s="3" t="inlineStr">
        <is>
          <t>D3-103x2.8</t>
        </is>
      </c>
      <c r="H35" s="4" t="inlineStr">
        <is>
          <t>Đá mài sắt, inox KingBlue D3-103x2.8</t>
        </is>
      </c>
      <c r="I35" s="3" t="inlineStr">
        <is>
          <t>Cái</t>
        </is>
      </c>
      <c r="J35" s="5" t="n">
        <v>9100</v>
      </c>
      <c r="K35" s="5" t="n">
        <v>11300</v>
      </c>
      <c r="L35" s="6" t="n">
        <v>14500</v>
      </c>
      <c r="M35" s="5" t="n"/>
      <c r="N35" s="5">
        <f>IF(AND(ISNUMBER(M35),ISNUMBER(L35)),M35-L35,"")</f>
        <v/>
      </c>
      <c r="O35" s="7">
        <f>IF(AND(ISNUMBER(M35),ISNUMBER(L35),L35&gt;0),(M35-L35)/L35,"")</f>
        <v/>
      </c>
      <c r="P35" s="3">
        <f>IF(O35="","",IF(O35&lt;-0.02,"🔴 Bán phá giá sàn",IF(O35&gt;0.05,"🔵 Bán cao hơn","🟢 Đúng giá sàn TMĐT")))</f>
        <v/>
      </c>
      <c r="Q35" s="3" t="n"/>
      <c r="R35" s="4" t="n"/>
      <c r="S35" s="4" t="n"/>
    </row>
    <row r="36">
      <c r="A36" s="3" t="n">
        <v>35</v>
      </c>
      <c r="B36" s="3" t="inlineStr">
        <is>
          <t>KH001</t>
        </is>
      </c>
      <c r="C36" s="4" t="inlineStr">
        <is>
          <t>Điện nước Nhật (Shop) HCM</t>
        </is>
      </c>
      <c r="D36" s="3" t="inlineStr">
        <is>
          <t>HCM</t>
        </is>
      </c>
      <c r="E36" s="3" t="inlineStr">
        <is>
          <t>BẢO TRÂM</t>
        </is>
      </c>
      <c r="F36" s="3" t="inlineStr">
        <is>
          <t>Shopee</t>
        </is>
      </c>
      <c r="G36" s="3" t="inlineStr">
        <is>
          <t>D3-125x6.0</t>
        </is>
      </c>
      <c r="H36" s="4" t="inlineStr">
        <is>
          <t>Đá mài sắt, inox Kingblue D3-125x6.0</t>
        </is>
      </c>
      <c r="I36" s="3" t="inlineStr">
        <is>
          <t>Cái</t>
        </is>
      </c>
      <c r="J36" s="5" t="n">
        <v>20000</v>
      </c>
      <c r="K36" s="5" t="n">
        <v>25000</v>
      </c>
      <c r="L36" s="6" t="n">
        <v>32000</v>
      </c>
      <c r="M36" s="5" t="n"/>
      <c r="N36" s="5">
        <f>IF(AND(ISNUMBER(M36),ISNUMBER(L36)),M36-L36,"")</f>
        <v/>
      </c>
      <c r="O36" s="7">
        <f>IF(AND(ISNUMBER(M36),ISNUMBER(L36),L36&gt;0),(M36-L36)/L36,"")</f>
        <v/>
      </c>
      <c r="P36" s="3">
        <f>IF(O36="","",IF(O36&lt;-0.02,"🔴 Bán phá giá sàn",IF(O36&gt;0.05,"🔵 Bán cao hơn","🟢 Đúng giá sàn TMĐT")))</f>
        <v/>
      </c>
      <c r="Q36" s="3" t="n"/>
      <c r="R36" s="4" t="n"/>
      <c r="S36" s="4" t="n"/>
    </row>
    <row r="37">
      <c r="A37" s="3" t="n">
        <v>36</v>
      </c>
      <c r="B37" s="3" t="inlineStr">
        <is>
          <t>KH001</t>
        </is>
      </c>
      <c r="C37" s="4" t="inlineStr">
        <is>
          <t>Điện nước Nhật (Shop) HCM</t>
        </is>
      </c>
      <c r="D37" s="3" t="inlineStr">
        <is>
          <t>HCM</t>
        </is>
      </c>
      <c r="E37" s="3" t="inlineStr">
        <is>
          <t>BẢO TRÂM</t>
        </is>
      </c>
      <c r="F37" s="3" t="inlineStr">
        <is>
          <t>Shopee</t>
        </is>
      </c>
      <c r="G37" s="3" t="inlineStr">
        <is>
          <t>D3-100x6.0mm</t>
        </is>
      </c>
      <c r="H37" s="4" t="inlineStr">
        <is>
          <t>Đá mài sắt,inox KingBlue D3-100x6.0mm</t>
        </is>
      </c>
      <c r="I37" s="3" t="inlineStr">
        <is>
          <t>Cái</t>
        </is>
      </c>
      <c r="J37" s="5" t="n">
        <v>269000</v>
      </c>
      <c r="K37" s="5" t="n">
        <v>317000</v>
      </c>
      <c r="L37" s="6" t="n">
        <v>390000</v>
      </c>
      <c r="M37" s="5" t="n"/>
      <c r="N37" s="5">
        <f>IF(AND(ISNUMBER(M37),ISNUMBER(L37)),M37-L37,"")</f>
        <v/>
      </c>
      <c r="O37" s="7">
        <f>IF(AND(ISNUMBER(M37),ISNUMBER(L37),L37&gt;0),(M37-L37)/L37,"")</f>
        <v/>
      </c>
      <c r="P37" s="3">
        <f>IF(O37="","",IF(O37&lt;-0.02,"🔴 Bán phá giá sàn",IF(O37&gt;0.05,"🔵 Bán cao hơn","🟢 Đúng giá sàn TMĐT")))</f>
        <v/>
      </c>
      <c r="Q37" s="3" t="n"/>
      <c r="R37" s="4" t="n"/>
      <c r="S37" s="4" t="n"/>
    </row>
    <row r="38">
      <c r="A38" s="3" t="n">
        <v>37</v>
      </c>
      <c r="B38" s="3" t="inlineStr">
        <is>
          <t>KH001</t>
        </is>
      </c>
      <c r="C38" s="4" t="inlineStr">
        <is>
          <t>Điện nước Nhật (Shop) HCM</t>
        </is>
      </c>
      <c r="D38" s="3" t="inlineStr">
        <is>
          <t>HCM</t>
        </is>
      </c>
      <c r="E38" s="3" t="inlineStr">
        <is>
          <t>BẢO TRÂM</t>
        </is>
      </c>
      <c r="F38" s="3" t="inlineStr">
        <is>
          <t>Shopee</t>
        </is>
      </c>
      <c r="G38" s="3" t="inlineStr">
        <is>
          <t>CM07</t>
        </is>
      </c>
      <c r="H38" s="4" t="inlineStr">
        <is>
          <t>Đầu chụp bulon KingBlue CM07</t>
        </is>
      </c>
      <c r="I38" s="3" t="inlineStr">
        <is>
          <t>Hộp</t>
        </is>
      </c>
      <c r="J38" s="5" t="n">
        <v>143000</v>
      </c>
      <c r="K38" s="5" t="n">
        <v>180000</v>
      </c>
      <c r="L38" s="6" t="n">
        <v>236000</v>
      </c>
      <c r="M38" s="5" t="n"/>
      <c r="N38" s="5">
        <f>IF(AND(ISNUMBER(M38),ISNUMBER(L38)),M38-L38,"")</f>
        <v/>
      </c>
      <c r="O38" s="7">
        <f>IF(AND(ISNUMBER(M38),ISNUMBER(L38),L38&gt;0),(M38-L38)/L38,"")</f>
        <v/>
      </c>
      <c r="P38" s="3">
        <f>IF(O38="","",IF(O38&lt;-0.02,"🔴 Bán phá giá sàn",IF(O38&gt;0.05,"🔵 Bán cao hơn","🟢 Đúng giá sàn TMĐT")))</f>
        <v/>
      </c>
      <c r="Q38" s="3" t="n"/>
      <c r="R38" s="4" t="n"/>
      <c r="S38" s="4" t="n"/>
    </row>
    <row r="39">
      <c r="A39" s="3" t="n">
        <v>38</v>
      </c>
      <c r="B39" s="3" t="inlineStr">
        <is>
          <t>KH001</t>
        </is>
      </c>
      <c r="C39" s="4" t="inlineStr">
        <is>
          <t>Điện nước Nhật (Shop) HCM</t>
        </is>
      </c>
      <c r="D39" s="3" t="inlineStr">
        <is>
          <t>HCM</t>
        </is>
      </c>
      <c r="E39" s="3" t="inlineStr">
        <is>
          <t>BẢO TRÂM</t>
        </is>
      </c>
      <c r="F39" s="3" t="inlineStr">
        <is>
          <t>Shopee</t>
        </is>
      </c>
      <c r="G39" s="3" t="inlineStr">
        <is>
          <t>CM08</t>
        </is>
      </c>
      <c r="H39" s="4" t="inlineStr">
        <is>
          <t>Đầu chụp bulon KingBlue CM08</t>
        </is>
      </c>
      <c r="I39" s="3" t="inlineStr">
        <is>
          <t>Hộp</t>
        </is>
      </c>
      <c r="J39" s="5" t="n">
        <v>154000</v>
      </c>
      <c r="K39" s="5" t="n">
        <v>194000</v>
      </c>
      <c r="L39" s="6" t="n">
        <v>254000</v>
      </c>
      <c r="M39" s="5" t="n"/>
      <c r="N39" s="5">
        <f>IF(AND(ISNUMBER(M39),ISNUMBER(L39)),M39-L39,"")</f>
        <v/>
      </c>
      <c r="O39" s="7">
        <f>IF(AND(ISNUMBER(M39),ISNUMBER(L39),L39&gt;0),(M39-L39)/L39,"")</f>
        <v/>
      </c>
      <c r="P39" s="3">
        <f>IF(O39="","",IF(O39&lt;-0.02,"🔴 Bán phá giá sàn",IF(O39&gt;0.05,"🔵 Bán cao hơn","🟢 Đúng giá sàn TMĐT")))</f>
        <v/>
      </c>
      <c r="Q39" s="3" t="n"/>
      <c r="R39" s="4" t="n"/>
      <c r="S39" s="4" t="n"/>
    </row>
    <row r="40">
      <c r="A40" s="3" t="n">
        <v>39</v>
      </c>
      <c r="B40" s="3" t="inlineStr">
        <is>
          <t>KH001</t>
        </is>
      </c>
      <c r="C40" s="4" t="inlineStr">
        <is>
          <t>Điện nước Nhật (Shop) HCM</t>
        </is>
      </c>
      <c r="D40" s="3" t="inlineStr">
        <is>
          <t>HCM</t>
        </is>
      </c>
      <c r="E40" s="3" t="inlineStr">
        <is>
          <t>BẢO TRÂM</t>
        </is>
      </c>
      <c r="F40" s="3" t="inlineStr">
        <is>
          <t>Shopee</t>
        </is>
      </c>
      <c r="G40" s="3" t="inlineStr">
        <is>
          <t>CM10</t>
        </is>
      </c>
      <c r="H40" s="4" t="inlineStr">
        <is>
          <t>Đầu chụp bulon KingBlue CM10</t>
        </is>
      </c>
      <c r="I40" s="3" t="inlineStr">
        <is>
          <t>Hộp</t>
        </is>
      </c>
      <c r="J40" s="5" t="n">
        <v>176000</v>
      </c>
      <c r="K40" s="5" t="n">
        <v>222000</v>
      </c>
      <c r="L40" s="6" t="n">
        <v>290000</v>
      </c>
      <c r="M40" s="5" t="n"/>
      <c r="N40" s="5">
        <f>IF(AND(ISNUMBER(M40),ISNUMBER(L40)),M40-L40,"")</f>
        <v/>
      </c>
      <c r="O40" s="7">
        <f>IF(AND(ISNUMBER(M40),ISNUMBER(L40),L40&gt;0),(M40-L40)/L40,"")</f>
        <v/>
      </c>
      <c r="P40" s="3">
        <f>IF(O40="","",IF(O40&lt;-0.02,"🔴 Bán phá giá sàn",IF(O40&gt;0.05,"🔵 Bán cao hơn","🟢 Đúng giá sàn TMĐT")))</f>
        <v/>
      </c>
      <c r="Q40" s="3" t="n"/>
      <c r="R40" s="4" t="n"/>
      <c r="S40" s="4" t="n"/>
    </row>
    <row r="41">
      <c r="A41" s="3" t="n">
        <v>40</v>
      </c>
      <c r="B41" s="3" t="inlineStr">
        <is>
          <t>KH001</t>
        </is>
      </c>
      <c r="C41" s="4" t="inlineStr">
        <is>
          <t>Điện nước Nhật (Shop) HCM</t>
        </is>
      </c>
      <c r="D41" s="3" t="inlineStr">
        <is>
          <t>HCM</t>
        </is>
      </c>
      <c r="E41" s="3" t="inlineStr">
        <is>
          <t>BẢO TRÂM</t>
        </is>
      </c>
      <c r="F41" s="3" t="inlineStr">
        <is>
          <t>Shopee</t>
        </is>
      </c>
      <c r="G41" s="3" t="inlineStr">
        <is>
          <t>CM12</t>
        </is>
      </c>
      <c r="H41" s="4" t="inlineStr">
        <is>
          <t>Đầu chụp bulon KingBlue CM12</t>
        </is>
      </c>
      <c r="I41" s="3" t="inlineStr">
        <is>
          <t>Hộp</t>
        </is>
      </c>
      <c r="J41" s="5" t="n">
        <v>99000</v>
      </c>
      <c r="K41" s="5" t="n">
        <v>125000</v>
      </c>
      <c r="L41" s="6" t="n">
        <v>163000</v>
      </c>
      <c r="M41" s="5" t="n"/>
      <c r="N41" s="5">
        <f>IF(AND(ISNUMBER(M41),ISNUMBER(L41)),M41-L41,"")</f>
        <v/>
      </c>
      <c r="O41" s="7">
        <f>IF(AND(ISNUMBER(M41),ISNUMBER(L41),L41&gt;0),(M41-L41)/L41,"")</f>
        <v/>
      </c>
      <c r="P41" s="3">
        <f>IF(O41="","",IF(O41&lt;-0.02,"🔴 Bán phá giá sàn",IF(O41&gt;0.05,"🔵 Bán cao hơn","🟢 Đúng giá sàn TMĐT")))</f>
        <v/>
      </c>
      <c r="Q41" s="3" t="n"/>
      <c r="R41" s="4" t="n"/>
      <c r="S41" s="4" t="n"/>
    </row>
    <row r="42">
      <c r="A42" s="3" t="n">
        <v>41</v>
      </c>
      <c r="B42" s="3" t="inlineStr">
        <is>
          <t>KH001</t>
        </is>
      </c>
      <c r="C42" s="4" t="inlineStr">
        <is>
          <t>Điện nước Nhật (Shop) HCM</t>
        </is>
      </c>
      <c r="D42" s="3" t="inlineStr">
        <is>
          <t>HCM</t>
        </is>
      </c>
      <c r="E42" s="3" t="inlineStr">
        <is>
          <t>BẢO TRÂM</t>
        </is>
      </c>
      <c r="F42" s="3" t="inlineStr">
        <is>
          <t>Shopee</t>
        </is>
      </c>
      <c r="G42" s="3" t="inlineStr">
        <is>
          <t>CM13</t>
        </is>
      </c>
      <c r="H42" s="4" t="inlineStr">
        <is>
          <t>Đầu chụp bulon KingBlue CM13</t>
        </is>
      </c>
      <c r="I42" s="3" t="inlineStr">
        <is>
          <t>Hộp</t>
        </is>
      </c>
      <c r="J42" s="5" t="n">
        <v>105000</v>
      </c>
      <c r="K42" s="5" t="n">
        <v>132000</v>
      </c>
      <c r="L42" s="6" t="n">
        <v>173000</v>
      </c>
      <c r="M42" s="5" t="n"/>
      <c r="N42" s="5">
        <f>IF(AND(ISNUMBER(M42),ISNUMBER(L42)),M42-L42,"")</f>
        <v/>
      </c>
      <c r="O42" s="7">
        <f>IF(AND(ISNUMBER(M42),ISNUMBER(L42),L42&gt;0),(M42-L42)/L42,"")</f>
        <v/>
      </c>
      <c r="P42" s="3">
        <f>IF(O42="","",IF(O42&lt;-0.02,"🔴 Bán phá giá sàn",IF(O42&gt;0.05,"🔵 Bán cao hơn","🟢 Đúng giá sàn TMĐT")))</f>
        <v/>
      </c>
      <c r="Q42" s="3" t="n"/>
      <c r="R42" s="4" t="n"/>
      <c r="S42" s="4" t="n"/>
    </row>
    <row r="43">
      <c r="A43" s="3" t="n">
        <v>42</v>
      </c>
      <c r="B43" s="3" t="inlineStr">
        <is>
          <t>KH001</t>
        </is>
      </c>
      <c r="C43" s="4" t="inlineStr">
        <is>
          <t>Điện nước Nhật (Shop) HCM</t>
        </is>
      </c>
      <c r="D43" s="3" t="inlineStr">
        <is>
          <t>HCM</t>
        </is>
      </c>
      <c r="E43" s="3" t="inlineStr">
        <is>
          <t>BẢO TRÂM</t>
        </is>
      </c>
      <c r="F43" s="3" t="inlineStr">
        <is>
          <t>Shopee</t>
        </is>
      </c>
      <c r="G43" s="3" t="inlineStr">
        <is>
          <t>CM14</t>
        </is>
      </c>
      <c r="H43" s="4" t="inlineStr">
        <is>
          <t>Đầu chụp bulon KingBlue CM14</t>
        </is>
      </c>
      <c r="I43" s="3" t="inlineStr">
        <is>
          <t>Hộp</t>
        </is>
      </c>
      <c r="J43" s="5" t="n">
        <v>105000</v>
      </c>
      <c r="K43" s="5" t="n">
        <v>132000</v>
      </c>
      <c r="L43" s="6" t="n">
        <v>173000</v>
      </c>
      <c r="M43" s="5" t="n"/>
      <c r="N43" s="5">
        <f>IF(AND(ISNUMBER(M43),ISNUMBER(L43)),M43-L43,"")</f>
        <v/>
      </c>
      <c r="O43" s="7">
        <f>IF(AND(ISNUMBER(M43),ISNUMBER(L43),L43&gt;0),(M43-L43)/L43,"")</f>
        <v/>
      </c>
      <c r="P43" s="3">
        <f>IF(O43="","",IF(O43&lt;-0.02,"🔴 Bán phá giá sàn",IF(O43&gt;0.05,"🔵 Bán cao hơn","🟢 Đúng giá sàn TMĐT")))</f>
        <v/>
      </c>
      <c r="Q43" s="3" t="n"/>
      <c r="R43" s="4" t="n"/>
      <c r="S43" s="4" t="n"/>
    </row>
    <row r="44">
      <c r="A44" s="3" t="n">
        <v>43</v>
      </c>
      <c r="B44" s="3" t="inlineStr">
        <is>
          <t>KH001</t>
        </is>
      </c>
      <c r="C44" s="4" t="inlineStr">
        <is>
          <t>Điện nước Nhật (Shop) HCM</t>
        </is>
      </c>
      <c r="D44" s="3" t="inlineStr">
        <is>
          <t>HCM</t>
        </is>
      </c>
      <c r="E44" s="3" t="inlineStr">
        <is>
          <t>BẢO TRÂM</t>
        </is>
      </c>
      <c r="F44" s="3" t="inlineStr">
        <is>
          <t>Shopee</t>
        </is>
      </c>
      <c r="G44" s="3" t="inlineStr">
        <is>
          <t>CM17</t>
        </is>
      </c>
      <c r="H44" s="4" t="inlineStr">
        <is>
          <t>Đầu chụp bulon KingBlue CM17</t>
        </is>
      </c>
      <c r="I44" s="3" t="inlineStr">
        <is>
          <t>Hộp</t>
        </is>
      </c>
      <c r="J44" s="5" t="n">
        <v>110000</v>
      </c>
      <c r="K44" s="5" t="n">
        <v>139000</v>
      </c>
      <c r="L44" s="6" t="n">
        <v>182000</v>
      </c>
      <c r="M44" s="5" t="n"/>
      <c r="N44" s="5">
        <f>IF(AND(ISNUMBER(M44),ISNUMBER(L44)),M44-L44,"")</f>
        <v/>
      </c>
      <c r="O44" s="7">
        <f>IF(AND(ISNUMBER(M44),ISNUMBER(L44),L44&gt;0),(M44-L44)/L44,"")</f>
        <v/>
      </c>
      <c r="P44" s="3">
        <f>IF(O44="","",IF(O44&lt;-0.02,"🔴 Bán phá giá sàn",IF(O44&gt;0.05,"🔵 Bán cao hơn","🟢 Đúng giá sàn TMĐT")))</f>
        <v/>
      </c>
      <c r="Q44" s="3" t="n"/>
      <c r="R44" s="4" t="n"/>
      <c r="S44" s="4" t="n"/>
    </row>
    <row r="45">
      <c r="A45" s="3" t="n">
        <v>44</v>
      </c>
      <c r="B45" s="3" t="inlineStr">
        <is>
          <t>KH001</t>
        </is>
      </c>
      <c r="C45" s="4" t="inlineStr">
        <is>
          <t>Điện nước Nhật (Shop) HCM</t>
        </is>
      </c>
      <c r="D45" s="3" t="inlineStr">
        <is>
          <t>HCM</t>
        </is>
      </c>
      <c r="E45" s="3" t="inlineStr">
        <is>
          <t>BẢO TRÂM</t>
        </is>
      </c>
      <c r="F45" s="3" t="inlineStr">
        <is>
          <t>Shopee</t>
        </is>
      </c>
      <c r="G45" s="3" t="inlineStr">
        <is>
          <t>CM19</t>
        </is>
      </c>
      <c r="H45" s="4" t="inlineStr">
        <is>
          <t>Đầu chụp bulon KingBlue CM19</t>
        </is>
      </c>
      <c r="I45" s="3" t="inlineStr">
        <is>
          <t>Hộp</t>
        </is>
      </c>
      <c r="J45" s="5" t="n">
        <v>86000</v>
      </c>
      <c r="K45" s="5" t="n">
        <v>108000</v>
      </c>
      <c r="L45" s="6" t="n">
        <v>142000</v>
      </c>
      <c r="M45" s="5" t="n"/>
      <c r="N45" s="5">
        <f>IF(AND(ISNUMBER(M45),ISNUMBER(L45)),M45-L45,"")</f>
        <v/>
      </c>
      <c r="O45" s="7">
        <f>IF(AND(ISNUMBER(M45),ISNUMBER(L45),L45&gt;0),(M45-L45)/L45,"")</f>
        <v/>
      </c>
      <c r="P45" s="3">
        <f>IF(O45="","",IF(O45&lt;-0.02,"🔴 Bán phá giá sàn",IF(O45&gt;0.05,"🔵 Bán cao hơn","🟢 Đúng giá sàn TMĐT")))</f>
        <v/>
      </c>
      <c r="Q45" s="3" t="n"/>
      <c r="R45" s="4" t="n"/>
      <c r="S45" s="4" t="n"/>
    </row>
    <row r="46">
      <c r="A46" s="3" t="n">
        <v>45</v>
      </c>
      <c r="B46" s="3" t="inlineStr">
        <is>
          <t>KH001</t>
        </is>
      </c>
      <c r="C46" s="4" t="inlineStr">
        <is>
          <t>Điện nước Nhật (Shop) HCM</t>
        </is>
      </c>
      <c r="D46" s="3" t="inlineStr">
        <is>
          <t>HCM</t>
        </is>
      </c>
      <c r="E46" s="3" t="inlineStr">
        <is>
          <t>BẢO TRÂM</t>
        </is>
      </c>
      <c r="F46" s="3" t="inlineStr">
        <is>
          <t>Shopee</t>
        </is>
      </c>
      <c r="G46" s="3" t="inlineStr">
        <is>
          <t>K49M</t>
        </is>
      </c>
      <c r="H46" s="4" t="inlineStr">
        <is>
          <t>Đầu khò gas K49M</t>
        </is>
      </c>
      <c r="I46" s="3" t="inlineStr">
        <is>
          <t>Cái</t>
        </is>
      </c>
      <c r="J46" s="5" t="n">
        <v>269000</v>
      </c>
      <c r="K46" s="5" t="n">
        <v>317000</v>
      </c>
      <c r="L46" s="6" t="n">
        <v>390000</v>
      </c>
      <c r="M46" s="5" t="n"/>
      <c r="N46" s="5">
        <f>IF(AND(ISNUMBER(M46),ISNUMBER(L46)),M46-L46,"")</f>
        <v/>
      </c>
      <c r="O46" s="7">
        <f>IF(AND(ISNUMBER(M46),ISNUMBER(L46),L46&gt;0),(M46-L46)/L46,"")</f>
        <v/>
      </c>
      <c r="P46" s="3">
        <f>IF(O46="","",IF(O46&lt;-0.02,"🔴 Bán phá giá sàn",IF(O46&gt;0.05,"🔵 Bán cao hơn","🟢 Đúng giá sàn TMĐT")))</f>
        <v/>
      </c>
      <c r="Q46" s="3" t="n"/>
      <c r="R46" s="4" t="n"/>
      <c r="S46" s="4" t="n"/>
    </row>
    <row r="47">
      <c r="A47" s="3" t="n">
        <v>46</v>
      </c>
      <c r="B47" s="3" t="inlineStr">
        <is>
          <t>KH001</t>
        </is>
      </c>
      <c r="C47" s="4" t="inlineStr">
        <is>
          <t>Điện nước Nhật (Shop) HCM</t>
        </is>
      </c>
      <c r="D47" s="3" t="inlineStr">
        <is>
          <t>HCM</t>
        </is>
      </c>
      <c r="E47" s="3" t="inlineStr">
        <is>
          <t>BẢO TRÂM</t>
        </is>
      </c>
      <c r="F47" s="3" t="inlineStr">
        <is>
          <t>Shopee</t>
        </is>
      </c>
      <c r="G47" s="3" t="inlineStr"/>
      <c r="H47" s="4" t="inlineStr">
        <is>
          <t>Đầu nạp gas</t>
        </is>
      </c>
      <c r="I47" s="3" t="inlineStr">
        <is>
          <t>Cái</t>
        </is>
      </c>
      <c r="J47" s="5" t="n">
        <v>269000</v>
      </c>
      <c r="K47" s="5" t="n">
        <v>317000</v>
      </c>
      <c r="L47" s="6" t="n">
        <v>390000</v>
      </c>
      <c r="M47" s="5" t="n"/>
      <c r="N47" s="5">
        <f>IF(AND(ISNUMBER(M47),ISNUMBER(L47)),M47-L47,"")</f>
        <v/>
      </c>
      <c r="O47" s="7">
        <f>IF(AND(ISNUMBER(M47),ISNUMBER(L47),L47&gt;0),(M47-L47)/L47,"")</f>
        <v/>
      </c>
      <c r="P47" s="3">
        <f>IF(O47="","",IF(O47&lt;-0.02,"🔴 Bán phá giá sàn",IF(O47&gt;0.05,"🔵 Bán cao hơn","🟢 Đúng giá sàn TMĐT")))</f>
        <v/>
      </c>
      <c r="Q47" s="3" t="n"/>
      <c r="R47" s="4" t="n"/>
      <c r="S47" s="4" t="n"/>
    </row>
    <row r="48">
      <c r="A48" s="3" t="n">
        <v>47</v>
      </c>
      <c r="B48" s="3" t="inlineStr">
        <is>
          <t>KH001</t>
        </is>
      </c>
      <c r="C48" s="4" t="inlineStr">
        <is>
          <t>Điện nước Nhật (Shop) HCM</t>
        </is>
      </c>
      <c r="D48" s="3" t="inlineStr">
        <is>
          <t>HCM</t>
        </is>
      </c>
      <c r="E48" s="3" t="inlineStr">
        <is>
          <t>BẢO TRÂM</t>
        </is>
      </c>
      <c r="F48" s="3" t="inlineStr">
        <is>
          <t>Shopee</t>
        </is>
      </c>
      <c r="G48" s="3" t="inlineStr">
        <is>
          <t>T265E-T10</t>
        </is>
      </c>
      <c r="H48" s="4" t="inlineStr">
        <is>
          <t>Đầu vít hoa thị KingBlue T265E-T10</t>
        </is>
      </c>
      <c r="I48" s="3" t="inlineStr">
        <is>
          <t>Vỉ</t>
        </is>
      </c>
      <c r="J48" s="5" t="n">
        <v>17000</v>
      </c>
      <c r="K48" s="5" t="n">
        <v>22000</v>
      </c>
      <c r="L48" s="6" t="n">
        <v>29000</v>
      </c>
      <c r="M48" s="5" t="n"/>
      <c r="N48" s="5">
        <f>IF(AND(ISNUMBER(M48),ISNUMBER(L48)),M48-L48,"")</f>
        <v/>
      </c>
      <c r="O48" s="7">
        <f>IF(AND(ISNUMBER(M48),ISNUMBER(L48),L48&gt;0),(M48-L48)/L48,"")</f>
        <v/>
      </c>
      <c r="P48" s="3">
        <f>IF(O48="","",IF(O48&lt;-0.02,"🔴 Bán phá giá sàn",IF(O48&gt;0.05,"🔵 Bán cao hơn","🟢 Đúng giá sàn TMĐT")))</f>
        <v/>
      </c>
      <c r="Q48" s="3" t="n"/>
      <c r="R48" s="4" t="n"/>
      <c r="S48" s="4" t="n"/>
    </row>
    <row r="49">
      <c r="A49" s="3" t="n">
        <v>48</v>
      </c>
      <c r="B49" s="3" t="inlineStr">
        <is>
          <t>KH001</t>
        </is>
      </c>
      <c r="C49" s="4" t="inlineStr">
        <is>
          <t>Điện nước Nhật (Shop) HCM</t>
        </is>
      </c>
      <c r="D49" s="3" t="inlineStr">
        <is>
          <t>HCM</t>
        </is>
      </c>
      <c r="E49" s="3" t="inlineStr">
        <is>
          <t>BẢO TRÂM</t>
        </is>
      </c>
      <c r="F49" s="3" t="inlineStr">
        <is>
          <t>Shopee</t>
        </is>
      </c>
      <c r="G49" s="3" t="inlineStr">
        <is>
          <t>T265E-T15</t>
        </is>
      </c>
      <c r="H49" s="4" t="inlineStr">
        <is>
          <t>Đầu vít hoa thị KingBlue T265E-T15</t>
        </is>
      </c>
      <c r="I49" s="3" t="inlineStr">
        <is>
          <t>Vỉ</t>
        </is>
      </c>
      <c r="J49" s="5" t="n">
        <v>17000</v>
      </c>
      <c r="K49" s="5" t="n">
        <v>22000</v>
      </c>
      <c r="L49" s="6" t="n">
        <v>29000</v>
      </c>
      <c r="M49" s="5" t="n"/>
      <c r="N49" s="5">
        <f>IF(AND(ISNUMBER(M49),ISNUMBER(L49)),M49-L49,"")</f>
        <v/>
      </c>
      <c r="O49" s="7">
        <f>IF(AND(ISNUMBER(M49),ISNUMBER(L49),L49&gt;0),(M49-L49)/L49,"")</f>
        <v/>
      </c>
      <c r="P49" s="3">
        <f>IF(O49="","",IF(O49&lt;-0.02,"🔴 Bán phá giá sàn",IF(O49&gt;0.05,"🔵 Bán cao hơn","🟢 Đúng giá sàn TMĐT")))</f>
        <v/>
      </c>
      <c r="Q49" s="3" t="n"/>
      <c r="R49" s="4" t="n"/>
      <c r="S49" s="4" t="n"/>
    </row>
    <row r="50">
      <c r="A50" s="3" t="n">
        <v>49</v>
      </c>
      <c r="B50" s="3" t="inlineStr">
        <is>
          <t>KH001</t>
        </is>
      </c>
      <c r="C50" s="4" t="inlineStr">
        <is>
          <t>Điện nước Nhật (Shop) HCM</t>
        </is>
      </c>
      <c r="D50" s="3" t="inlineStr">
        <is>
          <t>HCM</t>
        </is>
      </c>
      <c r="E50" s="3" t="inlineStr">
        <is>
          <t>BẢO TRÂM</t>
        </is>
      </c>
      <c r="F50" s="3" t="inlineStr">
        <is>
          <t>Shopee</t>
        </is>
      </c>
      <c r="G50" s="3" t="inlineStr">
        <is>
          <t>T265E-T20</t>
        </is>
      </c>
      <c r="H50" s="4" t="inlineStr">
        <is>
          <t>Đầu vít hoa thị KingBlue T265E-T20</t>
        </is>
      </c>
      <c r="I50" s="3" t="inlineStr">
        <is>
          <t>Vỉ</t>
        </is>
      </c>
      <c r="J50" s="5" t="n">
        <v>17000</v>
      </c>
      <c r="K50" s="5" t="n">
        <v>22000</v>
      </c>
      <c r="L50" s="6" t="n">
        <v>29000</v>
      </c>
      <c r="M50" s="5" t="n"/>
      <c r="N50" s="5">
        <f>IF(AND(ISNUMBER(M50),ISNUMBER(L50)),M50-L50,"")</f>
        <v/>
      </c>
      <c r="O50" s="7">
        <f>IF(AND(ISNUMBER(M50),ISNUMBER(L50),L50&gt;0),(M50-L50)/L50,"")</f>
        <v/>
      </c>
      <c r="P50" s="3">
        <f>IF(O50="","",IF(O50&lt;-0.02,"🔴 Bán phá giá sàn",IF(O50&gt;0.05,"🔵 Bán cao hơn","🟢 Đúng giá sàn TMĐT")))</f>
        <v/>
      </c>
      <c r="Q50" s="3" t="n"/>
      <c r="R50" s="4" t="n"/>
      <c r="S50" s="4" t="n"/>
    </row>
    <row r="51">
      <c r="A51" s="3" t="n">
        <v>50</v>
      </c>
      <c r="B51" s="3" t="inlineStr">
        <is>
          <t>KH001</t>
        </is>
      </c>
      <c r="C51" s="4" t="inlineStr">
        <is>
          <t>Điện nước Nhật (Shop) HCM</t>
        </is>
      </c>
      <c r="D51" s="3" t="inlineStr">
        <is>
          <t>HCM</t>
        </is>
      </c>
      <c r="E51" s="3" t="inlineStr">
        <is>
          <t>BẢO TRÂM</t>
        </is>
      </c>
      <c r="F51" s="3" t="inlineStr">
        <is>
          <t>Shopee</t>
        </is>
      </c>
      <c r="G51" s="3" t="inlineStr">
        <is>
          <t>T265E-T25</t>
        </is>
      </c>
      <c r="H51" s="4" t="inlineStr">
        <is>
          <t>Đầu vít hoa thị KingBlue T265E-T25</t>
        </is>
      </c>
      <c r="I51" s="3" t="inlineStr">
        <is>
          <t>Vỉ</t>
        </is>
      </c>
      <c r="J51" s="5" t="n">
        <v>17000</v>
      </c>
      <c r="K51" s="5" t="n">
        <v>22000</v>
      </c>
      <c r="L51" s="6" t="n">
        <v>29000</v>
      </c>
      <c r="M51" s="5" t="n"/>
      <c r="N51" s="5">
        <f>IF(AND(ISNUMBER(M51),ISNUMBER(L51)),M51-L51,"")</f>
        <v/>
      </c>
      <c r="O51" s="7">
        <f>IF(AND(ISNUMBER(M51),ISNUMBER(L51),L51&gt;0),(M51-L51)/L51,"")</f>
        <v/>
      </c>
      <c r="P51" s="3">
        <f>IF(O51="","",IF(O51&lt;-0.02,"🔴 Bán phá giá sàn",IF(O51&gt;0.05,"🔵 Bán cao hơn","🟢 Đúng giá sàn TMĐT")))</f>
        <v/>
      </c>
      <c r="Q51" s="3" t="n"/>
      <c r="R51" s="4" t="n"/>
      <c r="S51" s="4" t="n"/>
    </row>
    <row r="52">
      <c r="A52" s="3" t="n">
        <v>51</v>
      </c>
      <c r="B52" s="3" t="inlineStr">
        <is>
          <t>KH001</t>
        </is>
      </c>
      <c r="C52" s="4" t="inlineStr">
        <is>
          <t>Điện nước Nhật (Shop) HCM</t>
        </is>
      </c>
      <c r="D52" s="3" t="inlineStr">
        <is>
          <t>HCM</t>
        </is>
      </c>
      <c r="E52" s="3" t="inlineStr">
        <is>
          <t>BẢO TRÂM</t>
        </is>
      </c>
      <c r="F52" s="3" t="inlineStr">
        <is>
          <t>Shopee</t>
        </is>
      </c>
      <c r="G52" s="3" t="inlineStr">
        <is>
          <t>T265E-T27</t>
        </is>
      </c>
      <c r="H52" s="4" t="inlineStr">
        <is>
          <t>Đầu vít hoa thị KingBlue T265E-T27</t>
        </is>
      </c>
      <c r="I52" s="3" t="inlineStr">
        <is>
          <t>Vỉ</t>
        </is>
      </c>
      <c r="J52" s="5" t="n">
        <v>17000</v>
      </c>
      <c r="K52" s="5" t="n">
        <v>22000</v>
      </c>
      <c r="L52" s="6" t="n">
        <v>29000</v>
      </c>
      <c r="M52" s="5" t="n"/>
      <c r="N52" s="5">
        <f>IF(AND(ISNUMBER(M52),ISNUMBER(L52)),M52-L52,"")</f>
        <v/>
      </c>
      <c r="O52" s="7">
        <f>IF(AND(ISNUMBER(M52),ISNUMBER(L52),L52&gt;0),(M52-L52)/L52,"")</f>
        <v/>
      </c>
      <c r="P52" s="3">
        <f>IF(O52="","",IF(O52&lt;-0.02,"🔴 Bán phá giá sàn",IF(O52&gt;0.05,"🔵 Bán cao hơn","🟢 Đúng giá sàn TMĐT")))</f>
        <v/>
      </c>
      <c r="Q52" s="3" t="n"/>
      <c r="R52" s="4" t="n"/>
      <c r="S52" s="4" t="n"/>
    </row>
    <row r="53">
      <c r="A53" s="3" t="n">
        <v>52</v>
      </c>
      <c r="B53" s="3" t="inlineStr">
        <is>
          <t>KH001</t>
        </is>
      </c>
      <c r="C53" s="4" t="inlineStr">
        <is>
          <t>Điện nước Nhật (Shop) HCM</t>
        </is>
      </c>
      <c r="D53" s="3" t="inlineStr">
        <is>
          <t>HCM</t>
        </is>
      </c>
      <c r="E53" s="3" t="inlineStr">
        <is>
          <t>BẢO TRÂM</t>
        </is>
      </c>
      <c r="F53" s="3" t="inlineStr">
        <is>
          <t>Shopee</t>
        </is>
      </c>
      <c r="G53" s="3" t="inlineStr">
        <is>
          <t>T265E-T30</t>
        </is>
      </c>
      <c r="H53" s="4" t="inlineStr">
        <is>
          <t>Đầu vít hoa thị KingBlue T265E-T30</t>
        </is>
      </c>
      <c r="I53" s="3" t="inlineStr">
        <is>
          <t>Vỉ</t>
        </is>
      </c>
      <c r="J53" s="5" t="n">
        <v>17000</v>
      </c>
      <c r="K53" s="5" t="n">
        <v>22000</v>
      </c>
      <c r="L53" s="6" t="n">
        <v>29000</v>
      </c>
      <c r="M53" s="5" t="n"/>
      <c r="N53" s="5">
        <f>IF(AND(ISNUMBER(M53),ISNUMBER(L53)),M53-L53,"")</f>
        <v/>
      </c>
      <c r="O53" s="7">
        <f>IF(AND(ISNUMBER(M53),ISNUMBER(L53),L53&gt;0),(M53-L53)/L53,"")</f>
        <v/>
      </c>
      <c r="P53" s="3">
        <f>IF(O53="","",IF(O53&lt;-0.02,"🔴 Bán phá giá sàn",IF(O53&gt;0.05,"🔵 Bán cao hơn","🟢 Đúng giá sàn TMĐT")))</f>
        <v/>
      </c>
      <c r="Q53" s="3" t="n"/>
      <c r="R53" s="4" t="n"/>
      <c r="S53" s="4" t="n"/>
    </row>
    <row r="54">
      <c r="A54" s="3" t="n">
        <v>53</v>
      </c>
      <c r="B54" s="3" t="inlineStr">
        <is>
          <t>KH001</t>
        </is>
      </c>
      <c r="C54" s="4" t="inlineStr">
        <is>
          <t>Điện nước Nhật (Shop) HCM</t>
        </is>
      </c>
      <c r="D54" s="3" t="inlineStr">
        <is>
          <t>HCM</t>
        </is>
      </c>
      <c r="E54" s="3" t="inlineStr">
        <is>
          <t>BẢO TRÂM</t>
        </is>
      </c>
      <c r="F54" s="3" t="inlineStr">
        <is>
          <t>Shopee</t>
        </is>
      </c>
      <c r="G54" s="3" t="inlineStr">
        <is>
          <t>T265E-T40</t>
        </is>
      </c>
      <c r="H54" s="4" t="inlineStr">
        <is>
          <t>Đầu vít hoa thị KingBlue T265E-T40</t>
        </is>
      </c>
      <c r="I54" s="3" t="inlineStr">
        <is>
          <t>Vỉ</t>
        </is>
      </c>
      <c r="J54" s="5" t="n">
        <v>17000</v>
      </c>
      <c r="K54" s="5" t="n">
        <v>22000</v>
      </c>
      <c r="L54" s="6" t="n">
        <v>29000</v>
      </c>
      <c r="M54" s="5" t="n"/>
      <c r="N54" s="5">
        <f>IF(AND(ISNUMBER(M54),ISNUMBER(L54)),M54-L54,"")</f>
        <v/>
      </c>
      <c r="O54" s="7">
        <f>IF(AND(ISNUMBER(M54),ISNUMBER(L54),L54&gt;0),(M54-L54)/L54,"")</f>
        <v/>
      </c>
      <c r="P54" s="3">
        <f>IF(O54="","",IF(O54&lt;-0.02,"🔴 Bán phá giá sàn",IF(O54&gt;0.05,"🔵 Bán cao hơn","🟢 Đúng giá sàn TMĐT")))</f>
        <v/>
      </c>
      <c r="Q54" s="3" t="n"/>
      <c r="R54" s="4" t="n"/>
      <c r="S54" s="4" t="n"/>
    </row>
    <row r="55">
      <c r="A55" s="3" t="n">
        <v>54</v>
      </c>
      <c r="B55" s="3" t="inlineStr">
        <is>
          <t>KH001</t>
        </is>
      </c>
      <c r="C55" s="4" t="inlineStr">
        <is>
          <t>Điện nước Nhật (Shop) HCM</t>
        </is>
      </c>
      <c r="D55" s="3" t="inlineStr">
        <is>
          <t>HCM</t>
        </is>
      </c>
      <c r="E55" s="3" t="inlineStr">
        <is>
          <t>BẢO TRÂM</t>
        </is>
      </c>
      <c r="F55" s="3" t="inlineStr">
        <is>
          <t>Shopee</t>
        </is>
      </c>
      <c r="G55" s="3" t="inlineStr">
        <is>
          <t>T265E-T50</t>
        </is>
      </c>
      <c r="H55" s="4" t="inlineStr">
        <is>
          <t>Đầu vít hoa thị KingBlue T265E-T50</t>
        </is>
      </c>
      <c r="I55" s="3" t="inlineStr">
        <is>
          <t>Vỉ</t>
        </is>
      </c>
      <c r="J55" s="5" t="n">
        <v>41000</v>
      </c>
      <c r="K55" s="5" t="n">
        <v>53000</v>
      </c>
      <c r="L55" s="6" t="n">
        <v>70000</v>
      </c>
      <c r="M55" s="5" t="n"/>
      <c r="N55" s="5">
        <f>IF(AND(ISNUMBER(M55),ISNUMBER(L55)),M55-L55,"")</f>
        <v/>
      </c>
      <c r="O55" s="7">
        <f>IF(AND(ISNUMBER(M55),ISNUMBER(L55),L55&gt;0),(M55-L55)/L55,"")</f>
        <v/>
      </c>
      <c r="P55" s="3">
        <f>IF(O55="","",IF(O55&lt;-0.02,"🔴 Bán phá giá sàn",IF(O55&gt;0.05,"🔵 Bán cao hơn","🟢 Đúng giá sàn TMĐT")))</f>
        <v/>
      </c>
      <c r="Q55" s="3" t="n"/>
      <c r="R55" s="4" t="n"/>
      <c r="S55" s="4" t="n"/>
    </row>
    <row r="56">
      <c r="A56" s="3" t="n">
        <v>55</v>
      </c>
      <c r="B56" s="3" t="inlineStr">
        <is>
          <t>KH001</t>
        </is>
      </c>
      <c r="C56" s="4" t="inlineStr">
        <is>
          <t>Điện nước Nhật (Shop) HCM</t>
        </is>
      </c>
      <c r="D56" s="3" t="inlineStr">
        <is>
          <t>HCM</t>
        </is>
      </c>
      <c r="E56" s="3" t="inlineStr">
        <is>
          <t>BẢO TRÂM</t>
        </is>
      </c>
      <c r="F56" s="3" t="inlineStr">
        <is>
          <t>Shopee</t>
        </is>
      </c>
      <c r="G56" s="3" t="inlineStr">
        <is>
          <t>L265E-H3</t>
        </is>
      </c>
      <c r="H56" s="4" t="inlineStr">
        <is>
          <t>Đầu vít lục giác KingBlue L265E-H3</t>
        </is>
      </c>
      <c r="I56" s="3" t="inlineStr">
        <is>
          <t>Vỉ</t>
        </is>
      </c>
      <c r="J56" s="5" t="n">
        <v>17000</v>
      </c>
      <c r="K56" s="5" t="n">
        <v>22000</v>
      </c>
      <c r="L56" s="6" t="n">
        <v>29000</v>
      </c>
      <c r="M56" s="5" t="n"/>
      <c r="N56" s="5">
        <f>IF(AND(ISNUMBER(M56),ISNUMBER(L56)),M56-L56,"")</f>
        <v/>
      </c>
      <c r="O56" s="7">
        <f>IF(AND(ISNUMBER(M56),ISNUMBER(L56),L56&gt;0),(M56-L56)/L56,"")</f>
        <v/>
      </c>
      <c r="P56" s="3">
        <f>IF(O56="","",IF(O56&lt;-0.02,"🔴 Bán phá giá sàn",IF(O56&gt;0.05,"🔵 Bán cao hơn","🟢 Đúng giá sàn TMĐT")))</f>
        <v/>
      </c>
      <c r="Q56" s="3" t="n"/>
      <c r="R56" s="4" t="n"/>
      <c r="S56" s="4" t="n"/>
    </row>
    <row r="57">
      <c r="A57" s="3" t="n">
        <v>56</v>
      </c>
      <c r="B57" s="3" t="inlineStr">
        <is>
          <t>KH001</t>
        </is>
      </c>
      <c r="C57" s="4" t="inlineStr">
        <is>
          <t>Điện nước Nhật (Shop) HCM</t>
        </is>
      </c>
      <c r="D57" s="3" t="inlineStr">
        <is>
          <t>HCM</t>
        </is>
      </c>
      <c r="E57" s="3" t="inlineStr">
        <is>
          <t>BẢO TRÂM</t>
        </is>
      </c>
      <c r="F57" s="3" t="inlineStr">
        <is>
          <t>Shopee</t>
        </is>
      </c>
      <c r="G57" s="3" t="inlineStr">
        <is>
          <t>L265E-H4</t>
        </is>
      </c>
      <c r="H57" s="4" t="inlineStr">
        <is>
          <t>Đầu vít lục giác KingBlue L265E-H4</t>
        </is>
      </c>
      <c r="I57" s="3" t="inlineStr">
        <is>
          <t>Vỉ</t>
        </is>
      </c>
      <c r="J57" s="5" t="n">
        <v>17000</v>
      </c>
      <c r="K57" s="5" t="n">
        <v>22000</v>
      </c>
      <c r="L57" s="6" t="n">
        <v>29000</v>
      </c>
      <c r="M57" s="5" t="n"/>
      <c r="N57" s="5">
        <f>IF(AND(ISNUMBER(M57),ISNUMBER(L57)),M57-L57,"")</f>
        <v/>
      </c>
      <c r="O57" s="7">
        <f>IF(AND(ISNUMBER(M57),ISNUMBER(L57),L57&gt;0),(M57-L57)/L57,"")</f>
        <v/>
      </c>
      <c r="P57" s="3">
        <f>IF(O57="","",IF(O57&lt;-0.02,"🔴 Bán phá giá sàn",IF(O57&gt;0.05,"🔵 Bán cao hơn","🟢 Đúng giá sàn TMĐT")))</f>
        <v/>
      </c>
      <c r="Q57" s="3" t="n"/>
      <c r="R57" s="4" t="n"/>
      <c r="S57" s="4" t="n"/>
    </row>
    <row r="58">
      <c r="A58" s="3" t="n">
        <v>57</v>
      </c>
      <c r="B58" s="3" t="inlineStr">
        <is>
          <t>KH001</t>
        </is>
      </c>
      <c r="C58" s="4" t="inlineStr">
        <is>
          <t>Điện nước Nhật (Shop) HCM</t>
        </is>
      </c>
      <c r="D58" s="3" t="inlineStr">
        <is>
          <t>HCM</t>
        </is>
      </c>
      <c r="E58" s="3" t="inlineStr">
        <is>
          <t>BẢO TRÂM</t>
        </is>
      </c>
      <c r="F58" s="3" t="inlineStr">
        <is>
          <t>Shopee</t>
        </is>
      </c>
      <c r="G58" s="3" t="inlineStr">
        <is>
          <t>L265E-H5</t>
        </is>
      </c>
      <c r="H58" s="4" t="inlineStr">
        <is>
          <t>Đầu vít lục giác KingBlue L265E-H5</t>
        </is>
      </c>
      <c r="I58" s="3" t="inlineStr">
        <is>
          <t>Vỉ</t>
        </is>
      </c>
      <c r="J58" s="5" t="n">
        <v>17000</v>
      </c>
      <c r="K58" s="5" t="n">
        <v>22000</v>
      </c>
      <c r="L58" s="6" t="n">
        <v>29000</v>
      </c>
      <c r="M58" s="5" t="n"/>
      <c r="N58" s="5">
        <f>IF(AND(ISNUMBER(M58),ISNUMBER(L58)),M58-L58,"")</f>
        <v/>
      </c>
      <c r="O58" s="7">
        <f>IF(AND(ISNUMBER(M58),ISNUMBER(L58),L58&gt;0),(M58-L58)/L58,"")</f>
        <v/>
      </c>
      <c r="P58" s="3">
        <f>IF(O58="","",IF(O58&lt;-0.02,"🔴 Bán phá giá sàn",IF(O58&gt;0.05,"🔵 Bán cao hơn","🟢 Đúng giá sàn TMĐT")))</f>
        <v/>
      </c>
      <c r="Q58" s="3" t="n"/>
      <c r="R58" s="4" t="n"/>
      <c r="S58" s="4" t="n"/>
    </row>
    <row r="59">
      <c r="A59" s="3" t="n">
        <v>58</v>
      </c>
      <c r="B59" s="3" t="inlineStr">
        <is>
          <t>KH001</t>
        </is>
      </c>
      <c r="C59" s="4" t="inlineStr">
        <is>
          <t>Điện nước Nhật (Shop) HCM</t>
        </is>
      </c>
      <c r="D59" s="3" t="inlineStr">
        <is>
          <t>HCM</t>
        </is>
      </c>
      <c r="E59" s="3" t="inlineStr">
        <is>
          <t>BẢO TRÂM</t>
        </is>
      </c>
      <c r="F59" s="3" t="inlineStr">
        <is>
          <t>Shopee</t>
        </is>
      </c>
      <c r="G59" s="3" t="inlineStr">
        <is>
          <t>L265E-H6</t>
        </is>
      </c>
      <c r="H59" s="4" t="inlineStr">
        <is>
          <t>Đầu vít lục giác KingBlue L265E-H6</t>
        </is>
      </c>
      <c r="I59" s="3" t="inlineStr">
        <is>
          <t>Vỉ</t>
        </is>
      </c>
      <c r="J59" s="5" t="n">
        <v>17000</v>
      </c>
      <c r="K59" s="5" t="n">
        <v>22000</v>
      </c>
      <c r="L59" s="6" t="n">
        <v>29000</v>
      </c>
      <c r="M59" s="5" t="n"/>
      <c r="N59" s="5">
        <f>IF(AND(ISNUMBER(M59),ISNUMBER(L59)),M59-L59,"")</f>
        <v/>
      </c>
      <c r="O59" s="7">
        <f>IF(AND(ISNUMBER(M59),ISNUMBER(L59),L59&gt;0),(M59-L59)/L59,"")</f>
        <v/>
      </c>
      <c r="P59" s="3">
        <f>IF(O59="","",IF(O59&lt;-0.02,"🔴 Bán phá giá sàn",IF(O59&gt;0.05,"🔵 Bán cao hơn","🟢 Đúng giá sàn TMĐT")))</f>
        <v/>
      </c>
      <c r="Q59" s="3" t="n"/>
      <c r="R59" s="4" t="n"/>
      <c r="S59" s="4" t="n"/>
    </row>
    <row r="60">
      <c r="A60" s="3" t="n">
        <v>59</v>
      </c>
      <c r="B60" s="3" t="inlineStr">
        <is>
          <t>KH001</t>
        </is>
      </c>
      <c r="C60" s="4" t="inlineStr">
        <is>
          <t>Điện nước Nhật (Shop) HCM</t>
        </is>
      </c>
      <c r="D60" s="3" t="inlineStr">
        <is>
          <t>HCM</t>
        </is>
      </c>
      <c r="E60" s="3" t="inlineStr">
        <is>
          <t>BẢO TRÂM</t>
        </is>
      </c>
      <c r="F60" s="3" t="inlineStr">
        <is>
          <t>Shopee</t>
        </is>
      </c>
      <c r="G60" s="3" t="inlineStr">
        <is>
          <t>L265E-H8</t>
        </is>
      </c>
      <c r="H60" s="4" t="inlineStr">
        <is>
          <t>Đầu vít lục giác KingBlue L265E-H8</t>
        </is>
      </c>
      <c r="I60" s="3" t="inlineStr">
        <is>
          <t>Vỉ</t>
        </is>
      </c>
      <c r="J60" s="5" t="n">
        <v>41000</v>
      </c>
      <c r="K60" s="5" t="n">
        <v>53000</v>
      </c>
      <c r="L60" s="6" t="n">
        <v>70000</v>
      </c>
      <c r="M60" s="5" t="n"/>
      <c r="N60" s="5">
        <f>IF(AND(ISNUMBER(M60),ISNUMBER(L60)),M60-L60,"")</f>
        <v/>
      </c>
      <c r="O60" s="7">
        <f>IF(AND(ISNUMBER(M60),ISNUMBER(L60),L60&gt;0),(M60-L60)/L60,"")</f>
        <v/>
      </c>
      <c r="P60" s="3">
        <f>IF(O60="","",IF(O60&lt;-0.02,"🔴 Bán phá giá sàn",IF(O60&gt;0.05,"🔵 Bán cao hơn","🟢 Đúng giá sàn TMĐT")))</f>
        <v/>
      </c>
      <c r="Q60" s="3" t="n"/>
      <c r="R60" s="4" t="n"/>
      <c r="S60" s="4" t="n"/>
    </row>
    <row r="61">
      <c r="A61" s="3" t="n">
        <v>60</v>
      </c>
      <c r="B61" s="3" t="inlineStr">
        <is>
          <t>KH001</t>
        </is>
      </c>
      <c r="C61" s="4" t="inlineStr">
        <is>
          <t>Điện nước Nhật (Shop) HCM</t>
        </is>
      </c>
      <c r="D61" s="3" t="inlineStr">
        <is>
          <t>HCM</t>
        </is>
      </c>
      <c r="E61" s="3" t="inlineStr">
        <is>
          <t>BẢO TRÂM</t>
        </is>
      </c>
      <c r="F61" s="3" t="inlineStr">
        <is>
          <t>Shopee</t>
        </is>
      </c>
      <c r="G61" s="3" t="inlineStr">
        <is>
          <t>KPQ-32</t>
        </is>
      </c>
      <c r="H61" s="4" t="inlineStr">
        <is>
          <t>Kéo cắt góc nẹp điện KPQ-32</t>
        </is>
      </c>
      <c r="I61" s="3" t="inlineStr">
        <is>
          <t>Cái</t>
        </is>
      </c>
      <c r="J61" s="5" t="n">
        <v>163000</v>
      </c>
      <c r="K61" s="5" t="n">
        <v>192000</v>
      </c>
      <c r="L61" s="6" t="n">
        <v>236000</v>
      </c>
      <c r="M61" s="5" t="n"/>
      <c r="N61" s="5">
        <f>IF(AND(ISNUMBER(M61),ISNUMBER(L61)),M61-L61,"")</f>
        <v/>
      </c>
      <c r="O61" s="7">
        <f>IF(AND(ISNUMBER(M61),ISNUMBER(L61),L61&gt;0),(M61-L61)/L61,"")</f>
        <v/>
      </c>
      <c r="P61" s="3">
        <f>IF(O61="","",IF(O61&lt;-0.02,"🔴 Bán phá giá sàn",IF(O61&gt;0.05,"🔵 Bán cao hơn","🟢 Đúng giá sàn TMĐT")))</f>
        <v/>
      </c>
      <c r="Q61" s="3" t="n"/>
      <c r="R61" s="4" t="n"/>
      <c r="S61" s="4" t="n"/>
    </row>
    <row r="62">
      <c r="A62" s="3" t="n">
        <v>61</v>
      </c>
      <c r="B62" s="3" t="inlineStr">
        <is>
          <t>KH001</t>
        </is>
      </c>
      <c r="C62" s="4" t="inlineStr">
        <is>
          <t>Điện nước Nhật (Shop) HCM</t>
        </is>
      </c>
      <c r="D62" s="3" t="inlineStr">
        <is>
          <t>HCM</t>
        </is>
      </c>
      <c r="E62" s="3" t="inlineStr">
        <is>
          <t>BẢO TRÂM</t>
        </is>
      </c>
      <c r="F62" s="3" t="inlineStr">
        <is>
          <t>Shopee</t>
        </is>
      </c>
      <c r="G62" s="3" t="inlineStr">
        <is>
          <t>KPC-042</t>
        </is>
      </c>
      <c r="H62" s="4" t="inlineStr">
        <is>
          <t>Kéo cắt ống KPC-042 (NEW)</t>
        </is>
      </c>
      <c r="I62" s="3" t="inlineStr">
        <is>
          <t>Cái</t>
        </is>
      </c>
      <c r="J62" s="5" t="n">
        <v>102000</v>
      </c>
      <c r="K62" s="5" t="n">
        <v>120000</v>
      </c>
      <c r="L62" s="6" t="n">
        <v>148000</v>
      </c>
      <c r="M62" s="5" t="n"/>
      <c r="N62" s="5">
        <f>IF(AND(ISNUMBER(M62),ISNUMBER(L62)),M62-L62,"")</f>
        <v/>
      </c>
      <c r="O62" s="7">
        <f>IF(AND(ISNUMBER(M62),ISNUMBER(L62),L62&gt;0),(M62-L62)/L62,"")</f>
        <v/>
      </c>
      <c r="P62" s="3">
        <f>IF(O62="","",IF(O62&lt;-0.02,"🔴 Bán phá giá sàn",IF(O62&gt;0.05,"🔵 Bán cao hơn","🟢 Đúng giá sàn TMĐT")))</f>
        <v/>
      </c>
      <c r="Q62" s="3" t="n"/>
      <c r="R62" s="4" t="n"/>
      <c r="S62" s="4" t="n"/>
    </row>
    <row r="63">
      <c r="A63" s="3" t="n">
        <v>62</v>
      </c>
      <c r="B63" s="3" t="inlineStr">
        <is>
          <t>KH001</t>
        </is>
      </c>
      <c r="C63" s="4" t="inlineStr">
        <is>
          <t>Điện nước Nhật (Shop) HCM</t>
        </is>
      </c>
      <c r="D63" s="3" t="inlineStr">
        <is>
          <t>HCM</t>
        </is>
      </c>
      <c r="E63" s="3" t="inlineStr">
        <is>
          <t>BẢO TRÂM</t>
        </is>
      </c>
      <c r="F63" s="3" t="inlineStr">
        <is>
          <t>Shopee</t>
        </is>
      </c>
      <c r="G63" s="3" t="inlineStr">
        <is>
          <t>KPC-132</t>
        </is>
      </c>
      <c r="H63" s="4" t="inlineStr">
        <is>
          <t>Kéo cắt ống KPC-132</t>
        </is>
      </c>
      <c r="I63" s="3" t="inlineStr">
        <is>
          <t>Cái</t>
        </is>
      </c>
      <c r="J63" s="5" t="n">
        <v>101000</v>
      </c>
      <c r="K63" s="5" t="n">
        <v>119000</v>
      </c>
      <c r="L63" s="6" t="n">
        <v>147000</v>
      </c>
      <c r="M63" s="5" t="n"/>
      <c r="N63" s="5">
        <f>IF(AND(ISNUMBER(M63),ISNUMBER(L63)),M63-L63,"")</f>
        <v/>
      </c>
      <c r="O63" s="7">
        <f>IF(AND(ISNUMBER(M63),ISNUMBER(L63),L63&gt;0),(M63-L63)/L63,"")</f>
        <v/>
      </c>
      <c r="P63" s="3">
        <f>IF(O63="","",IF(O63&lt;-0.02,"🔴 Bán phá giá sàn",IF(O63&gt;0.05,"🔵 Bán cao hơn","🟢 Đúng giá sàn TMĐT")))</f>
        <v/>
      </c>
      <c r="Q63" s="3" t="n"/>
      <c r="R63" s="4" t="n"/>
      <c r="S63" s="4" t="n"/>
    </row>
    <row r="64">
      <c r="A64" s="3" t="n">
        <v>63</v>
      </c>
      <c r="B64" s="3" t="inlineStr">
        <is>
          <t>KH001</t>
        </is>
      </c>
      <c r="C64" s="4" t="inlineStr">
        <is>
          <t>Điện nước Nhật (Shop) HCM</t>
        </is>
      </c>
      <c r="D64" s="3" t="inlineStr">
        <is>
          <t>HCM</t>
        </is>
      </c>
      <c r="E64" s="3" t="inlineStr">
        <is>
          <t>BẢO TRÂM</t>
        </is>
      </c>
      <c r="F64" s="3" t="inlineStr">
        <is>
          <t>Shopee</t>
        </is>
      </c>
      <c r="G64" s="3" t="inlineStr">
        <is>
          <t>KPC-142</t>
        </is>
      </c>
      <c r="H64" s="4" t="inlineStr">
        <is>
          <t>Kéo cắt ống KPC-142 (NEW)</t>
        </is>
      </c>
      <c r="I64" s="3" t="inlineStr">
        <is>
          <t>Cái</t>
        </is>
      </c>
      <c r="J64" s="5" t="n">
        <v>269000</v>
      </c>
      <c r="K64" s="5" t="n">
        <v>317000</v>
      </c>
      <c r="L64" s="6" t="n">
        <v>390000</v>
      </c>
      <c r="M64" s="5" t="n"/>
      <c r="N64" s="5">
        <f>IF(AND(ISNUMBER(M64),ISNUMBER(L64)),M64-L64,"")</f>
        <v/>
      </c>
      <c r="O64" s="7">
        <f>IF(AND(ISNUMBER(M64),ISNUMBER(L64),L64&gt;0),(M64-L64)/L64,"")</f>
        <v/>
      </c>
      <c r="P64" s="3">
        <f>IF(O64="","",IF(O64&lt;-0.02,"🔴 Bán phá giá sàn",IF(O64&gt;0.05,"🔵 Bán cao hơn","🟢 Đúng giá sàn TMĐT")))</f>
        <v/>
      </c>
      <c r="Q64" s="3" t="n"/>
      <c r="R64" s="4" t="n"/>
      <c r="S64" s="4" t="n"/>
    </row>
    <row r="65">
      <c r="A65" s="3" t="n">
        <v>64</v>
      </c>
      <c r="B65" s="3" t="inlineStr">
        <is>
          <t>KH001</t>
        </is>
      </c>
      <c r="C65" s="4" t="inlineStr">
        <is>
          <t>Điện nước Nhật (Shop) HCM</t>
        </is>
      </c>
      <c r="D65" s="3" t="inlineStr">
        <is>
          <t>HCM</t>
        </is>
      </c>
      <c r="E65" s="3" t="inlineStr">
        <is>
          <t>BẢO TRÂM</t>
        </is>
      </c>
      <c r="F65" s="3" t="inlineStr">
        <is>
          <t>Shopee</t>
        </is>
      </c>
      <c r="G65" s="3" t="inlineStr">
        <is>
          <t>KPC-164</t>
        </is>
      </c>
      <c r="H65" s="4" t="inlineStr">
        <is>
          <t>Kéo cắt ống KPC-164</t>
        </is>
      </c>
      <c r="I65" s="3" t="inlineStr">
        <is>
          <t>Cái</t>
        </is>
      </c>
      <c r="J65" s="5" t="n">
        <v>262000</v>
      </c>
      <c r="K65" s="5" t="n">
        <v>309000</v>
      </c>
      <c r="L65" s="6" t="n">
        <v>380000</v>
      </c>
      <c r="M65" s="5" t="n"/>
      <c r="N65" s="5">
        <f>IF(AND(ISNUMBER(M65),ISNUMBER(L65)),M65-L65,"")</f>
        <v/>
      </c>
      <c r="O65" s="7">
        <f>IF(AND(ISNUMBER(M65),ISNUMBER(L65),L65&gt;0),(M65-L65)/L65,"")</f>
        <v/>
      </c>
      <c r="P65" s="3">
        <f>IF(O65="","",IF(O65&lt;-0.02,"🔴 Bán phá giá sàn",IF(O65&gt;0.05,"🔵 Bán cao hơn","🟢 Đúng giá sàn TMĐT")))</f>
        <v/>
      </c>
      <c r="Q65" s="3" t="n"/>
      <c r="R65" s="4" t="n"/>
      <c r="S65" s="4" t="n"/>
    </row>
    <row r="66">
      <c r="A66" s="3" t="n">
        <v>65</v>
      </c>
      <c r="B66" s="3" t="inlineStr">
        <is>
          <t>KH001</t>
        </is>
      </c>
      <c r="C66" s="4" t="inlineStr">
        <is>
          <t>Điện nước Nhật (Shop) HCM</t>
        </is>
      </c>
      <c r="D66" s="3" t="inlineStr">
        <is>
          <t>HCM</t>
        </is>
      </c>
      <c r="E66" s="3" t="inlineStr">
        <is>
          <t>BẢO TRÂM</t>
        </is>
      </c>
      <c r="F66" s="3" t="inlineStr">
        <is>
          <t>Shopee</t>
        </is>
      </c>
      <c r="G66" s="3" t="inlineStr">
        <is>
          <t>KPC-242</t>
        </is>
      </c>
      <c r="H66" s="4" t="inlineStr">
        <is>
          <t>Kéo cắt ống KPC-242</t>
        </is>
      </c>
      <c r="I66" s="3" t="inlineStr">
        <is>
          <t>Cái</t>
        </is>
      </c>
      <c r="J66" s="5" t="n">
        <v>172000</v>
      </c>
      <c r="K66" s="5" t="n">
        <v>203000</v>
      </c>
      <c r="L66" s="6" t="n">
        <v>249000</v>
      </c>
      <c r="M66" s="5" t="n"/>
      <c r="N66" s="5">
        <f>IF(AND(ISNUMBER(M66),ISNUMBER(L66)),M66-L66,"")</f>
        <v/>
      </c>
      <c r="O66" s="7">
        <f>IF(AND(ISNUMBER(M66),ISNUMBER(L66),L66&gt;0),(M66-L66)/L66,"")</f>
        <v/>
      </c>
      <c r="P66" s="3">
        <f>IF(O66="","",IF(O66&lt;-0.02,"🔴 Bán phá giá sàn",IF(O66&gt;0.05,"🔵 Bán cao hơn","🟢 Đúng giá sàn TMĐT")))</f>
        <v/>
      </c>
      <c r="Q66" s="3" t="n"/>
      <c r="R66" s="4" t="n"/>
      <c r="S66" s="4" t="n"/>
    </row>
    <row r="67">
      <c r="A67" s="3" t="n">
        <v>66</v>
      </c>
      <c r="B67" s="3" t="inlineStr">
        <is>
          <t>KH001</t>
        </is>
      </c>
      <c r="C67" s="4" t="inlineStr">
        <is>
          <t>Điện nước Nhật (Shop) HCM</t>
        </is>
      </c>
      <c r="D67" s="3" t="inlineStr">
        <is>
          <t>HCM</t>
        </is>
      </c>
      <c r="E67" s="3" t="inlineStr">
        <is>
          <t>BẢO TRÂM</t>
        </is>
      </c>
      <c r="F67" s="3" t="inlineStr">
        <is>
          <t>Shopee</t>
        </is>
      </c>
      <c r="G67" s="3" t="inlineStr">
        <is>
          <t>KDT-250</t>
        </is>
      </c>
      <c r="H67" s="4" t="inlineStr">
        <is>
          <t>Kéo cắt tole KDT-250</t>
        </is>
      </c>
      <c r="I67" s="3" t="inlineStr">
        <is>
          <t>Cái</t>
        </is>
      </c>
      <c r="J67" s="5" t="n">
        <v>116000</v>
      </c>
      <c r="K67" s="5" t="n">
        <v>137000</v>
      </c>
      <c r="L67" s="6" t="n">
        <v>168000</v>
      </c>
      <c r="M67" s="5" t="n"/>
      <c r="N67" s="5">
        <f>IF(AND(ISNUMBER(M67),ISNUMBER(L67)),M67-L67,"")</f>
        <v/>
      </c>
      <c r="O67" s="7">
        <f>IF(AND(ISNUMBER(M67),ISNUMBER(L67),L67&gt;0),(M67-L67)/L67,"")</f>
        <v/>
      </c>
      <c r="P67" s="3">
        <f>IF(O67="","",IF(O67&lt;-0.02,"🔴 Bán phá giá sàn",IF(O67&gt;0.05,"🔵 Bán cao hơn","🟢 Đúng giá sàn TMĐT")))</f>
        <v/>
      </c>
      <c r="Q67" s="3" t="n"/>
      <c r="R67" s="4" t="n"/>
      <c r="S67" s="4" t="n"/>
    </row>
    <row r="68">
      <c r="A68" s="3" t="n">
        <v>67</v>
      </c>
      <c r="B68" s="3" t="inlineStr">
        <is>
          <t>KH001</t>
        </is>
      </c>
      <c r="C68" s="4" t="inlineStr">
        <is>
          <t>Điện nước Nhật (Shop) HCM</t>
        </is>
      </c>
      <c r="D68" s="3" t="inlineStr">
        <is>
          <t>HCM</t>
        </is>
      </c>
      <c r="E68" s="3" t="inlineStr">
        <is>
          <t>BẢO TRÂM</t>
        </is>
      </c>
      <c r="F68" s="3" t="inlineStr">
        <is>
          <t>Shopee</t>
        </is>
      </c>
      <c r="G68" s="3" t="inlineStr">
        <is>
          <t>KCT-250</t>
        </is>
      </c>
      <c r="H68" s="4" t="inlineStr">
        <is>
          <t>Kéo cắt thạch cao (tole) KCT-250</t>
        </is>
      </c>
      <c r="I68" s="3" t="inlineStr">
        <is>
          <t>Cái</t>
        </is>
      </c>
      <c r="J68" s="5" t="n">
        <v>105000</v>
      </c>
      <c r="K68" s="5" t="n">
        <v>124000</v>
      </c>
      <c r="L68" s="6" t="n">
        <v>152000</v>
      </c>
      <c r="M68" s="5" t="n"/>
      <c r="N68" s="5">
        <f>IF(AND(ISNUMBER(M68),ISNUMBER(L68)),M68-L68,"")</f>
        <v/>
      </c>
      <c r="O68" s="7">
        <f>IF(AND(ISNUMBER(M68),ISNUMBER(L68),L68&gt;0),(M68-L68)/L68,"")</f>
        <v/>
      </c>
      <c r="P68" s="3">
        <f>IF(O68="","",IF(O68&lt;-0.02,"🔴 Bán phá giá sàn",IF(O68&gt;0.05,"🔵 Bán cao hơn","🟢 Đúng giá sàn TMĐT")))</f>
        <v/>
      </c>
      <c r="Q68" s="3" t="n"/>
      <c r="R68" s="4" t="n"/>
      <c r="S68" s="4" t="n"/>
    </row>
    <row r="69">
      <c r="A69" s="3" t="n">
        <v>68</v>
      </c>
      <c r="B69" s="3" t="inlineStr">
        <is>
          <t>KH001</t>
        </is>
      </c>
      <c r="C69" s="4" t="inlineStr">
        <is>
          <t>Điện nước Nhật (Shop) HCM</t>
        </is>
      </c>
      <c r="D69" s="3" t="inlineStr">
        <is>
          <t>HCM</t>
        </is>
      </c>
      <c r="E69" s="3" t="inlineStr">
        <is>
          <t>BẢO TRÂM</t>
        </is>
      </c>
      <c r="F69" s="3" t="inlineStr">
        <is>
          <t>Shopee</t>
        </is>
      </c>
      <c r="G69" s="3" t="inlineStr">
        <is>
          <t>QC2</t>
        </is>
      </c>
      <c r="H69" s="4" t="inlineStr">
        <is>
          <t>Kéo cắt trái cây QC2</t>
        </is>
      </c>
      <c r="I69" s="3" t="inlineStr">
        <is>
          <t>Cái</t>
        </is>
      </c>
      <c r="J69" s="5" t="n">
        <v>65000</v>
      </c>
      <c r="K69" s="5" t="n">
        <v>77000</v>
      </c>
      <c r="L69" s="6" t="n">
        <v>94000</v>
      </c>
      <c r="M69" s="5" t="n"/>
      <c r="N69" s="5">
        <f>IF(AND(ISNUMBER(M69),ISNUMBER(L69)),M69-L69,"")</f>
        <v/>
      </c>
      <c r="O69" s="7">
        <f>IF(AND(ISNUMBER(M69),ISNUMBER(L69),L69&gt;0),(M69-L69)/L69,"")</f>
        <v/>
      </c>
      <c r="P69" s="3">
        <f>IF(O69="","",IF(O69&lt;-0.02,"🔴 Bán phá giá sàn",IF(O69&gt;0.05,"🔵 Bán cao hơn","🟢 Đúng giá sàn TMĐT")))</f>
        <v/>
      </c>
      <c r="Q69" s="3" t="n"/>
      <c r="R69" s="4" t="n"/>
      <c r="S69" s="4" t="n"/>
    </row>
    <row r="70">
      <c r="A70" s="3" t="n">
        <v>69</v>
      </c>
      <c r="B70" s="3" t="inlineStr">
        <is>
          <t>KH001</t>
        </is>
      </c>
      <c r="C70" s="4" t="inlineStr">
        <is>
          <t>Điện nước Nhật (Shop) HCM</t>
        </is>
      </c>
      <c r="D70" s="3" t="inlineStr">
        <is>
          <t>HCM</t>
        </is>
      </c>
      <c r="E70" s="3" t="inlineStr">
        <is>
          <t>BẢO TRÂM</t>
        </is>
      </c>
      <c r="F70" s="3" t="inlineStr">
        <is>
          <t>Shopee</t>
        </is>
      </c>
      <c r="G70" s="3" t="inlineStr">
        <is>
          <t>KB001-Q1</t>
        </is>
      </c>
      <c r="H70" s="4" t="inlineStr">
        <is>
          <t>Kéo KB001-Q1</t>
        </is>
      </c>
      <c r="I70" s="3" t="inlineStr">
        <is>
          <t>Cái</t>
        </is>
      </c>
      <c r="J70" s="5" t="n">
        <v>79000</v>
      </c>
      <c r="K70" s="5" t="n">
        <v>93000</v>
      </c>
      <c r="L70" s="6" t="n">
        <v>115000</v>
      </c>
      <c r="M70" s="5" t="n"/>
      <c r="N70" s="5">
        <f>IF(AND(ISNUMBER(M70),ISNUMBER(L70)),M70-L70,"")</f>
        <v/>
      </c>
      <c r="O70" s="7">
        <f>IF(AND(ISNUMBER(M70),ISNUMBER(L70),L70&gt;0),(M70-L70)/L70,"")</f>
        <v/>
      </c>
      <c r="P70" s="3">
        <f>IF(O70="","",IF(O70&lt;-0.02,"🔴 Bán phá giá sàn",IF(O70&gt;0.05,"🔵 Bán cao hơn","🟢 Đúng giá sàn TMĐT")))</f>
        <v/>
      </c>
      <c r="Q70" s="3" t="n"/>
      <c r="R70" s="4" t="n"/>
      <c r="S70" s="4" t="n"/>
    </row>
    <row r="71">
      <c r="A71" s="3" t="n">
        <v>70</v>
      </c>
      <c r="B71" s="3" t="inlineStr">
        <is>
          <t>KH001</t>
        </is>
      </c>
      <c r="C71" s="4" t="inlineStr">
        <is>
          <t>Điện nước Nhật (Shop) HCM</t>
        </is>
      </c>
      <c r="D71" s="3" t="inlineStr">
        <is>
          <t>HCM</t>
        </is>
      </c>
      <c r="E71" s="3" t="inlineStr">
        <is>
          <t>BẢO TRÂM</t>
        </is>
      </c>
      <c r="F71" s="3" t="inlineStr">
        <is>
          <t>Shopee</t>
        </is>
      </c>
      <c r="G71" s="3" t="inlineStr">
        <is>
          <t>Q9</t>
        </is>
      </c>
      <c r="H71" s="4" t="inlineStr">
        <is>
          <t>Kéo Q9</t>
        </is>
      </c>
      <c r="I71" s="3" t="inlineStr">
        <is>
          <t>Cái</t>
        </is>
      </c>
      <c r="J71" s="5" t="n">
        <v>185000</v>
      </c>
      <c r="K71" s="5" t="n">
        <v>218000</v>
      </c>
      <c r="L71" s="6" t="n">
        <v>268000</v>
      </c>
      <c r="M71" s="5" t="n"/>
      <c r="N71" s="5">
        <f>IF(AND(ISNUMBER(M71),ISNUMBER(L71)),M71-L71,"")</f>
        <v/>
      </c>
      <c r="O71" s="7">
        <f>IF(AND(ISNUMBER(M71),ISNUMBER(L71),L71&gt;0),(M71-L71)/L71,"")</f>
        <v/>
      </c>
      <c r="P71" s="3">
        <f>IF(O71="","",IF(O71&lt;-0.02,"🔴 Bán phá giá sàn",IF(O71&gt;0.05,"🔵 Bán cao hơn","🟢 Đúng giá sàn TMĐT")))</f>
        <v/>
      </c>
      <c r="Q71" s="3" t="n"/>
      <c r="R71" s="4" t="n"/>
      <c r="S71" s="4" t="n"/>
    </row>
    <row r="72">
      <c r="A72" s="3" t="n">
        <v>71</v>
      </c>
      <c r="B72" s="3" t="inlineStr">
        <is>
          <t>KH001</t>
        </is>
      </c>
      <c r="C72" s="4" t="inlineStr">
        <is>
          <t>Điện nước Nhật (Shop) HCM</t>
        </is>
      </c>
      <c r="D72" s="3" t="inlineStr">
        <is>
          <t>HCM</t>
        </is>
      </c>
      <c r="E72" s="3" t="inlineStr">
        <is>
          <t>BẢO TRÂM</t>
        </is>
      </c>
      <c r="F72" s="3" t="inlineStr">
        <is>
          <t>Shopee</t>
        </is>
      </c>
      <c r="G72" s="3" t="inlineStr">
        <is>
          <t>KND185</t>
        </is>
      </c>
      <c r="H72" s="4" t="inlineStr">
        <is>
          <t>Kìm bấm Cos vuông KND185</t>
        </is>
      </c>
      <c r="I72" s="3" t="inlineStr">
        <is>
          <t>Cái</t>
        </is>
      </c>
      <c r="J72" s="5" t="n">
        <v>182000</v>
      </c>
      <c r="K72" s="5" t="n">
        <v>215000</v>
      </c>
      <c r="L72" s="6" t="n">
        <v>264000</v>
      </c>
      <c r="M72" s="5" t="n"/>
      <c r="N72" s="5">
        <f>IF(AND(ISNUMBER(M72),ISNUMBER(L72)),M72-L72,"")</f>
        <v/>
      </c>
      <c r="O72" s="7">
        <f>IF(AND(ISNUMBER(M72),ISNUMBER(L72),L72&gt;0),(M72-L72)/L72,"")</f>
        <v/>
      </c>
      <c r="P72" s="3">
        <f>IF(O72="","",IF(O72&lt;-0.02,"🔴 Bán phá giá sàn",IF(O72&gt;0.05,"🔵 Bán cao hơn","🟢 Đúng giá sàn TMĐT")))</f>
        <v/>
      </c>
      <c r="Q72" s="3" t="n"/>
      <c r="R72" s="4" t="n"/>
      <c r="S72" s="4" t="n"/>
    </row>
    <row r="73">
      <c r="A73" s="3" t="n">
        <v>72</v>
      </c>
      <c r="B73" s="3" t="inlineStr">
        <is>
          <t>KH001</t>
        </is>
      </c>
      <c r="C73" s="4" t="inlineStr">
        <is>
          <t>Điện nước Nhật (Shop) HCM</t>
        </is>
      </c>
      <c r="D73" s="3" t="inlineStr">
        <is>
          <t>HCM</t>
        </is>
      </c>
      <c r="E73" s="3" t="inlineStr">
        <is>
          <t>BẢO TRÂM</t>
        </is>
      </c>
      <c r="F73" s="3" t="inlineStr">
        <is>
          <t>Shopee</t>
        </is>
      </c>
      <c r="G73" s="3" t="inlineStr">
        <is>
          <t>KND150</t>
        </is>
      </c>
      <c r="H73" s="4" t="inlineStr">
        <is>
          <t>Kìm cắt chân mạch đa năng KND150</t>
        </is>
      </c>
      <c r="I73" s="3" t="inlineStr">
        <is>
          <t>Cái</t>
        </is>
      </c>
      <c r="J73" s="5" t="n">
        <v>64000</v>
      </c>
      <c r="K73" s="5" t="n">
        <v>76000</v>
      </c>
      <c r="L73" s="6" t="n">
        <v>93000</v>
      </c>
      <c r="M73" s="5" t="n"/>
      <c r="N73" s="5">
        <f>IF(AND(ISNUMBER(M73),ISNUMBER(L73)),M73-L73,"")</f>
        <v/>
      </c>
      <c r="O73" s="7">
        <f>IF(AND(ISNUMBER(M73),ISNUMBER(L73),L73&gt;0),(M73-L73)/L73,"")</f>
        <v/>
      </c>
      <c r="P73" s="3">
        <f>IF(O73="","",IF(O73&lt;-0.02,"🔴 Bán phá giá sàn",IF(O73&gt;0.05,"🔵 Bán cao hơn","🟢 Đúng giá sàn TMĐT")))</f>
        <v/>
      </c>
      <c r="Q73" s="3" t="n"/>
      <c r="R73" s="4" t="n"/>
      <c r="S73" s="4" t="n"/>
    </row>
    <row r="74">
      <c r="A74" s="3" t="n">
        <v>73</v>
      </c>
      <c r="B74" s="3" t="inlineStr">
        <is>
          <t>KH001</t>
        </is>
      </c>
      <c r="C74" s="4" t="inlineStr">
        <is>
          <t>Điện nước Nhật (Shop) HCM</t>
        </is>
      </c>
      <c r="D74" s="3" t="inlineStr">
        <is>
          <t>HCM</t>
        </is>
      </c>
      <c r="E74" s="3" t="inlineStr">
        <is>
          <t>BẢO TRÂM</t>
        </is>
      </c>
      <c r="F74" s="3" t="inlineStr">
        <is>
          <t>Shopee</t>
        </is>
      </c>
      <c r="G74" s="3" t="inlineStr">
        <is>
          <t>KC3-09</t>
        </is>
      </c>
      <c r="H74" s="4" t="inlineStr">
        <is>
          <t>Kìm cắt đa năng KC3-09</t>
        </is>
      </c>
      <c r="I74" s="3" t="inlineStr">
        <is>
          <t>Cái</t>
        </is>
      </c>
      <c r="J74" s="5" t="n">
        <v>269000</v>
      </c>
      <c r="K74" s="5" t="n">
        <v>317000</v>
      </c>
      <c r="L74" s="6" t="n">
        <v>390000</v>
      </c>
      <c r="M74" s="5" t="n"/>
      <c r="N74" s="5">
        <f>IF(AND(ISNUMBER(M74),ISNUMBER(L74)),M74-L74,"")</f>
        <v/>
      </c>
      <c r="O74" s="7">
        <f>IF(AND(ISNUMBER(M74),ISNUMBER(L74),L74&gt;0),(M74-L74)/L74,"")</f>
        <v/>
      </c>
      <c r="P74" s="3">
        <f>IF(O74="","",IF(O74&lt;-0.02,"🔴 Bán phá giá sàn",IF(O74&gt;0.05,"🔵 Bán cao hơn","🟢 Đúng giá sàn TMĐT")))</f>
        <v/>
      </c>
      <c r="Q74" s="3" t="n"/>
      <c r="R74" s="4" t="n"/>
      <c r="S74" s="4" t="n"/>
    </row>
    <row r="75">
      <c r="A75" s="3" t="n">
        <v>74</v>
      </c>
      <c r="B75" s="3" t="inlineStr">
        <is>
          <t>KH001</t>
        </is>
      </c>
      <c r="C75" s="4" t="inlineStr">
        <is>
          <t>Điện nước Nhật (Shop) HCM</t>
        </is>
      </c>
      <c r="D75" s="3" t="inlineStr">
        <is>
          <t>HCM</t>
        </is>
      </c>
      <c r="E75" s="3" t="inlineStr">
        <is>
          <t>BẢO TRÂM</t>
        </is>
      </c>
      <c r="F75" s="3" t="inlineStr">
        <is>
          <t>Shopee</t>
        </is>
      </c>
      <c r="G75" s="3" t="inlineStr">
        <is>
          <t>KC3-150</t>
        </is>
      </c>
      <c r="H75" s="4" t="inlineStr">
        <is>
          <t>Kìm cắt KC3-150</t>
        </is>
      </c>
      <c r="I75" s="3" t="inlineStr">
        <is>
          <t>Cái</t>
        </is>
      </c>
      <c r="J75" s="5" t="n">
        <v>91000</v>
      </c>
      <c r="K75" s="5" t="n">
        <v>107000</v>
      </c>
      <c r="L75" s="6" t="n">
        <v>132000</v>
      </c>
      <c r="M75" s="5" t="n"/>
      <c r="N75" s="5">
        <f>IF(AND(ISNUMBER(M75),ISNUMBER(L75)),M75-L75,"")</f>
        <v/>
      </c>
      <c r="O75" s="7">
        <f>IF(AND(ISNUMBER(M75),ISNUMBER(L75),L75&gt;0),(M75-L75)/L75,"")</f>
        <v/>
      </c>
      <c r="P75" s="3">
        <f>IF(O75="","",IF(O75&lt;-0.02,"🔴 Bán phá giá sàn",IF(O75&gt;0.05,"🔵 Bán cao hơn","🟢 Đúng giá sàn TMĐT")))</f>
        <v/>
      </c>
      <c r="Q75" s="3" t="n"/>
      <c r="R75" s="4" t="n"/>
      <c r="S75" s="4" t="n"/>
    </row>
    <row r="76">
      <c r="A76" s="3" t="n">
        <v>75</v>
      </c>
      <c r="B76" s="3" t="inlineStr">
        <is>
          <t>KH001</t>
        </is>
      </c>
      <c r="C76" s="4" t="inlineStr">
        <is>
          <t>Điện nước Nhật (Shop) HCM</t>
        </is>
      </c>
      <c r="D76" s="3" t="inlineStr">
        <is>
          <t>HCM</t>
        </is>
      </c>
      <c r="E76" s="3" t="inlineStr">
        <is>
          <t>BẢO TRÂM</t>
        </is>
      </c>
      <c r="F76" s="3" t="inlineStr">
        <is>
          <t>Shopee</t>
        </is>
      </c>
      <c r="G76" s="3" t="inlineStr">
        <is>
          <t>KND200</t>
        </is>
      </c>
      <c r="H76" s="4" t="inlineStr">
        <is>
          <t>Kìm cắt tuốt đa năng 5 in1 KND200</t>
        </is>
      </c>
      <c r="I76" s="3" t="inlineStr">
        <is>
          <t>Cái</t>
        </is>
      </c>
      <c r="J76" s="5" t="n">
        <v>72000</v>
      </c>
      <c r="K76" s="5" t="n">
        <v>85000</v>
      </c>
      <c r="L76" s="6" t="n">
        <v>104000</v>
      </c>
      <c r="M76" s="5" t="n"/>
      <c r="N76" s="5">
        <f>IF(AND(ISNUMBER(M76),ISNUMBER(L76)),M76-L76,"")</f>
        <v/>
      </c>
      <c r="O76" s="7">
        <f>IF(AND(ISNUMBER(M76),ISNUMBER(L76),L76&gt;0),(M76-L76)/L76,"")</f>
        <v/>
      </c>
      <c r="P76" s="3">
        <f>IF(O76="","",IF(O76&lt;-0.02,"🔴 Bán phá giá sàn",IF(O76&gt;0.05,"🔵 Bán cao hơn","🟢 Đúng giá sàn TMĐT")))</f>
        <v/>
      </c>
      <c r="Q76" s="3" t="n"/>
      <c r="R76" s="4" t="n"/>
      <c r="S76" s="4" t="n"/>
    </row>
    <row r="77">
      <c r="A77" s="3" t="n">
        <v>76</v>
      </c>
      <c r="B77" s="3" t="inlineStr">
        <is>
          <t>KH001</t>
        </is>
      </c>
      <c r="C77" s="4" t="inlineStr">
        <is>
          <t>Điện nước Nhật (Shop) HCM</t>
        </is>
      </c>
      <c r="D77" s="3" t="inlineStr">
        <is>
          <t>HCM</t>
        </is>
      </c>
      <c r="E77" s="3" t="inlineStr">
        <is>
          <t>BẢO TRÂM</t>
        </is>
      </c>
      <c r="F77" s="3" t="inlineStr">
        <is>
          <t>Shopee</t>
        </is>
      </c>
      <c r="G77" s="3" t="inlineStr">
        <is>
          <t>KS4-260</t>
        </is>
      </c>
      <c r="H77" s="4" t="inlineStr">
        <is>
          <t>Kìm chết ngàm rộng 4 chế độ KS4-260</t>
        </is>
      </c>
      <c r="I77" s="3" t="inlineStr">
        <is>
          <t>Cái</t>
        </is>
      </c>
      <c r="J77" s="5" t="n">
        <v>270000</v>
      </c>
      <c r="K77" s="5" t="n">
        <v>319000</v>
      </c>
      <c r="L77" s="6" t="n">
        <v>392000</v>
      </c>
      <c r="M77" s="5" t="n"/>
      <c r="N77" s="5">
        <f>IF(AND(ISNUMBER(M77),ISNUMBER(L77)),M77-L77,"")</f>
        <v/>
      </c>
      <c r="O77" s="7">
        <f>IF(AND(ISNUMBER(M77),ISNUMBER(L77),L77&gt;0),(M77-L77)/L77,"")</f>
        <v/>
      </c>
      <c r="P77" s="3">
        <f>IF(O77="","",IF(O77&lt;-0.02,"🔴 Bán phá giá sàn",IF(O77&gt;0.05,"🔵 Bán cao hơn","🟢 Đúng giá sàn TMĐT")))</f>
        <v/>
      </c>
      <c r="Q77" s="3" t="n"/>
      <c r="R77" s="4" t="n"/>
      <c r="S77" s="4" t="n"/>
    </row>
    <row r="78">
      <c r="A78" s="3" t="n">
        <v>77</v>
      </c>
      <c r="B78" s="3" t="inlineStr">
        <is>
          <t>KH001</t>
        </is>
      </c>
      <c r="C78" s="4" t="inlineStr">
        <is>
          <t>Điện nước Nhật (Shop) HCM</t>
        </is>
      </c>
      <c r="D78" s="3" t="inlineStr">
        <is>
          <t>HCM</t>
        </is>
      </c>
      <c r="E78" s="3" t="inlineStr">
        <is>
          <t>BẢO TRÂM</t>
        </is>
      </c>
      <c r="F78" s="3" t="inlineStr">
        <is>
          <t>Shopee</t>
        </is>
      </c>
      <c r="G78" s="3" t="inlineStr">
        <is>
          <t>KS-264</t>
        </is>
      </c>
      <c r="H78" s="4" t="inlineStr">
        <is>
          <t>Kìm chết ngàm rộng KS-264</t>
        </is>
      </c>
      <c r="I78" s="3" t="inlineStr">
        <is>
          <t>Cái</t>
        </is>
      </c>
      <c r="J78" s="5" t="n">
        <v>352000</v>
      </c>
      <c r="K78" s="5" t="n">
        <v>415000</v>
      </c>
      <c r="L78" s="6" t="n">
        <v>510000</v>
      </c>
      <c r="M78" s="5" t="n"/>
      <c r="N78" s="5">
        <f>IF(AND(ISNUMBER(M78),ISNUMBER(L78)),M78-L78,"")</f>
        <v/>
      </c>
      <c r="O78" s="7">
        <f>IF(AND(ISNUMBER(M78),ISNUMBER(L78),L78&gt;0),(M78-L78)/L78,"")</f>
        <v/>
      </c>
      <c r="P78" s="3">
        <f>IF(O78="","",IF(O78&lt;-0.02,"🔴 Bán phá giá sàn",IF(O78&gt;0.05,"🔵 Bán cao hơn","🟢 Đúng giá sàn TMĐT")))</f>
        <v/>
      </c>
      <c r="Q78" s="3" t="n"/>
      <c r="R78" s="4" t="n"/>
      <c r="S78" s="4" t="n"/>
    </row>
    <row r="79">
      <c r="A79" s="3" t="n">
        <v>78</v>
      </c>
      <c r="B79" s="3" t="inlineStr">
        <is>
          <t>KH001</t>
        </is>
      </c>
      <c r="C79" s="4" t="inlineStr">
        <is>
          <t>Điện nước Nhật (Shop) HCM</t>
        </is>
      </c>
      <c r="D79" s="3" t="inlineStr">
        <is>
          <t>HCM</t>
        </is>
      </c>
      <c r="E79" s="3" t="inlineStr">
        <is>
          <t>BẢO TRÂM</t>
        </is>
      </c>
      <c r="F79" s="3" t="inlineStr">
        <is>
          <t>Shopee</t>
        </is>
      </c>
      <c r="G79" s="3" t="inlineStr">
        <is>
          <t>KS3-208</t>
        </is>
      </c>
      <c r="H79" s="4" t="inlineStr">
        <is>
          <t>Kìm chữ C KS3-208</t>
        </is>
      </c>
      <c r="I79" s="3" t="inlineStr">
        <is>
          <t>Cái</t>
        </is>
      </c>
      <c r="J79" s="5" t="n">
        <v>132000</v>
      </c>
      <c r="K79" s="5" t="n">
        <v>156000</v>
      </c>
      <c r="L79" s="6" t="n">
        <v>191000</v>
      </c>
      <c r="M79" s="5" t="n"/>
      <c r="N79" s="5">
        <f>IF(AND(ISNUMBER(M79),ISNUMBER(L79)),M79-L79,"")</f>
        <v/>
      </c>
      <c r="O79" s="7">
        <f>IF(AND(ISNUMBER(M79),ISNUMBER(L79),L79&gt;0),(M79-L79)/L79,"")</f>
        <v/>
      </c>
      <c r="P79" s="3">
        <f>IF(O79="","",IF(O79&lt;-0.02,"🔴 Bán phá giá sàn",IF(O79&gt;0.05,"🔵 Bán cao hơn","🟢 Đúng giá sàn TMĐT")))</f>
        <v/>
      </c>
      <c r="Q79" s="3" t="n"/>
      <c r="R79" s="4" t="n"/>
      <c r="S79" s="4" t="n"/>
    </row>
    <row r="80">
      <c r="A80" s="3" t="n">
        <v>79</v>
      </c>
      <c r="B80" s="3" t="inlineStr">
        <is>
          <t>KH001</t>
        </is>
      </c>
      <c r="C80" s="4" t="inlineStr">
        <is>
          <t>Điện nước Nhật (Shop) HCM</t>
        </is>
      </c>
      <c r="D80" s="3" t="inlineStr">
        <is>
          <t>HCM</t>
        </is>
      </c>
      <c r="E80" s="3" t="inlineStr">
        <is>
          <t>BẢO TRÂM</t>
        </is>
      </c>
      <c r="F80" s="3" t="inlineStr">
        <is>
          <t>Shopee</t>
        </is>
      </c>
      <c r="G80" s="3" t="inlineStr">
        <is>
          <t>KC1-09</t>
        </is>
      </c>
      <c r="H80" s="4" t="inlineStr">
        <is>
          <t>Kìm điện đa năng KC1-09</t>
        </is>
      </c>
      <c r="I80" s="3" t="inlineStr">
        <is>
          <t>Cái</t>
        </is>
      </c>
      <c r="J80" s="5" t="n">
        <v>127000</v>
      </c>
      <c r="K80" s="5" t="n">
        <v>150000</v>
      </c>
      <c r="L80" s="6" t="n">
        <v>184000</v>
      </c>
      <c r="M80" s="5" t="n"/>
      <c r="N80" s="5">
        <f>IF(AND(ISNUMBER(M80),ISNUMBER(L80)),M80-L80,"")</f>
        <v/>
      </c>
      <c r="O80" s="7">
        <f>IF(AND(ISNUMBER(M80),ISNUMBER(L80),L80&gt;0),(M80-L80)/L80,"")</f>
        <v/>
      </c>
      <c r="P80" s="3">
        <f>IF(O80="","",IF(O80&lt;-0.02,"🔴 Bán phá giá sàn",IF(O80&gt;0.05,"🔵 Bán cao hơn","🟢 Đúng giá sàn TMĐT")))</f>
        <v/>
      </c>
      <c r="Q80" s="3" t="n"/>
      <c r="R80" s="4" t="n"/>
      <c r="S80" s="4" t="n"/>
    </row>
    <row r="81">
      <c r="A81" s="3" t="n">
        <v>80</v>
      </c>
      <c r="B81" s="3" t="inlineStr">
        <is>
          <t>KH001</t>
        </is>
      </c>
      <c r="C81" s="4" t="inlineStr">
        <is>
          <t>Điện nước Nhật (Shop) HCM</t>
        </is>
      </c>
      <c r="D81" s="3" t="inlineStr">
        <is>
          <t>HCM</t>
        </is>
      </c>
      <c r="E81" s="3" t="inlineStr">
        <is>
          <t>BẢO TRÂM</t>
        </is>
      </c>
      <c r="F81" s="3" t="inlineStr">
        <is>
          <t>Shopee</t>
        </is>
      </c>
      <c r="G81" s="3" t="inlineStr">
        <is>
          <t>KC1-06</t>
        </is>
      </c>
      <c r="H81" s="4" t="inlineStr">
        <is>
          <t>Kìm điện KC1-06</t>
        </is>
      </c>
      <c r="I81" s="3" t="inlineStr">
        <is>
          <t>Cái</t>
        </is>
      </c>
      <c r="J81" s="5" t="n">
        <v>269000</v>
      </c>
      <c r="K81" s="5" t="n">
        <v>317000</v>
      </c>
      <c r="L81" s="6" t="n">
        <v>390000</v>
      </c>
      <c r="M81" s="5" t="n"/>
      <c r="N81" s="5">
        <f>IF(AND(ISNUMBER(M81),ISNUMBER(L81)),M81-L81,"")</f>
        <v/>
      </c>
      <c r="O81" s="7">
        <f>IF(AND(ISNUMBER(M81),ISNUMBER(L81),L81&gt;0),(M81-L81)/L81,"")</f>
        <v/>
      </c>
      <c r="P81" s="3">
        <f>IF(O81="","",IF(O81&lt;-0.02,"🔴 Bán phá giá sàn",IF(O81&gt;0.05,"🔵 Bán cao hơn","🟢 Đúng giá sàn TMĐT")))</f>
        <v/>
      </c>
      <c r="Q81" s="3" t="n"/>
      <c r="R81" s="4" t="n"/>
      <c r="S81" s="4" t="n"/>
    </row>
    <row r="82">
      <c r="A82" s="3" t="n">
        <v>81</v>
      </c>
      <c r="B82" s="3" t="inlineStr">
        <is>
          <t>KH001</t>
        </is>
      </c>
      <c r="C82" s="4" t="inlineStr">
        <is>
          <t>Điện nước Nhật (Shop) HCM</t>
        </is>
      </c>
      <c r="D82" s="3" t="inlineStr">
        <is>
          <t>HCM</t>
        </is>
      </c>
      <c r="E82" s="3" t="inlineStr">
        <is>
          <t>BẢO TRÂM</t>
        </is>
      </c>
      <c r="F82" s="3" t="inlineStr">
        <is>
          <t>Shopee</t>
        </is>
      </c>
      <c r="G82" s="3" t="inlineStr">
        <is>
          <t>KC1-08</t>
        </is>
      </c>
      <c r="H82" s="4" t="inlineStr">
        <is>
          <t>Kìm điện KC1-08</t>
        </is>
      </c>
      <c r="I82" s="3" t="inlineStr">
        <is>
          <t>Cái</t>
        </is>
      </c>
      <c r="J82" s="5" t="n">
        <v>109000</v>
      </c>
      <c r="K82" s="5" t="n">
        <v>129000</v>
      </c>
      <c r="L82" s="6" t="n">
        <v>158000</v>
      </c>
      <c r="M82" s="5" t="n"/>
      <c r="N82" s="5">
        <f>IF(AND(ISNUMBER(M82),ISNUMBER(L82)),M82-L82,"")</f>
        <v/>
      </c>
      <c r="O82" s="7">
        <f>IF(AND(ISNUMBER(M82),ISNUMBER(L82),L82&gt;0),(M82-L82)/L82,"")</f>
        <v/>
      </c>
      <c r="P82" s="3">
        <f>IF(O82="","",IF(O82&lt;-0.02,"🔴 Bán phá giá sàn",IF(O82&gt;0.05,"🔵 Bán cao hơn","🟢 Đúng giá sàn TMĐT")))</f>
        <v/>
      </c>
      <c r="Q82" s="3" t="n"/>
      <c r="R82" s="4" t="n"/>
      <c r="S82" s="4" t="n"/>
    </row>
    <row r="83">
      <c r="A83" s="3" t="n">
        <v>82</v>
      </c>
      <c r="B83" s="3" t="inlineStr">
        <is>
          <t>KH001</t>
        </is>
      </c>
      <c r="C83" s="4" t="inlineStr">
        <is>
          <t>Điện nước Nhật (Shop) HCM</t>
        </is>
      </c>
      <c r="D83" s="3" t="inlineStr">
        <is>
          <t>HCM</t>
        </is>
      </c>
      <c r="E83" s="3" t="inlineStr">
        <is>
          <t>BẢO TRÂM</t>
        </is>
      </c>
      <c r="F83" s="3" t="inlineStr">
        <is>
          <t>Shopee</t>
        </is>
      </c>
      <c r="G83" s="3" t="inlineStr">
        <is>
          <t>300-500A</t>
        </is>
      </c>
      <c r="H83" s="4" t="inlineStr">
        <is>
          <t>Kìm hàn  KCH-300  (300-500A)</t>
        </is>
      </c>
      <c r="I83" s="3" t="inlineStr">
        <is>
          <t>Cái</t>
        </is>
      </c>
      <c r="J83" s="5" t="n">
        <v>269000</v>
      </c>
      <c r="K83" s="5" t="n">
        <v>317000</v>
      </c>
      <c r="L83" s="6" t="n">
        <v>390000</v>
      </c>
      <c r="M83" s="5" t="n"/>
      <c r="N83" s="5">
        <f>IF(AND(ISNUMBER(M83),ISNUMBER(L83)),M83-L83,"")</f>
        <v/>
      </c>
      <c r="O83" s="7">
        <f>IF(AND(ISNUMBER(M83),ISNUMBER(L83),L83&gt;0),(M83-L83)/L83,"")</f>
        <v/>
      </c>
      <c r="P83" s="3">
        <f>IF(O83="","",IF(O83&lt;-0.02,"🔴 Bán phá giá sàn",IF(O83&gt;0.05,"🔵 Bán cao hơn","🟢 Đúng giá sàn TMĐT")))</f>
        <v/>
      </c>
      <c r="Q83" s="3" t="n"/>
      <c r="R83" s="4" t="n"/>
      <c r="S83" s="4" t="n"/>
    </row>
    <row r="84">
      <c r="A84" s="3" t="n">
        <v>83</v>
      </c>
      <c r="B84" s="3" t="inlineStr">
        <is>
          <t>KH001</t>
        </is>
      </c>
      <c r="C84" s="4" t="inlineStr">
        <is>
          <t>Điện nước Nhật (Shop) HCM</t>
        </is>
      </c>
      <c r="D84" s="3" t="inlineStr">
        <is>
          <t>HCM</t>
        </is>
      </c>
      <c r="E84" s="3" t="inlineStr">
        <is>
          <t>BẢO TRÂM</t>
        </is>
      </c>
      <c r="F84" s="3" t="inlineStr">
        <is>
          <t>Shopee</t>
        </is>
      </c>
      <c r="G84" s="3" t="inlineStr">
        <is>
          <t>KC2-09</t>
        </is>
      </c>
      <c r="H84" s="4" t="inlineStr">
        <is>
          <t>Kìm mỏ nhọn đa năng KC2-09</t>
        </is>
      </c>
      <c r="I84" s="3" t="inlineStr">
        <is>
          <t>Cái</t>
        </is>
      </c>
      <c r="J84" s="5" t="n">
        <v>127000</v>
      </c>
      <c r="K84" s="5" t="n">
        <v>150000</v>
      </c>
      <c r="L84" s="6" t="n">
        <v>184000</v>
      </c>
      <c r="M84" s="5" t="n"/>
      <c r="N84" s="5">
        <f>IF(AND(ISNUMBER(M84),ISNUMBER(L84)),M84-L84,"")</f>
        <v/>
      </c>
      <c r="O84" s="7">
        <f>IF(AND(ISNUMBER(M84),ISNUMBER(L84),L84&gt;0),(M84-L84)/L84,"")</f>
        <v/>
      </c>
      <c r="P84" s="3">
        <f>IF(O84="","",IF(O84&lt;-0.02,"🔴 Bán phá giá sàn",IF(O84&gt;0.05,"🔵 Bán cao hơn","🟢 Đúng giá sàn TMĐT")))</f>
        <v/>
      </c>
      <c r="Q84" s="3" t="n"/>
      <c r="R84" s="4" t="n"/>
      <c r="S84" s="4" t="n"/>
    </row>
    <row r="85">
      <c r="A85" s="3" t="n">
        <v>84</v>
      </c>
      <c r="B85" s="3" t="inlineStr">
        <is>
          <t>KH001</t>
        </is>
      </c>
      <c r="C85" s="4" t="inlineStr">
        <is>
          <t>Điện nước Nhật (Shop) HCM</t>
        </is>
      </c>
      <c r="D85" s="3" t="inlineStr">
        <is>
          <t>HCM</t>
        </is>
      </c>
      <c r="E85" s="3" t="inlineStr">
        <is>
          <t>BẢO TRÂM</t>
        </is>
      </c>
      <c r="F85" s="3" t="inlineStr">
        <is>
          <t>Shopee</t>
        </is>
      </c>
      <c r="G85" s="3" t="inlineStr">
        <is>
          <t>KC2-150</t>
        </is>
      </c>
      <c r="H85" s="4" t="inlineStr">
        <is>
          <t>Kìm nhọn KC2-150</t>
        </is>
      </c>
      <c r="I85" s="3" t="inlineStr">
        <is>
          <t>Cái</t>
        </is>
      </c>
      <c r="J85" s="5" t="n">
        <v>91000</v>
      </c>
      <c r="K85" s="5" t="n">
        <v>107000</v>
      </c>
      <c r="L85" s="6" t="n">
        <v>132000</v>
      </c>
      <c r="M85" s="5" t="n"/>
      <c r="N85" s="5">
        <f>IF(AND(ISNUMBER(M85),ISNUMBER(L85)),M85-L85,"")</f>
        <v/>
      </c>
      <c r="O85" s="7">
        <f>IF(AND(ISNUMBER(M85),ISNUMBER(L85),L85&gt;0),(M85-L85)/L85,"")</f>
        <v/>
      </c>
      <c r="P85" s="3">
        <f>IF(O85="","",IF(O85&lt;-0.02,"🔴 Bán phá giá sàn",IF(O85&gt;0.05,"🔵 Bán cao hơn","🟢 Đúng giá sàn TMĐT")))</f>
        <v/>
      </c>
      <c r="Q85" s="3" t="n"/>
      <c r="R85" s="4" t="n"/>
      <c r="S85" s="4" t="n"/>
    </row>
    <row r="86">
      <c r="A86" s="3" t="n">
        <v>85</v>
      </c>
      <c r="B86" s="3" t="inlineStr">
        <is>
          <t>KH001</t>
        </is>
      </c>
      <c r="C86" s="4" t="inlineStr">
        <is>
          <t>Điện nước Nhật (Shop) HCM</t>
        </is>
      </c>
      <c r="D86" s="3" t="inlineStr">
        <is>
          <t>HCM</t>
        </is>
      </c>
      <c r="E86" s="3" t="inlineStr">
        <is>
          <t>BẢO TRÂM</t>
        </is>
      </c>
      <c r="F86" s="3" t="inlineStr">
        <is>
          <t>Shopee</t>
        </is>
      </c>
      <c r="G86" s="3" t="inlineStr">
        <is>
          <t>KJ-230</t>
        </is>
      </c>
      <c r="H86" s="4" t="inlineStr">
        <is>
          <t>Kìm rút đinh công nghiệp KJ-230</t>
        </is>
      </c>
      <c r="I86" s="3" t="inlineStr">
        <is>
          <t>Cái</t>
        </is>
      </c>
      <c r="J86" s="5" t="n">
        <v>249000</v>
      </c>
      <c r="K86" s="5" t="n">
        <v>294000</v>
      </c>
      <c r="L86" s="6" t="n">
        <v>361000</v>
      </c>
      <c r="M86" s="5" t="n"/>
      <c r="N86" s="5">
        <f>IF(AND(ISNUMBER(M86),ISNUMBER(L86)),M86-L86,"")</f>
        <v/>
      </c>
      <c r="O86" s="7">
        <f>IF(AND(ISNUMBER(M86),ISNUMBER(L86),L86&gt;0),(M86-L86)/L86,"")</f>
        <v/>
      </c>
      <c r="P86" s="3">
        <f>IF(O86="","",IF(O86&lt;-0.02,"🔴 Bán phá giá sàn",IF(O86&gt;0.05,"🔵 Bán cao hơn","🟢 Đúng giá sàn TMĐT")))</f>
        <v/>
      </c>
      <c r="Q86" s="3" t="n"/>
      <c r="R86" s="4" t="n"/>
      <c r="S86" s="4" t="n"/>
    </row>
    <row r="87">
      <c r="A87" s="3" t="n">
        <v>86</v>
      </c>
      <c r="B87" s="3" t="inlineStr">
        <is>
          <t>KH001</t>
        </is>
      </c>
      <c r="C87" s="4" t="inlineStr">
        <is>
          <t>Điện nước Nhật (Shop) HCM</t>
        </is>
      </c>
      <c r="D87" s="3" t="inlineStr">
        <is>
          <t>HCM</t>
        </is>
      </c>
      <c r="E87" s="3" t="inlineStr">
        <is>
          <t>BẢO TRÂM</t>
        </is>
      </c>
      <c r="F87" s="3" t="inlineStr">
        <is>
          <t>Shopee</t>
        </is>
      </c>
      <c r="G87" s="3" t="inlineStr">
        <is>
          <t>KJ-103</t>
        </is>
      </c>
      <c r="H87" s="4" t="inlineStr">
        <is>
          <t>Kìm rút đinh KJ-103</t>
        </is>
      </c>
      <c r="I87" s="3" t="inlineStr">
        <is>
          <t>Cái</t>
        </is>
      </c>
      <c r="J87" s="5" t="n">
        <v>94000</v>
      </c>
      <c r="K87" s="5" t="n">
        <v>111000</v>
      </c>
      <c r="L87" s="6" t="n">
        <v>136000</v>
      </c>
      <c r="M87" s="5" t="n"/>
      <c r="N87" s="5">
        <f>IF(AND(ISNUMBER(M87),ISNUMBER(L87)),M87-L87,"")</f>
        <v/>
      </c>
      <c r="O87" s="7">
        <f>IF(AND(ISNUMBER(M87),ISNUMBER(L87),L87&gt;0),(M87-L87)/L87,"")</f>
        <v/>
      </c>
      <c r="P87" s="3">
        <f>IF(O87="","",IF(O87&lt;-0.02,"🔴 Bán phá giá sàn",IF(O87&gt;0.05,"🔵 Bán cao hơn","🟢 Đúng giá sàn TMĐT")))</f>
        <v/>
      </c>
      <c r="Q87" s="3" t="n"/>
      <c r="R87" s="4" t="n"/>
      <c r="S87" s="4" t="n"/>
    </row>
    <row r="88">
      <c r="A88" s="3" t="n">
        <v>87</v>
      </c>
      <c r="B88" s="3" t="inlineStr">
        <is>
          <t>KH001</t>
        </is>
      </c>
      <c r="C88" s="4" t="inlineStr">
        <is>
          <t>Điện nước Nhật (Shop) HCM</t>
        </is>
      </c>
      <c r="D88" s="3" t="inlineStr">
        <is>
          <t>HCM</t>
        </is>
      </c>
      <c r="E88" s="3" t="inlineStr">
        <is>
          <t>BẢO TRÂM</t>
        </is>
      </c>
      <c r="F88" s="3" t="inlineStr">
        <is>
          <t>Shopee</t>
        </is>
      </c>
      <c r="G88" s="3" t="inlineStr">
        <is>
          <t>KND180</t>
        </is>
      </c>
      <c r="H88" s="4" t="inlineStr">
        <is>
          <t>Kìm tuốt dây điện đa năng KND180</t>
        </is>
      </c>
      <c r="I88" s="3" t="inlineStr">
        <is>
          <t>Cái</t>
        </is>
      </c>
      <c r="J88" s="5" t="n">
        <v>127000</v>
      </c>
      <c r="K88" s="5" t="n">
        <v>150000</v>
      </c>
      <c r="L88" s="6" t="n">
        <v>184000</v>
      </c>
      <c r="M88" s="5" t="n"/>
      <c r="N88" s="5">
        <f>IF(AND(ISNUMBER(M88),ISNUMBER(L88)),M88-L88,"")</f>
        <v/>
      </c>
      <c r="O88" s="7">
        <f>IF(AND(ISNUMBER(M88),ISNUMBER(L88),L88&gt;0),(M88-L88)/L88,"")</f>
        <v/>
      </c>
      <c r="P88" s="3">
        <f>IF(O88="","",IF(O88&lt;-0.02,"🔴 Bán phá giá sàn",IF(O88&gt;0.05,"🔵 Bán cao hơn","🟢 Đúng giá sàn TMĐT")))</f>
        <v/>
      </c>
      <c r="Q88" s="3" t="n"/>
      <c r="R88" s="4" t="n"/>
      <c r="S88" s="4" t="n"/>
    </row>
    <row r="89">
      <c r="A89" s="3" t="n">
        <v>88</v>
      </c>
      <c r="B89" s="3" t="inlineStr">
        <is>
          <t>KH001</t>
        </is>
      </c>
      <c r="C89" s="4" t="inlineStr">
        <is>
          <t>Điện nước Nhật (Shop) HCM</t>
        </is>
      </c>
      <c r="D89" s="3" t="inlineStr">
        <is>
          <t>HCM</t>
        </is>
      </c>
      <c r="E89" s="3" t="inlineStr">
        <is>
          <t>BẢO TRÂM</t>
        </is>
      </c>
      <c r="F89" s="3" t="inlineStr">
        <is>
          <t>Shopee</t>
        </is>
      </c>
      <c r="G89" s="3" t="inlineStr">
        <is>
          <t>KND205</t>
        </is>
      </c>
      <c r="H89" s="4" t="inlineStr">
        <is>
          <t>Kìm tuốt dây điện đa năng KND205</t>
        </is>
      </c>
      <c r="I89" s="3" t="inlineStr">
        <is>
          <t>Cái</t>
        </is>
      </c>
      <c r="J89" s="5" t="n">
        <v>160000</v>
      </c>
      <c r="K89" s="5" t="n">
        <v>189000</v>
      </c>
      <c r="L89" s="6" t="n">
        <v>232000</v>
      </c>
      <c r="M89" s="5" t="n"/>
      <c r="N89" s="5">
        <f>IF(AND(ISNUMBER(M89),ISNUMBER(L89)),M89-L89,"")</f>
        <v/>
      </c>
      <c r="O89" s="7">
        <f>IF(AND(ISNUMBER(M89),ISNUMBER(L89),L89&gt;0),(M89-L89)/L89,"")</f>
        <v/>
      </c>
      <c r="P89" s="3">
        <f>IF(O89="","",IF(O89&lt;-0.02,"🔴 Bán phá giá sàn",IF(O89&gt;0.05,"🔵 Bán cao hơn","🟢 Đúng giá sàn TMĐT")))</f>
        <v/>
      </c>
      <c r="Q89" s="3" t="n"/>
      <c r="R89" s="4" t="n"/>
      <c r="S89" s="4" t="n"/>
    </row>
    <row r="90">
      <c r="A90" s="3" t="n">
        <v>89</v>
      </c>
      <c r="B90" s="3" t="inlineStr">
        <is>
          <t>KH001</t>
        </is>
      </c>
      <c r="C90" s="4" t="inlineStr">
        <is>
          <t>Điện nước Nhật (Shop) HCM</t>
        </is>
      </c>
      <c r="D90" s="3" t="inlineStr">
        <is>
          <t>HCM</t>
        </is>
      </c>
      <c r="E90" s="3" t="inlineStr">
        <is>
          <t>BẢO TRÂM</t>
        </is>
      </c>
      <c r="F90" s="3" t="inlineStr">
        <is>
          <t>Shopee</t>
        </is>
      </c>
      <c r="G90" s="3" t="inlineStr">
        <is>
          <t>KBM2-06*160</t>
        </is>
      </c>
      <c r="H90" s="4" t="inlineStr">
        <is>
          <t>Khoan bê tông chuôi lục giác KBM2-06*160</t>
        </is>
      </c>
      <c r="I90" s="3" t="inlineStr">
        <is>
          <t>Cái</t>
        </is>
      </c>
      <c r="J90" s="5" t="n">
        <v>22000</v>
      </c>
      <c r="K90" s="5" t="n">
        <v>27000</v>
      </c>
      <c r="L90" s="6" t="n">
        <v>34000</v>
      </c>
      <c r="M90" s="5" t="n"/>
      <c r="N90" s="5">
        <f>IF(AND(ISNUMBER(M90),ISNUMBER(L90)),M90-L90,"")</f>
        <v/>
      </c>
      <c r="O90" s="7">
        <f>IF(AND(ISNUMBER(M90),ISNUMBER(L90),L90&gt;0),(M90-L90)/L90,"")</f>
        <v/>
      </c>
      <c r="P90" s="3">
        <f>IF(O90="","",IF(O90&lt;-0.02,"🔴 Bán phá giá sàn",IF(O90&gt;0.05,"🔵 Bán cao hơn","🟢 Đúng giá sàn TMĐT")))</f>
        <v/>
      </c>
      <c r="Q90" s="3" t="n"/>
      <c r="R90" s="4" t="n"/>
      <c r="S90" s="4" t="n"/>
    </row>
    <row r="91">
      <c r="A91" s="3" t="n">
        <v>90</v>
      </c>
      <c r="B91" s="3" t="inlineStr">
        <is>
          <t>KH001</t>
        </is>
      </c>
      <c r="C91" s="4" t="inlineStr">
        <is>
          <t>Điện nước Nhật (Shop) HCM</t>
        </is>
      </c>
      <c r="D91" s="3" t="inlineStr">
        <is>
          <t>HCM</t>
        </is>
      </c>
      <c r="E91" s="3" t="inlineStr">
        <is>
          <t>BẢO TRÂM</t>
        </is>
      </c>
      <c r="F91" s="3" t="inlineStr">
        <is>
          <t>Shopee</t>
        </is>
      </c>
      <c r="G91" s="3" t="inlineStr">
        <is>
          <t>KBM2-08*160</t>
        </is>
      </c>
      <c r="H91" s="4" t="inlineStr">
        <is>
          <t>Khoan bê tông chuôi lục giác KBM2-08*160</t>
        </is>
      </c>
      <c r="I91" s="3" t="inlineStr">
        <is>
          <t>Cái</t>
        </is>
      </c>
      <c r="J91" s="5" t="n">
        <v>24000</v>
      </c>
      <c r="K91" s="5" t="n">
        <v>29000</v>
      </c>
      <c r="L91" s="6" t="n">
        <v>37000</v>
      </c>
      <c r="M91" s="5" t="n"/>
      <c r="N91" s="5">
        <f>IF(AND(ISNUMBER(M91),ISNUMBER(L91)),M91-L91,"")</f>
        <v/>
      </c>
      <c r="O91" s="7">
        <f>IF(AND(ISNUMBER(M91),ISNUMBER(L91),L91&gt;0),(M91-L91)/L91,"")</f>
        <v/>
      </c>
      <c r="P91" s="3">
        <f>IF(O91="","",IF(O91&lt;-0.02,"🔴 Bán phá giá sàn",IF(O91&gt;0.05,"🔵 Bán cao hơn","🟢 Đúng giá sàn TMĐT")))</f>
        <v/>
      </c>
      <c r="Q91" s="3" t="n"/>
      <c r="R91" s="4" t="n"/>
      <c r="S91" s="4" t="n"/>
    </row>
    <row r="92">
      <c r="A92" s="3" t="n">
        <v>91</v>
      </c>
      <c r="B92" s="3" t="inlineStr">
        <is>
          <t>KH001</t>
        </is>
      </c>
      <c r="C92" s="4" t="inlineStr">
        <is>
          <t>Điện nước Nhật (Shop) HCM</t>
        </is>
      </c>
      <c r="D92" s="3" t="inlineStr">
        <is>
          <t>HCM</t>
        </is>
      </c>
      <c r="E92" s="3" t="inlineStr">
        <is>
          <t>BẢO TRÂM</t>
        </is>
      </c>
      <c r="F92" s="3" t="inlineStr">
        <is>
          <t>Shopee</t>
        </is>
      </c>
      <c r="G92" s="3" t="inlineStr">
        <is>
          <t>KBY3-020CO</t>
        </is>
      </c>
      <c r="H92" s="4" t="inlineStr">
        <is>
          <t>Khoan inox chuôi lục KBY3-020CO</t>
        </is>
      </c>
      <c r="I92" s="3" t="inlineStr">
        <is>
          <t>Vỉ</t>
        </is>
      </c>
      <c r="J92" s="5" t="n">
        <v>28000</v>
      </c>
      <c r="K92" s="5" t="n">
        <v>35000</v>
      </c>
      <c r="L92" s="6" t="n">
        <v>45000</v>
      </c>
      <c r="M92" s="5" t="n"/>
      <c r="N92" s="5">
        <f>IF(AND(ISNUMBER(M92),ISNUMBER(L92)),M92-L92,"")</f>
        <v/>
      </c>
      <c r="O92" s="7">
        <f>IF(AND(ISNUMBER(M92),ISNUMBER(L92),L92&gt;0),(M92-L92)/L92,"")</f>
        <v/>
      </c>
      <c r="P92" s="3">
        <f>IF(O92="","",IF(O92&lt;-0.02,"🔴 Bán phá giá sàn",IF(O92&gt;0.05,"🔵 Bán cao hơn","🟢 Đúng giá sàn TMĐT")))</f>
        <v/>
      </c>
      <c r="Q92" s="3" t="n"/>
      <c r="R92" s="4" t="n"/>
      <c r="S92" s="4" t="n"/>
    </row>
    <row r="93">
      <c r="A93" s="3" t="n">
        <v>92</v>
      </c>
      <c r="B93" s="3" t="inlineStr">
        <is>
          <t>KH001</t>
        </is>
      </c>
      <c r="C93" s="4" t="inlineStr">
        <is>
          <t>Điện nước Nhật (Shop) HCM</t>
        </is>
      </c>
      <c r="D93" s="3" t="inlineStr">
        <is>
          <t>HCM</t>
        </is>
      </c>
      <c r="E93" s="3" t="inlineStr">
        <is>
          <t>BẢO TRÂM</t>
        </is>
      </c>
      <c r="F93" s="3" t="inlineStr">
        <is>
          <t>Shopee</t>
        </is>
      </c>
      <c r="G93" s="3" t="inlineStr">
        <is>
          <t>KBY3-030CO</t>
        </is>
      </c>
      <c r="H93" s="4" t="inlineStr">
        <is>
          <t>Khoan inox chuôi lục KBY3-030CO</t>
        </is>
      </c>
      <c r="I93" s="3" t="inlineStr">
        <is>
          <t>Vỉ</t>
        </is>
      </c>
      <c r="J93" s="5" t="n">
        <v>31000</v>
      </c>
      <c r="K93" s="5" t="n">
        <v>39000</v>
      </c>
      <c r="L93" s="6" t="n">
        <v>50000</v>
      </c>
      <c r="M93" s="5" t="n"/>
      <c r="N93" s="5">
        <f>IF(AND(ISNUMBER(M93),ISNUMBER(L93)),M93-L93,"")</f>
        <v/>
      </c>
      <c r="O93" s="7">
        <f>IF(AND(ISNUMBER(M93),ISNUMBER(L93),L93&gt;0),(M93-L93)/L93,"")</f>
        <v/>
      </c>
      <c r="P93" s="3">
        <f>IF(O93="","",IF(O93&lt;-0.02,"🔴 Bán phá giá sàn",IF(O93&gt;0.05,"🔵 Bán cao hơn","🟢 Đúng giá sàn TMĐT")))</f>
        <v/>
      </c>
      <c r="Q93" s="3" t="n"/>
      <c r="R93" s="4" t="n"/>
      <c r="S93" s="4" t="n"/>
    </row>
    <row r="94">
      <c r="A94" s="3" t="n">
        <v>93</v>
      </c>
      <c r="B94" s="3" t="inlineStr">
        <is>
          <t>KH001</t>
        </is>
      </c>
      <c r="C94" s="4" t="inlineStr">
        <is>
          <t>Điện nước Nhật (Shop) HCM</t>
        </is>
      </c>
      <c r="D94" s="3" t="inlineStr">
        <is>
          <t>HCM</t>
        </is>
      </c>
      <c r="E94" s="3" t="inlineStr">
        <is>
          <t>BẢO TRÂM</t>
        </is>
      </c>
      <c r="F94" s="3" t="inlineStr">
        <is>
          <t>Shopee</t>
        </is>
      </c>
      <c r="G94" s="3" t="inlineStr">
        <is>
          <t>KBY3-032CO</t>
        </is>
      </c>
      <c r="H94" s="4" t="inlineStr">
        <is>
          <t>Khoan inox chuôi lục KBY3-032CO</t>
        </is>
      </c>
      <c r="I94" s="3" t="inlineStr">
        <is>
          <t>Vỉ</t>
        </is>
      </c>
      <c r="J94" s="5" t="n">
        <v>35000</v>
      </c>
      <c r="K94" s="5" t="n">
        <v>43000</v>
      </c>
      <c r="L94" s="6" t="n">
        <v>56000</v>
      </c>
      <c r="M94" s="5" t="n"/>
      <c r="N94" s="5">
        <f>IF(AND(ISNUMBER(M94),ISNUMBER(L94)),M94-L94,"")</f>
        <v/>
      </c>
      <c r="O94" s="7">
        <f>IF(AND(ISNUMBER(M94),ISNUMBER(L94),L94&gt;0),(M94-L94)/L94,"")</f>
        <v/>
      </c>
      <c r="P94" s="3">
        <f>IF(O94="","",IF(O94&lt;-0.02,"🔴 Bán phá giá sàn",IF(O94&gt;0.05,"🔵 Bán cao hơn","🟢 Đúng giá sàn TMĐT")))</f>
        <v/>
      </c>
      <c r="Q94" s="3" t="n"/>
      <c r="R94" s="4" t="n"/>
      <c r="S94" s="4" t="n"/>
    </row>
    <row r="95">
      <c r="A95" s="3" t="n">
        <v>94</v>
      </c>
      <c r="B95" s="3" t="inlineStr">
        <is>
          <t>KH001</t>
        </is>
      </c>
      <c r="C95" s="4" t="inlineStr">
        <is>
          <t>Điện nước Nhật (Shop) HCM</t>
        </is>
      </c>
      <c r="D95" s="3" t="inlineStr">
        <is>
          <t>HCM</t>
        </is>
      </c>
      <c r="E95" s="3" t="inlineStr">
        <is>
          <t>BẢO TRÂM</t>
        </is>
      </c>
      <c r="F95" s="3" t="inlineStr">
        <is>
          <t>Shopee</t>
        </is>
      </c>
      <c r="G95" s="3" t="inlineStr">
        <is>
          <t>KBY3-035CO</t>
        </is>
      </c>
      <c r="H95" s="4" t="inlineStr">
        <is>
          <t>Khoan inox chuôi lục KBY3-035CO</t>
        </is>
      </c>
      <c r="I95" s="3" t="inlineStr">
        <is>
          <t>Vỉ</t>
        </is>
      </c>
      <c r="J95" s="5" t="n">
        <v>36000</v>
      </c>
      <c r="K95" s="5" t="n">
        <v>45000</v>
      </c>
      <c r="L95" s="6" t="n">
        <v>58000</v>
      </c>
      <c r="M95" s="5" t="n"/>
      <c r="N95" s="5">
        <f>IF(AND(ISNUMBER(M95),ISNUMBER(L95)),M95-L95,"")</f>
        <v/>
      </c>
      <c r="O95" s="7">
        <f>IF(AND(ISNUMBER(M95),ISNUMBER(L95),L95&gt;0),(M95-L95)/L95,"")</f>
        <v/>
      </c>
      <c r="P95" s="3">
        <f>IF(O95="","",IF(O95&lt;-0.02,"🔴 Bán phá giá sàn",IF(O95&gt;0.05,"🔵 Bán cao hơn","🟢 Đúng giá sàn TMĐT")))</f>
        <v/>
      </c>
      <c r="Q95" s="3" t="n"/>
      <c r="R95" s="4" t="n"/>
      <c r="S95" s="4" t="n"/>
    </row>
    <row r="96">
      <c r="A96" s="3" t="n">
        <v>95</v>
      </c>
      <c r="B96" s="3" t="inlineStr">
        <is>
          <t>KH001</t>
        </is>
      </c>
      <c r="C96" s="4" t="inlineStr">
        <is>
          <t>Điện nước Nhật (Shop) HCM</t>
        </is>
      </c>
      <c r="D96" s="3" t="inlineStr">
        <is>
          <t>HCM</t>
        </is>
      </c>
      <c r="E96" s="3" t="inlineStr">
        <is>
          <t>BẢO TRÂM</t>
        </is>
      </c>
      <c r="F96" s="3" t="inlineStr">
        <is>
          <t>Shopee</t>
        </is>
      </c>
      <c r="G96" s="3" t="inlineStr">
        <is>
          <t>KBY3-040CO</t>
        </is>
      </c>
      <c r="H96" s="4" t="inlineStr">
        <is>
          <t>Khoan inox chuôi lục KBY3-040CO</t>
        </is>
      </c>
      <c r="I96" s="3" t="inlineStr">
        <is>
          <t>Vỉ</t>
        </is>
      </c>
      <c r="J96" s="5" t="n">
        <v>40000</v>
      </c>
      <c r="K96" s="5" t="n">
        <v>50000</v>
      </c>
      <c r="L96" s="6" t="n">
        <v>64000</v>
      </c>
      <c r="M96" s="5" t="n"/>
      <c r="N96" s="5">
        <f>IF(AND(ISNUMBER(M96),ISNUMBER(L96)),M96-L96,"")</f>
        <v/>
      </c>
      <c r="O96" s="7">
        <f>IF(AND(ISNUMBER(M96),ISNUMBER(L96),L96&gt;0),(M96-L96)/L96,"")</f>
        <v/>
      </c>
      <c r="P96" s="3">
        <f>IF(O96="","",IF(O96&lt;-0.02,"🔴 Bán phá giá sàn",IF(O96&gt;0.05,"🔵 Bán cao hơn","🟢 Đúng giá sàn TMĐT")))</f>
        <v/>
      </c>
      <c r="Q96" s="3" t="n"/>
      <c r="R96" s="4" t="n"/>
      <c r="S96" s="4" t="n"/>
    </row>
    <row r="97">
      <c r="A97" s="3" t="n">
        <v>96</v>
      </c>
      <c r="B97" s="3" t="inlineStr">
        <is>
          <t>KH001</t>
        </is>
      </c>
      <c r="C97" s="4" t="inlineStr">
        <is>
          <t>Điện nước Nhật (Shop) HCM</t>
        </is>
      </c>
      <c r="D97" s="3" t="inlineStr">
        <is>
          <t>HCM</t>
        </is>
      </c>
      <c r="E97" s="3" t="inlineStr">
        <is>
          <t>BẢO TRÂM</t>
        </is>
      </c>
      <c r="F97" s="3" t="inlineStr">
        <is>
          <t>Shopee</t>
        </is>
      </c>
      <c r="G97" s="3" t="inlineStr">
        <is>
          <t>KBY3-042CO</t>
        </is>
      </c>
      <c r="H97" s="4" t="inlineStr">
        <is>
          <t>Khoan inox chuôi lục KBY3-042CO</t>
        </is>
      </c>
      <c r="I97" s="3" t="inlineStr">
        <is>
          <t>Vỉ</t>
        </is>
      </c>
      <c r="J97" s="5" t="n">
        <v>45000</v>
      </c>
      <c r="K97" s="5" t="n">
        <v>56000</v>
      </c>
      <c r="L97" s="6" t="n">
        <v>72000</v>
      </c>
      <c r="M97" s="5" t="n"/>
      <c r="N97" s="5">
        <f>IF(AND(ISNUMBER(M97),ISNUMBER(L97)),M97-L97,"")</f>
        <v/>
      </c>
      <c r="O97" s="7">
        <f>IF(AND(ISNUMBER(M97),ISNUMBER(L97),L97&gt;0),(M97-L97)/L97,"")</f>
        <v/>
      </c>
      <c r="P97" s="3">
        <f>IF(O97="","",IF(O97&lt;-0.02,"🔴 Bán phá giá sàn",IF(O97&gt;0.05,"🔵 Bán cao hơn","🟢 Đúng giá sàn TMĐT")))</f>
        <v/>
      </c>
      <c r="Q97" s="3" t="n"/>
      <c r="R97" s="4" t="n"/>
      <c r="S97" s="4" t="n"/>
    </row>
    <row r="98">
      <c r="A98" s="3" t="n">
        <v>97</v>
      </c>
      <c r="B98" s="3" t="inlineStr">
        <is>
          <t>KH001</t>
        </is>
      </c>
      <c r="C98" s="4" t="inlineStr">
        <is>
          <t>Điện nước Nhật (Shop) HCM</t>
        </is>
      </c>
      <c r="D98" s="3" t="inlineStr">
        <is>
          <t>HCM</t>
        </is>
      </c>
      <c r="E98" s="3" t="inlineStr">
        <is>
          <t>BẢO TRÂM</t>
        </is>
      </c>
      <c r="F98" s="3" t="inlineStr">
        <is>
          <t>Shopee</t>
        </is>
      </c>
      <c r="G98" s="3" t="inlineStr">
        <is>
          <t>KBY3-045CO</t>
        </is>
      </c>
      <c r="H98" s="4" t="inlineStr">
        <is>
          <t>Khoan inox chuôi lục KBY3-045CO</t>
        </is>
      </c>
      <c r="I98" s="3" t="inlineStr">
        <is>
          <t>Vỉ</t>
        </is>
      </c>
      <c r="J98" s="5" t="n">
        <v>46000</v>
      </c>
      <c r="K98" s="5" t="n">
        <v>57000</v>
      </c>
      <c r="L98" s="6" t="n">
        <v>74000</v>
      </c>
      <c r="M98" s="5" t="n"/>
      <c r="N98" s="5">
        <f>IF(AND(ISNUMBER(M98),ISNUMBER(L98)),M98-L98,"")</f>
        <v/>
      </c>
      <c r="O98" s="7">
        <f>IF(AND(ISNUMBER(M98),ISNUMBER(L98),L98&gt;0),(M98-L98)/L98,"")</f>
        <v/>
      </c>
      <c r="P98" s="3">
        <f>IF(O98="","",IF(O98&lt;-0.02,"🔴 Bán phá giá sàn",IF(O98&gt;0.05,"🔵 Bán cao hơn","🟢 Đúng giá sàn TMĐT")))</f>
        <v/>
      </c>
      <c r="Q98" s="3" t="n"/>
      <c r="R98" s="4" t="n"/>
      <c r="S98" s="4" t="n"/>
    </row>
    <row r="99">
      <c r="A99" s="3" t="n">
        <v>98</v>
      </c>
      <c r="B99" s="3" t="inlineStr">
        <is>
          <t>KH001</t>
        </is>
      </c>
      <c r="C99" s="4" t="inlineStr">
        <is>
          <t>Điện nước Nhật (Shop) HCM</t>
        </is>
      </c>
      <c r="D99" s="3" t="inlineStr">
        <is>
          <t>HCM</t>
        </is>
      </c>
      <c r="E99" s="3" t="inlineStr">
        <is>
          <t>BẢO TRÂM</t>
        </is>
      </c>
      <c r="F99" s="3" t="inlineStr">
        <is>
          <t>Shopee</t>
        </is>
      </c>
      <c r="G99" s="3" t="inlineStr">
        <is>
          <t>KBY3-050CO</t>
        </is>
      </c>
      <c r="H99" s="4" t="inlineStr">
        <is>
          <t>Khoan inox chuôi lục KBY3-050CO</t>
        </is>
      </c>
      <c r="I99" s="3" t="inlineStr">
        <is>
          <t>Vỉ</t>
        </is>
      </c>
      <c r="J99" s="5" t="n">
        <v>53000</v>
      </c>
      <c r="K99" s="5" t="n">
        <v>66000</v>
      </c>
      <c r="L99" s="6" t="n">
        <v>85000</v>
      </c>
      <c r="M99" s="5" t="n"/>
      <c r="N99" s="5">
        <f>IF(AND(ISNUMBER(M99),ISNUMBER(L99)),M99-L99,"")</f>
        <v/>
      </c>
      <c r="O99" s="7">
        <f>IF(AND(ISNUMBER(M99),ISNUMBER(L99),L99&gt;0),(M99-L99)/L99,"")</f>
        <v/>
      </c>
      <c r="P99" s="3">
        <f>IF(O99="","",IF(O99&lt;-0.02,"🔴 Bán phá giá sàn",IF(O99&gt;0.05,"🔵 Bán cao hơn","🟢 Đúng giá sàn TMĐT")))</f>
        <v/>
      </c>
      <c r="Q99" s="3" t="n"/>
      <c r="R99" s="4" t="n"/>
      <c r="S99" s="4" t="n"/>
    </row>
    <row r="100">
      <c r="A100" s="3" t="n">
        <v>99</v>
      </c>
      <c r="B100" s="3" t="inlineStr">
        <is>
          <t>KH001</t>
        </is>
      </c>
      <c r="C100" s="4" t="inlineStr">
        <is>
          <t>Điện nước Nhật (Shop) HCM</t>
        </is>
      </c>
      <c r="D100" s="3" t="inlineStr">
        <is>
          <t>HCM</t>
        </is>
      </c>
      <c r="E100" s="3" t="inlineStr">
        <is>
          <t>BẢO TRÂM</t>
        </is>
      </c>
      <c r="F100" s="3" t="inlineStr">
        <is>
          <t>Shopee</t>
        </is>
      </c>
      <c r="G100" s="3" t="inlineStr">
        <is>
          <t>KBY3-060CO</t>
        </is>
      </c>
      <c r="H100" s="4" t="inlineStr">
        <is>
          <t>Khoan inox chuôi lục KBY3-060CO</t>
        </is>
      </c>
      <c r="I100" s="3" t="inlineStr">
        <is>
          <t>Vỉ</t>
        </is>
      </c>
      <c r="J100" s="5" t="n">
        <v>65000</v>
      </c>
      <c r="K100" s="5" t="n">
        <v>81000</v>
      </c>
      <c r="L100" s="6" t="n">
        <v>104000</v>
      </c>
      <c r="M100" s="5" t="n"/>
      <c r="N100" s="5">
        <f>IF(AND(ISNUMBER(M100),ISNUMBER(L100)),M100-L100,"")</f>
        <v/>
      </c>
      <c r="O100" s="7">
        <f>IF(AND(ISNUMBER(M100),ISNUMBER(L100),L100&gt;0),(M100-L100)/L100,"")</f>
        <v/>
      </c>
      <c r="P100" s="3">
        <f>IF(O100="","",IF(O100&lt;-0.02,"🔴 Bán phá giá sàn",IF(O100&gt;0.05,"🔵 Bán cao hơn","🟢 Đúng giá sàn TMĐT")))</f>
        <v/>
      </c>
      <c r="Q100" s="3" t="n"/>
      <c r="R100" s="4" t="n"/>
      <c r="S100" s="4" t="n"/>
    </row>
    <row r="101">
      <c r="A101" s="3" t="n">
        <v>100</v>
      </c>
      <c r="B101" s="3" t="inlineStr">
        <is>
          <t>KH001</t>
        </is>
      </c>
      <c r="C101" s="4" t="inlineStr">
        <is>
          <t>Điện nước Nhật (Shop) HCM</t>
        </is>
      </c>
      <c r="D101" s="3" t="inlineStr">
        <is>
          <t>HCM</t>
        </is>
      </c>
      <c r="E101" s="3" t="inlineStr">
        <is>
          <t>BẢO TRÂM</t>
        </is>
      </c>
      <c r="F101" s="3" t="inlineStr">
        <is>
          <t>Shopee</t>
        </is>
      </c>
      <c r="G101" s="3" t="inlineStr">
        <is>
          <t>KBY3-065CO</t>
        </is>
      </c>
      <c r="H101" s="4" t="inlineStr">
        <is>
          <t>Khoan inox chuôi lục KBY3-065CO</t>
        </is>
      </c>
      <c r="I101" s="3" t="inlineStr">
        <is>
          <t>Cái</t>
        </is>
      </c>
      <c r="J101" s="5" t="n">
        <v>42000</v>
      </c>
      <c r="K101" s="5" t="n">
        <v>52000</v>
      </c>
      <c r="L101" s="6" t="n">
        <v>67000</v>
      </c>
      <c r="M101" s="5" t="n"/>
      <c r="N101" s="5">
        <f>IF(AND(ISNUMBER(M101),ISNUMBER(L101)),M101-L101,"")</f>
        <v/>
      </c>
      <c r="O101" s="7">
        <f>IF(AND(ISNUMBER(M101),ISNUMBER(L101),L101&gt;0),(M101-L101)/L101,"")</f>
        <v/>
      </c>
      <c r="P101" s="3">
        <f>IF(O101="","",IF(O101&lt;-0.02,"🔴 Bán phá giá sàn",IF(O101&gt;0.05,"🔵 Bán cao hơn","🟢 Đúng giá sàn TMĐT")))</f>
        <v/>
      </c>
      <c r="Q101" s="3" t="n"/>
      <c r="R101" s="4" t="n"/>
      <c r="S101" s="4" t="n"/>
    </row>
    <row r="102">
      <c r="A102" s="3" t="n">
        <v>101</v>
      </c>
      <c r="B102" s="3" t="inlineStr">
        <is>
          <t>KH001</t>
        </is>
      </c>
      <c r="C102" s="4" t="inlineStr">
        <is>
          <t>Điện nước Nhật (Shop) HCM</t>
        </is>
      </c>
      <c r="D102" s="3" t="inlineStr">
        <is>
          <t>HCM</t>
        </is>
      </c>
      <c r="E102" s="3" t="inlineStr">
        <is>
          <t>BẢO TRÂM</t>
        </is>
      </c>
      <c r="F102" s="3" t="inlineStr">
        <is>
          <t>Shopee</t>
        </is>
      </c>
      <c r="G102" s="3" t="inlineStr">
        <is>
          <t>KBY3-070CO</t>
        </is>
      </c>
      <c r="H102" s="4" t="inlineStr">
        <is>
          <t>Khoan inox chuôi lục KBY3-070CO</t>
        </is>
      </c>
      <c r="I102" s="3" t="inlineStr">
        <is>
          <t>Cái</t>
        </is>
      </c>
      <c r="J102" s="5" t="n">
        <v>45000</v>
      </c>
      <c r="K102" s="5" t="n">
        <v>56000</v>
      </c>
      <c r="L102" s="6" t="n">
        <v>72000</v>
      </c>
      <c r="M102" s="5" t="n"/>
      <c r="N102" s="5">
        <f>IF(AND(ISNUMBER(M102),ISNUMBER(L102)),M102-L102,"")</f>
        <v/>
      </c>
      <c r="O102" s="7">
        <f>IF(AND(ISNUMBER(M102),ISNUMBER(L102),L102&gt;0),(M102-L102)/L102,"")</f>
        <v/>
      </c>
      <c r="P102" s="3">
        <f>IF(O102="","",IF(O102&lt;-0.02,"🔴 Bán phá giá sàn",IF(O102&gt;0.05,"🔵 Bán cao hơn","🟢 Đúng giá sàn TMĐT")))</f>
        <v/>
      </c>
      <c r="Q102" s="3" t="n"/>
      <c r="R102" s="4" t="n"/>
      <c r="S102" s="4" t="n"/>
    </row>
    <row r="103">
      <c r="A103" s="3" t="n">
        <v>102</v>
      </c>
      <c r="B103" s="3" t="inlineStr">
        <is>
          <t>KH001</t>
        </is>
      </c>
      <c r="C103" s="4" t="inlineStr">
        <is>
          <t>Điện nước Nhật (Shop) HCM</t>
        </is>
      </c>
      <c r="D103" s="3" t="inlineStr">
        <is>
          <t>HCM</t>
        </is>
      </c>
      <c r="E103" s="3" t="inlineStr">
        <is>
          <t>BẢO TRÂM</t>
        </is>
      </c>
      <c r="F103" s="3" t="inlineStr">
        <is>
          <t>Shopee</t>
        </is>
      </c>
      <c r="G103" s="3" t="inlineStr">
        <is>
          <t>KBY3-080CO</t>
        </is>
      </c>
      <c r="H103" s="4" t="inlineStr">
        <is>
          <t>Khoan inox chuôi lục KBY3-080CO</t>
        </is>
      </c>
      <c r="I103" s="3" t="inlineStr">
        <is>
          <t>Cái</t>
        </is>
      </c>
      <c r="J103" s="5" t="n">
        <v>58000</v>
      </c>
      <c r="K103" s="5" t="n">
        <v>72000</v>
      </c>
      <c r="L103" s="6" t="n">
        <v>93000</v>
      </c>
      <c r="M103" s="5" t="n"/>
      <c r="N103" s="5">
        <f>IF(AND(ISNUMBER(M103),ISNUMBER(L103)),M103-L103,"")</f>
        <v/>
      </c>
      <c r="O103" s="7">
        <f>IF(AND(ISNUMBER(M103),ISNUMBER(L103),L103&gt;0),(M103-L103)/L103,"")</f>
        <v/>
      </c>
      <c r="P103" s="3">
        <f>IF(O103="","",IF(O103&lt;-0.02,"🔴 Bán phá giá sàn",IF(O103&gt;0.05,"🔵 Bán cao hơn","🟢 Đúng giá sàn TMĐT")))</f>
        <v/>
      </c>
      <c r="Q103" s="3" t="n"/>
      <c r="R103" s="4" t="n"/>
      <c r="S103" s="4" t="n"/>
    </row>
    <row r="104">
      <c r="A104" s="3" t="n">
        <v>103</v>
      </c>
      <c r="B104" s="3" t="inlineStr">
        <is>
          <t>KH001</t>
        </is>
      </c>
      <c r="C104" s="4" t="inlineStr">
        <is>
          <t>Điện nước Nhật (Shop) HCM</t>
        </is>
      </c>
      <c r="D104" s="3" t="inlineStr">
        <is>
          <t>HCM</t>
        </is>
      </c>
      <c r="E104" s="3" t="inlineStr">
        <is>
          <t>BẢO TRÂM</t>
        </is>
      </c>
      <c r="F104" s="3" t="inlineStr">
        <is>
          <t>Shopee</t>
        </is>
      </c>
      <c r="G104" s="3" t="inlineStr">
        <is>
          <t>KBY2-025CO</t>
        </is>
      </c>
      <c r="H104" s="4" t="inlineStr">
        <is>
          <t>Khoan inox KingBlue KBY2-025CO</t>
        </is>
      </c>
      <c r="I104" s="3" t="inlineStr">
        <is>
          <t>Cái</t>
        </is>
      </c>
      <c r="J104" s="5" t="n">
        <v>9000</v>
      </c>
      <c r="K104" s="5" t="n">
        <v>11000</v>
      </c>
      <c r="L104" s="6" t="n">
        <v>14000</v>
      </c>
      <c r="M104" s="5" t="n"/>
      <c r="N104" s="5">
        <f>IF(AND(ISNUMBER(M104),ISNUMBER(L104)),M104-L104,"")</f>
        <v/>
      </c>
      <c r="O104" s="7">
        <f>IF(AND(ISNUMBER(M104),ISNUMBER(L104),L104&gt;0),(M104-L104)/L104,"")</f>
        <v/>
      </c>
      <c r="P104" s="3">
        <f>IF(O104="","",IF(O104&lt;-0.02,"🔴 Bán phá giá sàn",IF(O104&gt;0.05,"🔵 Bán cao hơn","🟢 Đúng giá sàn TMĐT")))</f>
        <v/>
      </c>
      <c r="Q104" s="3" t="n"/>
      <c r="R104" s="4" t="n"/>
      <c r="S104" s="4" t="n"/>
    </row>
    <row r="105">
      <c r="A105" s="3" t="n">
        <v>104</v>
      </c>
      <c r="B105" s="3" t="inlineStr">
        <is>
          <t>KH001</t>
        </is>
      </c>
      <c r="C105" s="4" t="inlineStr">
        <is>
          <t>Điện nước Nhật (Shop) HCM</t>
        </is>
      </c>
      <c r="D105" s="3" t="inlineStr">
        <is>
          <t>HCM</t>
        </is>
      </c>
      <c r="E105" s="3" t="inlineStr">
        <is>
          <t>BẢO TRÂM</t>
        </is>
      </c>
      <c r="F105" s="3" t="inlineStr">
        <is>
          <t>Shopee</t>
        </is>
      </c>
      <c r="G105" s="3" t="inlineStr">
        <is>
          <t>KBY2-032CO</t>
        </is>
      </c>
      <c r="H105" s="4" t="inlineStr">
        <is>
          <t>Khoan inox KingBlue KBY2-032CO</t>
        </is>
      </c>
      <c r="I105" s="3" t="inlineStr">
        <is>
          <t>Cái</t>
        </is>
      </c>
      <c r="J105" s="5" t="n">
        <v>11000</v>
      </c>
      <c r="K105" s="5" t="n">
        <v>14000</v>
      </c>
      <c r="L105" s="6" t="n">
        <v>18000</v>
      </c>
      <c r="M105" s="5" t="n"/>
      <c r="N105" s="5">
        <f>IF(AND(ISNUMBER(M105),ISNUMBER(L105)),M105-L105,"")</f>
        <v/>
      </c>
      <c r="O105" s="7">
        <f>IF(AND(ISNUMBER(M105),ISNUMBER(L105),L105&gt;0),(M105-L105)/L105,"")</f>
        <v/>
      </c>
      <c r="P105" s="3">
        <f>IF(O105="","",IF(O105&lt;-0.02,"🔴 Bán phá giá sàn",IF(O105&gt;0.05,"🔵 Bán cao hơn","🟢 Đúng giá sàn TMĐT")))</f>
        <v/>
      </c>
      <c r="Q105" s="3" t="n"/>
      <c r="R105" s="4" t="n"/>
      <c r="S105" s="4" t="n"/>
    </row>
    <row r="106">
      <c r="A106" s="3" t="n">
        <v>105</v>
      </c>
      <c r="B106" s="3" t="inlineStr">
        <is>
          <t>KH001</t>
        </is>
      </c>
      <c r="C106" s="4" t="inlineStr">
        <is>
          <t>Điện nước Nhật (Shop) HCM</t>
        </is>
      </c>
      <c r="D106" s="3" t="inlineStr">
        <is>
          <t>HCM</t>
        </is>
      </c>
      <c r="E106" s="3" t="inlineStr">
        <is>
          <t>BẢO TRÂM</t>
        </is>
      </c>
      <c r="F106" s="3" t="inlineStr">
        <is>
          <t>Shopee</t>
        </is>
      </c>
      <c r="G106" s="3" t="inlineStr">
        <is>
          <t>KBY2-040CO</t>
        </is>
      </c>
      <c r="H106" s="4" t="inlineStr">
        <is>
          <t>Khoan inox KingBlue KBY2-040CO</t>
        </is>
      </c>
      <c r="I106" s="3" t="inlineStr">
        <is>
          <t>Cái</t>
        </is>
      </c>
      <c r="J106" s="5" t="n">
        <v>17000</v>
      </c>
      <c r="K106" s="5" t="n">
        <v>21000</v>
      </c>
      <c r="L106" s="6" t="n">
        <v>27000</v>
      </c>
      <c r="M106" s="5" t="n"/>
      <c r="N106" s="5">
        <f>IF(AND(ISNUMBER(M106),ISNUMBER(L106)),M106-L106,"")</f>
        <v/>
      </c>
      <c r="O106" s="7">
        <f>IF(AND(ISNUMBER(M106),ISNUMBER(L106),L106&gt;0),(M106-L106)/L106,"")</f>
        <v/>
      </c>
      <c r="P106" s="3">
        <f>IF(O106="","",IF(O106&lt;-0.02,"🔴 Bán phá giá sàn",IF(O106&gt;0.05,"🔵 Bán cao hơn","🟢 Đúng giá sàn TMĐT")))</f>
        <v/>
      </c>
      <c r="Q106" s="3" t="n"/>
      <c r="R106" s="4" t="n"/>
      <c r="S106" s="4" t="n"/>
    </row>
    <row r="107">
      <c r="A107" s="3" t="n">
        <v>106</v>
      </c>
      <c r="B107" s="3" t="inlineStr">
        <is>
          <t>KH001</t>
        </is>
      </c>
      <c r="C107" s="4" t="inlineStr">
        <is>
          <t>Điện nước Nhật (Shop) HCM</t>
        </is>
      </c>
      <c r="D107" s="3" t="inlineStr">
        <is>
          <t>HCM</t>
        </is>
      </c>
      <c r="E107" s="3" t="inlineStr">
        <is>
          <t>BẢO TRÂM</t>
        </is>
      </c>
      <c r="F107" s="3" t="inlineStr">
        <is>
          <t>Shopee</t>
        </is>
      </c>
      <c r="G107" s="3" t="inlineStr">
        <is>
          <t>KBY2-042CO</t>
        </is>
      </c>
      <c r="H107" s="4" t="inlineStr">
        <is>
          <t>Khoan inox KingBlue KBY2-042CO</t>
        </is>
      </c>
      <c r="I107" s="3" t="inlineStr">
        <is>
          <t>Cái</t>
        </is>
      </c>
      <c r="J107" s="5" t="n">
        <v>19000</v>
      </c>
      <c r="K107" s="5" t="n">
        <v>23000</v>
      </c>
      <c r="L107" s="6" t="n">
        <v>30000</v>
      </c>
      <c r="M107" s="5" t="n"/>
      <c r="N107" s="5">
        <f>IF(AND(ISNUMBER(M107),ISNUMBER(L107)),M107-L107,"")</f>
        <v/>
      </c>
      <c r="O107" s="7">
        <f>IF(AND(ISNUMBER(M107),ISNUMBER(L107),L107&gt;0),(M107-L107)/L107,"")</f>
        <v/>
      </c>
      <c r="P107" s="3">
        <f>IF(O107="","",IF(O107&lt;-0.02,"🔴 Bán phá giá sàn",IF(O107&gt;0.05,"🔵 Bán cao hơn","🟢 Đúng giá sàn TMĐT")))</f>
        <v/>
      </c>
      <c r="Q107" s="3" t="n"/>
      <c r="R107" s="4" t="n"/>
      <c r="S107" s="4" t="n"/>
    </row>
    <row r="108">
      <c r="A108" s="3" t="n">
        <v>107</v>
      </c>
      <c r="B108" s="3" t="inlineStr">
        <is>
          <t>KH001</t>
        </is>
      </c>
      <c r="C108" s="4" t="inlineStr">
        <is>
          <t>Điện nước Nhật (Shop) HCM</t>
        </is>
      </c>
      <c r="D108" s="3" t="inlineStr">
        <is>
          <t>HCM</t>
        </is>
      </c>
      <c r="E108" s="3" t="inlineStr">
        <is>
          <t>BẢO TRÂM</t>
        </is>
      </c>
      <c r="F108" s="3" t="inlineStr">
        <is>
          <t>Shopee</t>
        </is>
      </c>
      <c r="G108" s="3" t="inlineStr">
        <is>
          <t>KBY2-045CO</t>
        </is>
      </c>
      <c r="H108" s="4" t="inlineStr">
        <is>
          <t>Khoan inox KingBlue KBY2-045CO</t>
        </is>
      </c>
      <c r="I108" s="3" t="inlineStr">
        <is>
          <t>Cái</t>
        </is>
      </c>
      <c r="J108" s="5" t="n">
        <v>21000</v>
      </c>
      <c r="K108" s="5" t="n">
        <v>26000</v>
      </c>
      <c r="L108" s="6" t="n">
        <v>34000</v>
      </c>
      <c r="M108" s="5" t="n"/>
      <c r="N108" s="5">
        <f>IF(AND(ISNUMBER(M108),ISNUMBER(L108)),M108-L108,"")</f>
        <v/>
      </c>
      <c r="O108" s="7">
        <f>IF(AND(ISNUMBER(M108),ISNUMBER(L108),L108&gt;0),(M108-L108)/L108,"")</f>
        <v/>
      </c>
      <c r="P108" s="3">
        <f>IF(O108="","",IF(O108&lt;-0.02,"🔴 Bán phá giá sàn",IF(O108&gt;0.05,"🔵 Bán cao hơn","🟢 Đúng giá sàn TMĐT")))</f>
        <v/>
      </c>
      <c r="Q108" s="3" t="n"/>
      <c r="R108" s="4" t="n"/>
      <c r="S108" s="4" t="n"/>
    </row>
    <row r="109">
      <c r="A109" s="3" t="n">
        <v>108</v>
      </c>
      <c r="B109" s="3" t="inlineStr">
        <is>
          <t>KH001</t>
        </is>
      </c>
      <c r="C109" s="4" t="inlineStr">
        <is>
          <t>Điện nước Nhật (Shop) HCM</t>
        </is>
      </c>
      <c r="D109" s="3" t="inlineStr">
        <is>
          <t>HCM</t>
        </is>
      </c>
      <c r="E109" s="3" t="inlineStr">
        <is>
          <t>BẢO TRÂM</t>
        </is>
      </c>
      <c r="F109" s="3" t="inlineStr">
        <is>
          <t>Shopee</t>
        </is>
      </c>
      <c r="G109" s="3" t="inlineStr">
        <is>
          <t>KBY2-050CO</t>
        </is>
      </c>
      <c r="H109" s="4" t="inlineStr">
        <is>
          <t>Khoan inox KingBlue KBY2-050CO</t>
        </is>
      </c>
      <c r="I109" s="3" t="inlineStr">
        <is>
          <t>Cái</t>
        </is>
      </c>
      <c r="J109" s="5" t="n">
        <v>25000</v>
      </c>
      <c r="K109" s="5" t="n">
        <v>31000</v>
      </c>
      <c r="L109" s="6" t="n">
        <v>40000</v>
      </c>
      <c r="M109" s="5" t="n"/>
      <c r="N109" s="5">
        <f>IF(AND(ISNUMBER(M109),ISNUMBER(L109)),M109-L109,"")</f>
        <v/>
      </c>
      <c r="O109" s="7">
        <f>IF(AND(ISNUMBER(M109),ISNUMBER(L109),L109&gt;0),(M109-L109)/L109,"")</f>
        <v/>
      </c>
      <c r="P109" s="3">
        <f>IF(O109="","",IF(O109&lt;-0.02,"🔴 Bán phá giá sàn",IF(O109&gt;0.05,"🔵 Bán cao hơn","🟢 Đúng giá sàn TMĐT")))</f>
        <v/>
      </c>
      <c r="Q109" s="3" t="n"/>
      <c r="R109" s="4" t="n"/>
      <c r="S109" s="4" t="n"/>
    </row>
    <row r="110">
      <c r="A110" s="3" t="n">
        <v>109</v>
      </c>
      <c r="B110" s="3" t="inlineStr">
        <is>
          <t>KH001</t>
        </is>
      </c>
      <c r="C110" s="4" t="inlineStr">
        <is>
          <t>Điện nước Nhật (Shop) HCM</t>
        </is>
      </c>
      <c r="D110" s="3" t="inlineStr">
        <is>
          <t>HCM</t>
        </is>
      </c>
      <c r="E110" s="3" t="inlineStr">
        <is>
          <t>BẢO TRÂM</t>
        </is>
      </c>
      <c r="F110" s="3" t="inlineStr">
        <is>
          <t>Shopee</t>
        </is>
      </c>
      <c r="G110" s="3" t="inlineStr">
        <is>
          <t>KBY2-130CO</t>
        </is>
      </c>
      <c r="H110" s="4" t="inlineStr">
        <is>
          <t>Khoan inox KingBlue KBY2-130CO</t>
        </is>
      </c>
      <c r="I110" s="3" t="inlineStr">
        <is>
          <t>Cái</t>
        </is>
      </c>
      <c r="J110" s="5" t="n">
        <v>190000</v>
      </c>
      <c r="K110" s="5" t="n">
        <v>236000</v>
      </c>
      <c r="L110" s="6" t="n">
        <v>304000</v>
      </c>
      <c r="M110" s="5" t="n"/>
      <c r="N110" s="5">
        <f>IF(AND(ISNUMBER(M110),ISNUMBER(L110)),M110-L110,"")</f>
        <v/>
      </c>
      <c r="O110" s="7">
        <f>IF(AND(ISNUMBER(M110),ISNUMBER(L110),L110&gt;0),(M110-L110)/L110,"")</f>
        <v/>
      </c>
      <c r="P110" s="3">
        <f>IF(O110="","",IF(O110&lt;-0.02,"🔴 Bán phá giá sàn",IF(O110&gt;0.05,"🔵 Bán cao hơn","🟢 Đúng giá sàn TMĐT")))</f>
        <v/>
      </c>
      <c r="Q110" s="3" t="n"/>
      <c r="R110" s="4" t="n"/>
      <c r="S110" s="4" t="n"/>
    </row>
    <row r="111">
      <c r="A111" s="3" t="n">
        <v>110</v>
      </c>
      <c r="B111" s="3" t="inlineStr">
        <is>
          <t>KH001</t>
        </is>
      </c>
      <c r="C111" s="4" t="inlineStr">
        <is>
          <t>Điện nước Nhật (Shop) HCM</t>
        </is>
      </c>
      <c r="D111" s="3" t="inlineStr">
        <is>
          <t>HCM</t>
        </is>
      </c>
      <c r="E111" s="3" t="inlineStr">
        <is>
          <t>BẢO TRÂM</t>
        </is>
      </c>
      <c r="F111" s="3" t="inlineStr">
        <is>
          <t>Shopee</t>
        </is>
      </c>
      <c r="G111" s="3" t="inlineStr">
        <is>
          <t>E2-110X20</t>
        </is>
      </c>
      <c r="H111" s="4" t="inlineStr">
        <is>
          <t>Lưỡi cắt KingBlue E2-110X20</t>
        </is>
      </c>
      <c r="I111" s="3" t="inlineStr">
        <is>
          <t>Cái</t>
        </is>
      </c>
      <c r="J111" s="5" t="n">
        <v>48000</v>
      </c>
      <c r="K111" s="5" t="n">
        <v>57000</v>
      </c>
      <c r="L111" s="6" t="n">
        <v>70000</v>
      </c>
      <c r="M111" s="5" t="n"/>
      <c r="N111" s="5">
        <f>IF(AND(ISNUMBER(M111),ISNUMBER(L111)),M111-L111,"")</f>
        <v/>
      </c>
      <c r="O111" s="7">
        <f>IF(AND(ISNUMBER(M111),ISNUMBER(L111),L111&gt;0),(M111-L111)/L111,"")</f>
        <v/>
      </c>
      <c r="P111" s="3">
        <f>IF(O111="","",IF(O111&lt;-0.02,"🔴 Bán phá giá sàn",IF(O111&gt;0.05,"🔵 Bán cao hơn","🟢 Đúng giá sàn TMĐT")))</f>
        <v/>
      </c>
      <c r="Q111" s="3" t="n"/>
      <c r="R111" s="4" t="n"/>
      <c r="S111" s="4" t="n"/>
    </row>
    <row r="112">
      <c r="A112" s="3" t="n">
        <v>111</v>
      </c>
      <c r="B112" s="3" t="inlineStr">
        <is>
          <t>KH001</t>
        </is>
      </c>
      <c r="C112" s="4" t="inlineStr">
        <is>
          <t>Điện nước Nhật (Shop) HCM</t>
        </is>
      </c>
      <c r="D112" s="3" t="inlineStr">
        <is>
          <t>HCM</t>
        </is>
      </c>
      <c r="E112" s="3" t="inlineStr">
        <is>
          <t>BẢO TRÂM</t>
        </is>
      </c>
      <c r="F112" s="3" t="inlineStr">
        <is>
          <t>Shopee</t>
        </is>
      </c>
      <c r="G112" s="3" t="inlineStr">
        <is>
          <t>E3-105DN</t>
        </is>
      </c>
      <c r="H112" s="4" t="inlineStr">
        <is>
          <t>Lưỡi cắt KingBlue E3-105DN</t>
        </is>
      </c>
      <c r="I112" s="3" t="inlineStr">
        <is>
          <t>Cái</t>
        </is>
      </c>
      <c r="J112" s="5" t="n">
        <v>70000</v>
      </c>
      <c r="K112" s="5" t="n">
        <v>83000</v>
      </c>
      <c r="L112" s="6" t="n">
        <v>102000</v>
      </c>
      <c r="M112" s="5" t="n"/>
      <c r="N112" s="5">
        <f>IF(AND(ISNUMBER(M112),ISNUMBER(L112)),M112-L112,"")</f>
        <v/>
      </c>
      <c r="O112" s="7">
        <f>IF(AND(ISNUMBER(M112),ISNUMBER(L112),L112&gt;0),(M112-L112)/L112,"")</f>
        <v/>
      </c>
      <c r="P112" s="3">
        <f>IF(O112="","",IF(O112&lt;-0.02,"🔴 Bán phá giá sàn",IF(O112&gt;0.05,"🔵 Bán cao hơn","🟢 Đúng giá sàn TMĐT")))</f>
        <v/>
      </c>
      <c r="Q112" s="3" t="n"/>
      <c r="R112" s="4" t="n"/>
      <c r="S112" s="4" t="n"/>
    </row>
    <row r="113">
      <c r="A113" s="3" t="n">
        <v>112</v>
      </c>
      <c r="B113" s="3" t="inlineStr">
        <is>
          <t>KH001</t>
        </is>
      </c>
      <c r="C113" s="4" t="inlineStr">
        <is>
          <t>Điện nước Nhật (Shop) HCM</t>
        </is>
      </c>
      <c r="D113" s="3" t="inlineStr">
        <is>
          <t>HCM</t>
        </is>
      </c>
      <c r="E113" s="3" t="inlineStr">
        <is>
          <t>BẢO TRÂM</t>
        </is>
      </c>
      <c r="F113" s="3" t="inlineStr">
        <is>
          <t>Shopee</t>
        </is>
      </c>
      <c r="G113" s="3" t="inlineStr">
        <is>
          <t>E3-125DN</t>
        </is>
      </c>
      <c r="H113" s="4" t="inlineStr">
        <is>
          <t>Lưỡi cắt KingBlue E3-125DN</t>
        </is>
      </c>
      <c r="I113" s="3" t="inlineStr">
        <is>
          <t>Cái</t>
        </is>
      </c>
      <c r="J113" s="5" t="n">
        <v>88000</v>
      </c>
      <c r="K113" s="5" t="n">
        <v>104000</v>
      </c>
      <c r="L113" s="6" t="n">
        <v>128000</v>
      </c>
      <c r="M113" s="5" t="n"/>
      <c r="N113" s="5">
        <f>IF(AND(ISNUMBER(M113),ISNUMBER(L113)),M113-L113,"")</f>
        <v/>
      </c>
      <c r="O113" s="7">
        <f>IF(AND(ISNUMBER(M113),ISNUMBER(L113),L113&gt;0),(M113-L113)/L113,"")</f>
        <v/>
      </c>
      <c r="P113" s="3">
        <f>IF(O113="","",IF(O113&lt;-0.02,"🔴 Bán phá giá sàn",IF(O113&gt;0.05,"🔵 Bán cao hơn","🟢 Đúng giá sàn TMĐT")))</f>
        <v/>
      </c>
      <c r="Q113" s="3" t="n"/>
      <c r="R113" s="4" t="n"/>
      <c r="S113" s="4" t="n"/>
    </row>
    <row r="114">
      <c r="A114" s="3" t="n">
        <v>113</v>
      </c>
      <c r="B114" s="3" t="inlineStr">
        <is>
          <t>KH001</t>
        </is>
      </c>
      <c r="C114" s="4" t="inlineStr">
        <is>
          <t>Điện nước Nhật (Shop) HCM</t>
        </is>
      </c>
      <c r="D114" s="3" t="inlineStr">
        <is>
          <t>HCM</t>
        </is>
      </c>
      <c r="E114" s="3" t="inlineStr">
        <is>
          <t>BẢO TRÂM</t>
        </is>
      </c>
      <c r="F114" s="3" t="inlineStr">
        <is>
          <t>Shopee</t>
        </is>
      </c>
      <c r="G114" s="3" t="inlineStr">
        <is>
          <t>F1</t>
        </is>
      </c>
      <c r="H114" s="4" t="inlineStr">
        <is>
          <t>Lưỡi cắt Kingblue F1 110DN (vàng)</t>
        </is>
      </c>
      <c r="I114" s="3" t="inlineStr">
        <is>
          <t>Cái</t>
        </is>
      </c>
      <c r="J114" s="5" t="n">
        <v>92000</v>
      </c>
      <c r="K114" s="5" t="n">
        <v>108000</v>
      </c>
      <c r="L114" s="6" t="n">
        <v>133000</v>
      </c>
      <c r="M114" s="5" t="n"/>
      <c r="N114" s="5">
        <f>IF(AND(ISNUMBER(M114),ISNUMBER(L114)),M114-L114,"")</f>
        <v/>
      </c>
      <c r="O114" s="7">
        <f>IF(AND(ISNUMBER(M114),ISNUMBER(L114),L114&gt;0),(M114-L114)/L114,"")</f>
        <v/>
      </c>
      <c r="P114" s="3">
        <f>IF(O114="","",IF(O114&lt;-0.02,"🔴 Bán phá giá sàn",IF(O114&gt;0.05,"🔵 Bán cao hơn","🟢 Đúng giá sàn TMĐT")))</f>
        <v/>
      </c>
      <c r="Q114" s="3" t="n"/>
      <c r="R114" s="4" t="n"/>
      <c r="S114" s="4" t="n"/>
    </row>
    <row r="115">
      <c r="A115" s="3" t="n">
        <v>114</v>
      </c>
      <c r="B115" s="3" t="inlineStr">
        <is>
          <t>KH001</t>
        </is>
      </c>
      <c r="C115" s="4" t="inlineStr">
        <is>
          <t>Điện nước Nhật (Shop) HCM</t>
        </is>
      </c>
      <c r="D115" s="3" t="inlineStr">
        <is>
          <t>HCM</t>
        </is>
      </c>
      <c r="E115" s="3" t="inlineStr">
        <is>
          <t>BẢO TRÂM</t>
        </is>
      </c>
      <c r="F115" s="3" t="inlineStr">
        <is>
          <t>Shopee</t>
        </is>
      </c>
      <c r="G115" s="3" t="inlineStr">
        <is>
          <t>F1-125DN</t>
        </is>
      </c>
      <c r="H115" s="4" t="inlineStr">
        <is>
          <t>Lưỡi cắt KingBlue F1-125DN (Vàng)</t>
        </is>
      </c>
      <c r="I115" s="3" t="inlineStr">
        <is>
          <t>Cái</t>
        </is>
      </c>
      <c r="J115" s="5" t="n">
        <v>107000</v>
      </c>
      <c r="K115" s="5" t="n">
        <v>126000</v>
      </c>
      <c r="L115" s="6" t="n">
        <v>155000</v>
      </c>
      <c r="M115" s="5" t="n"/>
      <c r="N115" s="5">
        <f>IF(AND(ISNUMBER(M115),ISNUMBER(L115)),M115-L115,"")</f>
        <v/>
      </c>
      <c r="O115" s="7">
        <f>IF(AND(ISNUMBER(M115),ISNUMBER(L115),L115&gt;0),(M115-L115)/L115,"")</f>
        <v/>
      </c>
      <c r="P115" s="3">
        <f>IF(O115="","",IF(O115&lt;-0.02,"🔴 Bán phá giá sàn",IF(O115&gt;0.05,"🔵 Bán cao hơn","🟢 Đúng giá sàn TMĐT")))</f>
        <v/>
      </c>
      <c r="Q115" s="3" t="n"/>
      <c r="R115" s="4" t="n"/>
      <c r="S115" s="4" t="n"/>
    </row>
    <row r="116">
      <c r="A116" s="3" t="n">
        <v>115</v>
      </c>
      <c r="B116" s="3" t="inlineStr">
        <is>
          <t>KH001</t>
        </is>
      </c>
      <c r="C116" s="4" t="inlineStr">
        <is>
          <t>Điện nước Nhật (Shop) HCM</t>
        </is>
      </c>
      <c r="D116" s="3" t="inlineStr">
        <is>
          <t>HCM</t>
        </is>
      </c>
      <c r="E116" s="3" t="inlineStr">
        <is>
          <t>BẢO TRÂM</t>
        </is>
      </c>
      <c r="F116" s="3" t="inlineStr">
        <is>
          <t>Shopee</t>
        </is>
      </c>
      <c r="G116" s="3" t="inlineStr">
        <is>
          <t>S1-105DN</t>
        </is>
      </c>
      <c r="H116" s="4" t="inlineStr">
        <is>
          <t>Lưỡi cắt KingBlue S1-105DN</t>
        </is>
      </c>
      <c r="I116" s="3" t="inlineStr">
        <is>
          <t>Cái</t>
        </is>
      </c>
      <c r="J116" s="5" t="n">
        <v>60000</v>
      </c>
      <c r="K116" s="5" t="n">
        <v>71000</v>
      </c>
      <c r="L116" s="6" t="n">
        <v>87000</v>
      </c>
      <c r="M116" s="5" t="n"/>
      <c r="N116" s="5">
        <f>IF(AND(ISNUMBER(M116),ISNUMBER(L116)),M116-L116,"")</f>
        <v/>
      </c>
      <c r="O116" s="7">
        <f>IF(AND(ISNUMBER(M116),ISNUMBER(L116),L116&gt;0),(M116-L116)/L116,"")</f>
        <v/>
      </c>
      <c r="P116" s="3">
        <f>IF(O116="","",IF(O116&lt;-0.02,"🔴 Bán phá giá sàn",IF(O116&gt;0.05,"🔵 Bán cao hơn","🟢 Đúng giá sàn TMĐT")))</f>
        <v/>
      </c>
      <c r="Q116" s="3" t="n"/>
      <c r="R116" s="4" t="n"/>
      <c r="S116" s="4" t="n"/>
    </row>
    <row r="117">
      <c r="A117" s="3" t="n">
        <v>116</v>
      </c>
      <c r="B117" s="3" t="inlineStr">
        <is>
          <t>KH001</t>
        </is>
      </c>
      <c r="C117" s="4" t="inlineStr">
        <is>
          <t>Điện nước Nhật (Shop) HCM</t>
        </is>
      </c>
      <c r="D117" s="3" t="inlineStr">
        <is>
          <t>HCM</t>
        </is>
      </c>
      <c r="E117" s="3" t="inlineStr">
        <is>
          <t>BẢO TRÂM</t>
        </is>
      </c>
      <c r="F117" s="3" t="inlineStr">
        <is>
          <t>Shopee</t>
        </is>
      </c>
      <c r="G117" s="3" t="inlineStr">
        <is>
          <t>S1-125DN</t>
        </is>
      </c>
      <c r="H117" s="4" t="inlineStr">
        <is>
          <t>Lưỡi cắt KingBlue S1-125DN</t>
        </is>
      </c>
      <c r="I117" s="3" t="inlineStr">
        <is>
          <t>Cái</t>
        </is>
      </c>
      <c r="J117" s="5" t="n">
        <v>80000</v>
      </c>
      <c r="K117" s="5" t="n">
        <v>94000</v>
      </c>
      <c r="L117" s="6" t="n">
        <v>116000</v>
      </c>
      <c r="M117" s="5" t="n"/>
      <c r="N117" s="5">
        <f>IF(AND(ISNUMBER(M117),ISNUMBER(L117)),M117-L117,"")</f>
        <v/>
      </c>
      <c r="O117" s="7">
        <f>IF(AND(ISNUMBER(M117),ISNUMBER(L117),L117&gt;0),(M117-L117)/L117,"")</f>
        <v/>
      </c>
      <c r="P117" s="3">
        <f>IF(O117="","",IF(O117&lt;-0.02,"🔴 Bán phá giá sàn",IF(O117&gt;0.05,"🔵 Bán cao hơn","🟢 Đúng giá sàn TMĐT")))</f>
        <v/>
      </c>
      <c r="Q117" s="3" t="n"/>
      <c r="R117" s="4" t="n"/>
      <c r="S117" s="4" t="n"/>
    </row>
    <row r="118">
      <c r="A118" s="3" t="n">
        <v>117</v>
      </c>
      <c r="B118" s="3" t="inlineStr">
        <is>
          <t>KH001</t>
        </is>
      </c>
      <c r="C118" s="4" t="inlineStr">
        <is>
          <t>Điện nước Nhật (Shop) HCM</t>
        </is>
      </c>
      <c r="D118" s="3" t="inlineStr">
        <is>
          <t>HCM</t>
        </is>
      </c>
      <c r="E118" s="3" t="inlineStr">
        <is>
          <t>BẢO TRÂM</t>
        </is>
      </c>
      <c r="F118" s="3" t="inlineStr">
        <is>
          <t>Shopee</t>
        </is>
      </c>
      <c r="G118" s="3" t="inlineStr">
        <is>
          <t>TS-114R</t>
        </is>
      </c>
      <c r="H118" s="4" t="inlineStr">
        <is>
          <t>Lưỡi cắt KingBlue TS-114R</t>
        </is>
      </c>
      <c r="I118" s="3" t="inlineStr">
        <is>
          <t>Cái</t>
        </is>
      </c>
      <c r="J118" s="5" t="n">
        <v>53000</v>
      </c>
      <c r="K118" s="5" t="n">
        <v>63000</v>
      </c>
      <c r="L118" s="6" t="n">
        <v>77000</v>
      </c>
      <c r="M118" s="5" t="n"/>
      <c r="N118" s="5">
        <f>IF(AND(ISNUMBER(M118),ISNUMBER(L118)),M118-L118,"")</f>
        <v/>
      </c>
      <c r="O118" s="7">
        <f>IF(AND(ISNUMBER(M118),ISNUMBER(L118),L118&gt;0),(M118-L118)/L118,"")</f>
        <v/>
      </c>
      <c r="P118" s="3">
        <f>IF(O118="","",IF(O118&lt;-0.02,"🔴 Bán phá giá sàn",IF(O118&gt;0.05,"🔵 Bán cao hơn","🟢 Đúng giá sàn TMĐT")))</f>
        <v/>
      </c>
      <c r="Q118" s="3" t="n"/>
      <c r="R118" s="4" t="n"/>
      <c r="S118" s="4" t="n"/>
    </row>
    <row r="119">
      <c r="A119" s="3" t="n">
        <v>118</v>
      </c>
      <c r="B119" s="3" t="inlineStr">
        <is>
          <t>KH001</t>
        </is>
      </c>
      <c r="C119" s="4" t="inlineStr">
        <is>
          <t>Điện nước Nhật (Shop) HCM</t>
        </is>
      </c>
      <c r="D119" s="3" t="inlineStr">
        <is>
          <t>HCM</t>
        </is>
      </c>
      <c r="E119" s="3" t="inlineStr">
        <is>
          <t>BẢO TRÂM</t>
        </is>
      </c>
      <c r="F119" s="3" t="inlineStr">
        <is>
          <t>Shopee</t>
        </is>
      </c>
      <c r="G119" s="3" t="inlineStr">
        <is>
          <t>JH-06</t>
        </is>
      </c>
      <c r="H119" s="4" t="inlineStr">
        <is>
          <t>Lưỡi dao rọc cáp đa năng JH-06</t>
        </is>
      </c>
      <c r="I119" s="3" t="inlineStr">
        <is>
          <t>Vỉ</t>
        </is>
      </c>
      <c r="J119" s="5" t="n">
        <v>22000</v>
      </c>
      <c r="K119" s="5" t="n">
        <v>26000</v>
      </c>
      <c r="L119" s="6" t="n">
        <v>32000</v>
      </c>
      <c r="M119" s="5" t="n"/>
      <c r="N119" s="5">
        <f>IF(AND(ISNUMBER(M119),ISNUMBER(L119)),M119-L119,"")</f>
        <v/>
      </c>
      <c r="O119" s="7">
        <f>IF(AND(ISNUMBER(M119),ISNUMBER(L119),L119&gt;0),(M119-L119)/L119,"")</f>
        <v/>
      </c>
      <c r="P119" s="3">
        <f>IF(O119="","",IF(O119&lt;-0.02,"🔴 Bán phá giá sàn",IF(O119&gt;0.05,"🔵 Bán cao hơn","🟢 Đúng giá sàn TMĐT")))</f>
        <v/>
      </c>
      <c r="Q119" s="3" t="n"/>
      <c r="R119" s="4" t="n"/>
      <c r="S119" s="4" t="n"/>
    </row>
    <row r="120">
      <c r="A120" s="3" t="n">
        <v>119</v>
      </c>
      <c r="B120" s="3" t="inlineStr">
        <is>
          <t>KH001</t>
        </is>
      </c>
      <c r="C120" s="4" t="inlineStr">
        <is>
          <t>Điện nước Nhật (Shop) HCM</t>
        </is>
      </c>
      <c r="D120" s="3" t="inlineStr">
        <is>
          <t>HCM</t>
        </is>
      </c>
      <c r="E120" s="3" t="inlineStr">
        <is>
          <t>BẢO TRÂM</t>
        </is>
      </c>
      <c r="F120" s="3" t="inlineStr">
        <is>
          <t>Shopee</t>
        </is>
      </c>
      <c r="G120" s="3" t="inlineStr">
        <is>
          <t>KUC60</t>
        </is>
      </c>
      <c r="H120" s="4" t="inlineStr">
        <is>
          <t>Mỏ hàn thiếc KUC60</t>
        </is>
      </c>
      <c r="I120" s="3" t="inlineStr">
        <is>
          <t>Cái</t>
        </is>
      </c>
      <c r="J120" s="5" t="n">
        <v>132000</v>
      </c>
      <c r="K120" s="5" t="n">
        <v>156000</v>
      </c>
      <c r="L120" s="6" t="n">
        <v>191000</v>
      </c>
      <c r="M120" s="5" t="n"/>
      <c r="N120" s="5">
        <f>IF(AND(ISNUMBER(M120),ISNUMBER(L120)),M120-L120,"")</f>
        <v/>
      </c>
      <c r="O120" s="7">
        <f>IF(AND(ISNUMBER(M120),ISNUMBER(L120),L120&gt;0),(M120-L120)/L120,"")</f>
        <v/>
      </c>
      <c r="P120" s="3">
        <f>IF(O120="","",IF(O120&lt;-0.02,"🔴 Bán phá giá sàn",IF(O120&gt;0.05,"🔵 Bán cao hơn","🟢 Đúng giá sàn TMĐT")))</f>
        <v/>
      </c>
      <c r="Q120" s="3" t="n"/>
      <c r="R120" s="4" t="n"/>
      <c r="S120" s="4" t="n"/>
    </row>
    <row r="121">
      <c r="A121" s="3" t="n">
        <v>120</v>
      </c>
      <c r="B121" s="3" t="inlineStr">
        <is>
          <t>KH001</t>
        </is>
      </c>
      <c r="C121" s="4" t="inlineStr">
        <is>
          <t>Điện nước Nhật (Shop) HCM</t>
        </is>
      </c>
      <c r="D121" s="3" t="inlineStr">
        <is>
          <t>HCM</t>
        </is>
      </c>
      <c r="E121" s="3" t="inlineStr">
        <is>
          <t>BẢO TRÂM</t>
        </is>
      </c>
      <c r="F121" s="3" t="inlineStr">
        <is>
          <t>Shopee</t>
        </is>
      </c>
      <c r="G121" s="3" t="inlineStr">
        <is>
          <t>KD3</t>
        </is>
      </c>
      <c r="H121" s="4" t="inlineStr">
        <is>
          <t>Mỏ lết đa năng cán bọc KD3 200</t>
        </is>
      </c>
      <c r="I121" s="3" t="inlineStr">
        <is>
          <t>Cái</t>
        </is>
      </c>
      <c r="J121" s="5" t="n">
        <v>108000</v>
      </c>
      <c r="K121" s="5" t="n">
        <v>128000</v>
      </c>
      <c r="L121" s="6" t="n">
        <v>157000</v>
      </c>
      <c r="M121" s="5" t="n"/>
      <c r="N121" s="5">
        <f>IF(AND(ISNUMBER(M121),ISNUMBER(L121)),M121-L121,"")</f>
        <v/>
      </c>
      <c r="O121" s="7">
        <f>IF(AND(ISNUMBER(M121),ISNUMBER(L121),L121&gt;0),(M121-L121)/L121,"")</f>
        <v/>
      </c>
      <c r="P121" s="3">
        <f>IF(O121="","",IF(O121&lt;-0.02,"🔴 Bán phá giá sàn",IF(O121&gt;0.05,"🔵 Bán cao hơn","🟢 Đúng giá sàn TMĐT")))</f>
        <v/>
      </c>
      <c r="Q121" s="3" t="n"/>
      <c r="R121" s="4" t="n"/>
      <c r="S121" s="4" t="n"/>
    </row>
    <row r="122">
      <c r="A122" s="3" t="n">
        <v>121</v>
      </c>
      <c r="B122" s="3" t="inlineStr">
        <is>
          <t>KH001</t>
        </is>
      </c>
      <c r="C122" s="4" t="inlineStr">
        <is>
          <t>Điện nước Nhật (Shop) HCM</t>
        </is>
      </c>
      <c r="D122" s="3" t="inlineStr">
        <is>
          <t>HCM</t>
        </is>
      </c>
      <c r="E122" s="3" t="inlineStr">
        <is>
          <t>BẢO TRÂM</t>
        </is>
      </c>
      <c r="F122" s="3" t="inlineStr">
        <is>
          <t>Shopee</t>
        </is>
      </c>
      <c r="G122" s="3" t="inlineStr">
        <is>
          <t>KD3</t>
        </is>
      </c>
      <c r="H122" s="4" t="inlineStr">
        <is>
          <t>Mỏ lết đa năng cán bọc KD3 250</t>
        </is>
      </c>
      <c r="I122" s="3" t="inlineStr">
        <is>
          <t>Cái</t>
        </is>
      </c>
      <c r="J122" s="5" t="n">
        <v>108000</v>
      </c>
      <c r="K122" s="5" t="n">
        <v>128000</v>
      </c>
      <c r="L122" s="6" t="n">
        <v>157000</v>
      </c>
      <c r="M122" s="5" t="n"/>
      <c r="N122" s="5">
        <f>IF(AND(ISNUMBER(M122),ISNUMBER(L122)),M122-L122,"")</f>
        <v/>
      </c>
      <c r="O122" s="7">
        <f>IF(AND(ISNUMBER(M122),ISNUMBER(L122),L122&gt;0),(M122-L122)/L122,"")</f>
        <v/>
      </c>
      <c r="P122" s="3">
        <f>IF(O122="","",IF(O122&lt;-0.02,"🔴 Bán phá giá sàn",IF(O122&gt;0.05,"🔵 Bán cao hơn","🟢 Đúng giá sàn TMĐT")))</f>
        <v/>
      </c>
      <c r="Q122" s="3" t="n"/>
      <c r="R122" s="4" t="n"/>
      <c r="S122" s="4" t="n"/>
    </row>
    <row r="123">
      <c r="A123" s="3" t="n">
        <v>122</v>
      </c>
      <c r="B123" s="3" t="inlineStr">
        <is>
          <t>KH001</t>
        </is>
      </c>
      <c r="C123" s="4" t="inlineStr">
        <is>
          <t>Điện nước Nhật (Shop) HCM</t>
        </is>
      </c>
      <c r="D123" s="3" t="inlineStr">
        <is>
          <t>HCM</t>
        </is>
      </c>
      <c r="E123" s="3" t="inlineStr">
        <is>
          <t>BẢO TRÂM</t>
        </is>
      </c>
      <c r="F123" s="3" t="inlineStr">
        <is>
          <t>Shopee</t>
        </is>
      </c>
      <c r="G123" s="3" t="inlineStr">
        <is>
          <t>KD3</t>
        </is>
      </c>
      <c r="H123" s="4" t="inlineStr">
        <is>
          <t>Mỏ lết đa năng cán bọc KD3 300</t>
        </is>
      </c>
      <c r="I123" s="3" t="inlineStr">
        <is>
          <t>Cái</t>
        </is>
      </c>
      <c r="J123" s="5" t="n">
        <v>108000</v>
      </c>
      <c r="K123" s="5" t="n">
        <v>128000</v>
      </c>
      <c r="L123" s="6" t="n">
        <v>157000</v>
      </c>
      <c r="M123" s="5" t="n"/>
      <c r="N123" s="5">
        <f>IF(AND(ISNUMBER(M123),ISNUMBER(L123)),M123-L123,"")</f>
        <v/>
      </c>
      <c r="O123" s="7">
        <f>IF(AND(ISNUMBER(M123),ISNUMBER(L123),L123&gt;0),(M123-L123)/L123,"")</f>
        <v/>
      </c>
      <c r="P123" s="3">
        <f>IF(O123="","",IF(O123&lt;-0.02,"🔴 Bán phá giá sàn",IF(O123&gt;0.05,"🔵 Bán cao hơn","🟢 Đúng giá sàn TMĐT")))</f>
        <v/>
      </c>
      <c r="Q123" s="3" t="n"/>
      <c r="R123" s="4" t="n"/>
      <c r="S123" s="4" t="n"/>
    </row>
    <row r="124">
      <c r="A124" s="3" t="n">
        <v>123</v>
      </c>
      <c r="B124" s="3" t="inlineStr">
        <is>
          <t>KH001</t>
        </is>
      </c>
      <c r="C124" s="4" t="inlineStr">
        <is>
          <t>Điện nước Nhật (Shop) HCM</t>
        </is>
      </c>
      <c r="D124" s="3" t="inlineStr">
        <is>
          <t>HCM</t>
        </is>
      </c>
      <c r="E124" s="3" t="inlineStr">
        <is>
          <t>BẢO TRÂM</t>
        </is>
      </c>
      <c r="F124" s="3" t="inlineStr">
        <is>
          <t>Shopee</t>
        </is>
      </c>
      <c r="G124" s="3" t="inlineStr">
        <is>
          <t>KD5-150</t>
        </is>
      </c>
      <c r="H124" s="4" t="inlineStr">
        <is>
          <t>Mỏ lết KD5-150</t>
        </is>
      </c>
      <c r="I124" s="3" t="inlineStr">
        <is>
          <t>Cái</t>
        </is>
      </c>
      <c r="J124" s="5" t="n">
        <v>149000</v>
      </c>
      <c r="K124" s="5" t="n">
        <v>176000</v>
      </c>
      <c r="L124" s="6" t="n">
        <v>216000</v>
      </c>
      <c r="M124" s="5" t="n"/>
      <c r="N124" s="5">
        <f>IF(AND(ISNUMBER(M124),ISNUMBER(L124)),M124-L124,"")</f>
        <v/>
      </c>
      <c r="O124" s="7">
        <f>IF(AND(ISNUMBER(M124),ISNUMBER(L124),L124&gt;0),(M124-L124)/L124,"")</f>
        <v/>
      </c>
      <c r="P124" s="3">
        <f>IF(O124="","",IF(O124&lt;-0.02,"🔴 Bán phá giá sàn",IF(O124&gt;0.05,"🔵 Bán cao hơn","🟢 Đúng giá sàn TMĐT")))</f>
        <v/>
      </c>
      <c r="Q124" s="3" t="n"/>
      <c r="R124" s="4" t="n"/>
      <c r="S124" s="4" t="n"/>
    </row>
    <row r="125">
      <c r="A125" s="3" t="n">
        <v>124</v>
      </c>
      <c r="B125" s="3" t="inlineStr">
        <is>
          <t>KH001</t>
        </is>
      </c>
      <c r="C125" s="4" t="inlineStr">
        <is>
          <t>Điện nước Nhật (Shop) HCM</t>
        </is>
      </c>
      <c r="D125" s="3" t="inlineStr">
        <is>
          <t>HCM</t>
        </is>
      </c>
      <c r="E125" s="3" t="inlineStr">
        <is>
          <t>BẢO TRÂM</t>
        </is>
      </c>
      <c r="F125" s="3" t="inlineStr">
        <is>
          <t>Shopee</t>
        </is>
      </c>
      <c r="G125" s="3" t="inlineStr">
        <is>
          <t>KD5-200</t>
        </is>
      </c>
      <c r="H125" s="4" t="inlineStr">
        <is>
          <t>Mỏ lết KD5-200</t>
        </is>
      </c>
      <c r="I125" s="3" t="inlineStr">
        <is>
          <t>Cái</t>
        </is>
      </c>
      <c r="J125" s="5" t="n">
        <v>193000</v>
      </c>
      <c r="K125" s="5" t="n">
        <v>228000</v>
      </c>
      <c r="L125" s="6" t="n">
        <v>280000</v>
      </c>
      <c r="M125" s="5" t="n"/>
      <c r="N125" s="5">
        <f>IF(AND(ISNUMBER(M125),ISNUMBER(L125)),M125-L125,"")</f>
        <v/>
      </c>
      <c r="O125" s="7">
        <f>IF(AND(ISNUMBER(M125),ISNUMBER(L125),L125&gt;0),(M125-L125)/L125,"")</f>
        <v/>
      </c>
      <c r="P125" s="3">
        <f>IF(O125="","",IF(O125&lt;-0.02,"🔴 Bán phá giá sàn",IF(O125&gt;0.05,"🔵 Bán cao hơn","🟢 Đúng giá sàn TMĐT")))</f>
        <v/>
      </c>
      <c r="Q125" s="3" t="n"/>
      <c r="R125" s="4" t="n"/>
      <c r="S125" s="4" t="n"/>
    </row>
    <row r="126">
      <c r="A126" s="3" t="n">
        <v>125</v>
      </c>
      <c r="B126" s="3" t="inlineStr">
        <is>
          <t>KH001</t>
        </is>
      </c>
      <c r="C126" s="4" t="inlineStr">
        <is>
          <t>Điện nước Nhật (Shop) HCM</t>
        </is>
      </c>
      <c r="D126" s="3" t="inlineStr">
        <is>
          <t>HCM</t>
        </is>
      </c>
      <c r="E126" s="3" t="inlineStr">
        <is>
          <t>BẢO TRÂM</t>
        </is>
      </c>
      <c r="F126" s="3" t="inlineStr">
        <is>
          <t>Shopee</t>
        </is>
      </c>
      <c r="G126" s="3" t="inlineStr">
        <is>
          <t>KD5-250</t>
        </is>
      </c>
      <c r="H126" s="4" t="inlineStr">
        <is>
          <t>Mỏ lết KD5-250</t>
        </is>
      </c>
      <c r="I126" s="3" t="inlineStr">
        <is>
          <t>Cái</t>
        </is>
      </c>
      <c r="J126" s="5" t="n">
        <v>292000</v>
      </c>
      <c r="K126" s="5" t="n">
        <v>344000</v>
      </c>
      <c r="L126" s="6" t="n">
        <v>423000</v>
      </c>
      <c r="M126" s="5" t="n"/>
      <c r="N126" s="5">
        <f>IF(AND(ISNUMBER(M126),ISNUMBER(L126)),M126-L126,"")</f>
        <v/>
      </c>
      <c r="O126" s="7">
        <f>IF(AND(ISNUMBER(M126),ISNUMBER(L126),L126&gt;0),(M126-L126)/L126,"")</f>
        <v/>
      </c>
      <c r="P126" s="3">
        <f>IF(O126="","",IF(O126&lt;-0.02,"🔴 Bán phá giá sàn",IF(O126&gt;0.05,"🔵 Bán cao hơn","🟢 Đúng giá sàn TMĐT")))</f>
        <v/>
      </c>
      <c r="Q126" s="3" t="n"/>
      <c r="R126" s="4" t="n"/>
      <c r="S126" s="4" t="n"/>
    </row>
    <row r="127">
      <c r="A127" s="3" t="n">
        <v>126</v>
      </c>
      <c r="B127" s="3" t="inlineStr">
        <is>
          <t>KH001</t>
        </is>
      </c>
      <c r="C127" s="4" t="inlineStr">
        <is>
          <t>Điện nước Nhật (Shop) HCM</t>
        </is>
      </c>
      <c r="D127" s="3" t="inlineStr">
        <is>
          <t>HCM</t>
        </is>
      </c>
      <c r="E127" s="3" t="inlineStr">
        <is>
          <t>BẢO TRÂM</t>
        </is>
      </c>
      <c r="F127" s="3" t="inlineStr">
        <is>
          <t>Shopee</t>
        </is>
      </c>
      <c r="G127" s="3" t="inlineStr">
        <is>
          <t>V100R</t>
        </is>
      </c>
      <c r="H127" s="4" t="inlineStr">
        <is>
          <t>Mũi bắn vít chống trượt KingBlue V100R</t>
        </is>
      </c>
      <c r="I127" s="3" t="inlineStr">
        <is>
          <t>Vỉ</t>
        </is>
      </c>
      <c r="J127" s="5" t="n">
        <v>29000</v>
      </c>
      <c r="K127" s="5" t="n">
        <v>37000</v>
      </c>
      <c r="L127" s="6" t="n">
        <v>48000</v>
      </c>
      <c r="M127" s="5" t="n"/>
      <c r="N127" s="5">
        <f>IF(AND(ISNUMBER(M127),ISNUMBER(L127)),M127-L127,"")</f>
        <v/>
      </c>
      <c r="O127" s="7">
        <f>IF(AND(ISNUMBER(M127),ISNUMBER(L127),L127&gt;0),(M127-L127)/L127,"")</f>
        <v/>
      </c>
      <c r="P127" s="3">
        <f>IF(O127="","",IF(O127&lt;-0.02,"🔴 Bán phá giá sàn",IF(O127&gt;0.05,"🔵 Bán cao hơn","🟢 Đúng giá sàn TMĐT")))</f>
        <v/>
      </c>
      <c r="Q127" s="3" t="n"/>
      <c r="R127" s="4" t="n"/>
      <c r="S127" s="4" t="n"/>
    </row>
    <row r="128">
      <c r="A128" s="3" t="n">
        <v>127</v>
      </c>
      <c r="B128" s="3" t="inlineStr">
        <is>
          <t>KH001</t>
        </is>
      </c>
      <c r="C128" s="4" t="inlineStr">
        <is>
          <t>Điện nước Nhật (Shop) HCM</t>
        </is>
      </c>
      <c r="D128" s="3" t="inlineStr">
        <is>
          <t>HCM</t>
        </is>
      </c>
      <c r="E128" s="3" t="inlineStr">
        <is>
          <t>BẢO TRÂM</t>
        </is>
      </c>
      <c r="F128" s="3" t="inlineStr">
        <is>
          <t>Shopee</t>
        </is>
      </c>
      <c r="G128" s="3" t="inlineStr">
        <is>
          <t>V150R</t>
        </is>
      </c>
      <c r="H128" s="4" t="inlineStr">
        <is>
          <t>Mũi bắn vít chống trượt KingBlue V150R</t>
        </is>
      </c>
      <c r="I128" s="3" t="inlineStr">
        <is>
          <t>Vỉ</t>
        </is>
      </c>
      <c r="J128" s="5" t="n">
        <v>40000</v>
      </c>
      <c r="K128" s="5" t="n">
        <v>50000</v>
      </c>
      <c r="L128" s="6" t="n">
        <v>66000</v>
      </c>
      <c r="M128" s="5" t="n"/>
      <c r="N128" s="5">
        <f>IF(AND(ISNUMBER(M128),ISNUMBER(L128)),M128-L128,"")</f>
        <v/>
      </c>
      <c r="O128" s="7">
        <f>IF(AND(ISNUMBER(M128),ISNUMBER(L128),L128&gt;0),(M128-L128)/L128,"")</f>
        <v/>
      </c>
      <c r="P128" s="3">
        <f>IF(O128="","",IF(O128&lt;-0.02,"🔴 Bán phá giá sàn",IF(O128&gt;0.05,"🔵 Bán cao hơn","🟢 Đúng giá sàn TMĐT")))</f>
        <v/>
      </c>
      <c r="Q128" s="3" t="n"/>
      <c r="R128" s="4" t="n"/>
      <c r="S128" s="4" t="n"/>
    </row>
    <row r="129">
      <c r="A129" s="3" t="n">
        <v>128</v>
      </c>
      <c r="B129" s="3" t="inlineStr">
        <is>
          <t>KH001</t>
        </is>
      </c>
      <c r="C129" s="4" t="inlineStr">
        <is>
          <t>Điện nước Nhật (Shop) HCM</t>
        </is>
      </c>
      <c r="D129" s="3" t="inlineStr">
        <is>
          <t>HCM</t>
        </is>
      </c>
      <c r="E129" s="3" t="inlineStr">
        <is>
          <t>BẢO TRÂM</t>
        </is>
      </c>
      <c r="F129" s="3" t="inlineStr">
        <is>
          <t>Shopee</t>
        </is>
      </c>
      <c r="G129" s="3" t="inlineStr">
        <is>
          <t>V65R</t>
        </is>
      </c>
      <c r="H129" s="4" t="inlineStr">
        <is>
          <t>Mũi bắn vít chống trượt KingBlue V65R</t>
        </is>
      </c>
      <c r="I129" s="3" t="inlineStr">
        <is>
          <t>Vỉ</t>
        </is>
      </c>
      <c r="J129" s="5" t="n">
        <v>20000</v>
      </c>
      <c r="K129" s="5" t="n">
        <v>25000</v>
      </c>
      <c r="L129" s="6" t="n">
        <v>33000</v>
      </c>
      <c r="M129" s="5" t="n"/>
      <c r="N129" s="5">
        <f>IF(AND(ISNUMBER(M129),ISNUMBER(L129)),M129-L129,"")</f>
        <v/>
      </c>
      <c r="O129" s="7">
        <f>IF(AND(ISNUMBER(M129),ISNUMBER(L129),L129&gt;0),(M129-L129)/L129,"")</f>
        <v/>
      </c>
      <c r="P129" s="3">
        <f>IF(O129="","",IF(O129&lt;-0.02,"🔴 Bán phá giá sàn",IF(O129&gt;0.05,"🔵 Bán cao hơn","🟢 Đúng giá sàn TMĐT")))</f>
        <v/>
      </c>
      <c r="Q129" s="3" t="n"/>
      <c r="R129" s="4" t="n"/>
      <c r="S129" s="4" t="n"/>
    </row>
    <row r="130">
      <c r="A130" s="3" t="n">
        <v>129</v>
      </c>
      <c r="B130" s="3" t="inlineStr">
        <is>
          <t>KH001</t>
        </is>
      </c>
      <c r="C130" s="4" t="inlineStr">
        <is>
          <t>Điện nước Nhật (Shop) HCM</t>
        </is>
      </c>
      <c r="D130" s="3" t="inlineStr">
        <is>
          <t>HCM</t>
        </is>
      </c>
      <c r="E130" s="3" t="inlineStr">
        <is>
          <t>BẢO TRÂM</t>
        </is>
      </c>
      <c r="F130" s="3" t="inlineStr">
        <is>
          <t>Shopee</t>
        </is>
      </c>
      <c r="G130" s="3" t="inlineStr">
        <is>
          <t>V100S</t>
        </is>
      </c>
      <c r="H130" s="4" t="inlineStr">
        <is>
          <t>Mũi bắn vít PH2 V100S</t>
        </is>
      </c>
      <c r="I130" s="3" t="inlineStr">
        <is>
          <t>Vỉ</t>
        </is>
      </c>
      <c r="J130" s="5" t="n">
        <v>44000</v>
      </c>
      <c r="K130" s="5" t="n">
        <v>56000</v>
      </c>
      <c r="L130" s="6" t="n">
        <v>73000</v>
      </c>
      <c r="M130" s="5" t="n"/>
      <c r="N130" s="5">
        <f>IF(AND(ISNUMBER(M130),ISNUMBER(L130)),M130-L130,"")</f>
        <v/>
      </c>
      <c r="O130" s="7">
        <f>IF(AND(ISNUMBER(M130),ISNUMBER(L130),L130&gt;0),(M130-L130)/L130,"")</f>
        <v/>
      </c>
      <c r="P130" s="3">
        <f>IF(O130="","",IF(O130&lt;-0.02,"🔴 Bán phá giá sàn",IF(O130&gt;0.05,"🔵 Bán cao hơn","🟢 Đúng giá sàn TMĐT")))</f>
        <v/>
      </c>
      <c r="Q130" s="3" t="n"/>
      <c r="R130" s="4" t="n"/>
      <c r="S130" s="4" t="n"/>
    </row>
    <row r="131">
      <c r="A131" s="3" t="n">
        <v>130</v>
      </c>
      <c r="B131" s="3" t="inlineStr">
        <is>
          <t>KH001</t>
        </is>
      </c>
      <c r="C131" s="4" t="inlineStr">
        <is>
          <t>Điện nước Nhật (Shop) HCM</t>
        </is>
      </c>
      <c r="D131" s="3" t="inlineStr">
        <is>
          <t>HCM</t>
        </is>
      </c>
      <c r="E131" s="3" t="inlineStr">
        <is>
          <t>BẢO TRÂM</t>
        </is>
      </c>
      <c r="F131" s="3" t="inlineStr">
        <is>
          <t>Shopee</t>
        </is>
      </c>
      <c r="G131" s="3" t="inlineStr">
        <is>
          <t>V150S</t>
        </is>
      </c>
      <c r="H131" s="4" t="inlineStr">
        <is>
          <t>Mũi bắn vít PH2 V150S</t>
        </is>
      </c>
      <c r="I131" s="3" t="inlineStr">
        <is>
          <t>Vỉ</t>
        </is>
      </c>
      <c r="J131" s="5" t="n">
        <v>54000</v>
      </c>
      <c r="K131" s="5" t="n">
        <v>68000</v>
      </c>
      <c r="L131" s="6" t="n">
        <v>89000</v>
      </c>
      <c r="M131" s="5" t="n"/>
      <c r="N131" s="5">
        <f>IF(AND(ISNUMBER(M131),ISNUMBER(L131)),M131-L131,"")</f>
        <v/>
      </c>
      <c r="O131" s="7">
        <f>IF(AND(ISNUMBER(M131),ISNUMBER(L131),L131&gt;0),(M131-L131)/L131,"")</f>
        <v/>
      </c>
      <c r="P131" s="3">
        <f>IF(O131="","",IF(O131&lt;-0.02,"🔴 Bán phá giá sàn",IF(O131&gt;0.05,"🔵 Bán cao hơn","🟢 Đúng giá sàn TMĐT")))</f>
        <v/>
      </c>
      <c r="Q131" s="3" t="n"/>
      <c r="R131" s="4" t="n"/>
      <c r="S131" s="4" t="n"/>
    </row>
    <row r="132">
      <c r="A132" s="3" t="n">
        <v>131</v>
      </c>
      <c r="B132" s="3" t="inlineStr">
        <is>
          <t>KH001</t>
        </is>
      </c>
      <c r="C132" s="4" t="inlineStr">
        <is>
          <t>Điện nước Nhật (Shop) HCM</t>
        </is>
      </c>
      <c r="D132" s="3" t="inlineStr">
        <is>
          <t>HCM</t>
        </is>
      </c>
      <c r="E132" s="3" t="inlineStr">
        <is>
          <t>BẢO TRÂM</t>
        </is>
      </c>
      <c r="F132" s="3" t="inlineStr">
        <is>
          <t>Shopee</t>
        </is>
      </c>
      <c r="G132" s="3" t="inlineStr">
        <is>
          <t>V65S</t>
        </is>
      </c>
      <c r="H132" s="4" t="inlineStr">
        <is>
          <t>Mũi bắn vít PH2 V65S</t>
        </is>
      </c>
      <c r="I132" s="3" t="inlineStr">
        <is>
          <t>Vỉ</t>
        </is>
      </c>
      <c r="J132" s="5" t="n">
        <v>30000</v>
      </c>
      <c r="K132" s="5" t="n">
        <v>38000</v>
      </c>
      <c r="L132" s="6" t="n">
        <v>50000</v>
      </c>
      <c r="M132" s="5" t="n"/>
      <c r="N132" s="5">
        <f>IF(AND(ISNUMBER(M132),ISNUMBER(L132)),M132-L132,"")</f>
        <v/>
      </c>
      <c r="O132" s="7">
        <f>IF(AND(ISNUMBER(M132),ISNUMBER(L132),L132&gt;0),(M132-L132)/L132,"")</f>
        <v/>
      </c>
      <c r="P132" s="3">
        <f>IF(O132="","",IF(O132&lt;-0.02,"🔴 Bán phá giá sàn",IF(O132&gt;0.05,"🔵 Bán cao hơn","🟢 Đúng giá sàn TMĐT")))</f>
        <v/>
      </c>
      <c r="Q132" s="3" t="n"/>
      <c r="R132" s="4" t="n"/>
      <c r="S132" s="4" t="n"/>
    </row>
    <row r="133">
      <c r="A133" s="3" t="n">
        <v>132</v>
      </c>
      <c r="B133" s="3" t="inlineStr">
        <is>
          <t>KH001</t>
        </is>
      </c>
      <c r="C133" s="4" t="inlineStr">
        <is>
          <t>Điện nước Nhật (Shop) HCM</t>
        </is>
      </c>
      <c r="D133" s="3" t="inlineStr">
        <is>
          <t>HCM</t>
        </is>
      </c>
      <c r="E133" s="3" t="inlineStr">
        <is>
          <t>BẢO TRÂM</t>
        </is>
      </c>
      <c r="F133" s="3" t="inlineStr">
        <is>
          <t>Shopee</t>
        </is>
      </c>
      <c r="G133" s="3" t="inlineStr"/>
      <c r="H133" s="4" t="inlineStr">
        <is>
          <t>Mũi đục bê tông KBVd-14*250*22</t>
        </is>
      </c>
      <c r="I133" s="3" t="inlineStr">
        <is>
          <t>Cái</t>
        </is>
      </c>
      <c r="J133" s="5" t="n">
        <v>269000</v>
      </c>
      <c r="K133" s="5" t="n">
        <v>317000</v>
      </c>
      <c r="L133" s="6" t="n">
        <v>390000</v>
      </c>
      <c r="M133" s="5" t="n"/>
      <c r="N133" s="5">
        <f>IF(AND(ISNUMBER(M133),ISNUMBER(L133)),M133-L133,"")</f>
        <v/>
      </c>
      <c r="O133" s="7">
        <f>IF(AND(ISNUMBER(M133),ISNUMBER(L133),L133&gt;0),(M133-L133)/L133,"")</f>
        <v/>
      </c>
      <c r="P133" s="3">
        <f>IF(O133="","",IF(O133&lt;-0.02,"🔴 Bán phá giá sàn",IF(O133&gt;0.05,"🔵 Bán cao hơn","🟢 Đúng giá sàn TMĐT")))</f>
        <v/>
      </c>
      <c r="Q133" s="3" t="n"/>
      <c r="R133" s="4" t="n"/>
      <c r="S133" s="4" t="n"/>
    </row>
    <row r="134">
      <c r="A134" s="3" t="n">
        <v>133</v>
      </c>
      <c r="B134" s="3" t="inlineStr">
        <is>
          <t>KH001</t>
        </is>
      </c>
      <c r="C134" s="4" t="inlineStr">
        <is>
          <t>Điện nước Nhật (Shop) HCM</t>
        </is>
      </c>
      <c r="D134" s="3" t="inlineStr">
        <is>
          <t>HCM</t>
        </is>
      </c>
      <c r="E134" s="3" t="inlineStr">
        <is>
          <t>BẢO TRÂM</t>
        </is>
      </c>
      <c r="F134" s="3" t="inlineStr">
        <is>
          <t>Shopee</t>
        </is>
      </c>
      <c r="G134" s="3" t="inlineStr"/>
      <c r="H134" s="4" t="inlineStr">
        <is>
          <t>Mũi đục bê tông KBVd-17*280*25</t>
        </is>
      </c>
      <c r="I134" s="3" t="inlineStr">
        <is>
          <t>Cái</t>
        </is>
      </c>
      <c r="J134" s="5" t="n">
        <v>269000</v>
      </c>
      <c r="K134" s="5" t="n">
        <v>317000</v>
      </c>
      <c r="L134" s="6" t="n">
        <v>390000</v>
      </c>
      <c r="M134" s="5" t="n"/>
      <c r="N134" s="5">
        <f>IF(AND(ISNUMBER(M134),ISNUMBER(L134)),M134-L134,"")</f>
        <v/>
      </c>
      <c r="O134" s="7">
        <f>IF(AND(ISNUMBER(M134),ISNUMBER(L134),L134&gt;0),(M134-L134)/L134,"")</f>
        <v/>
      </c>
      <c r="P134" s="3">
        <f>IF(O134="","",IF(O134&lt;-0.02,"🔴 Bán phá giá sàn",IF(O134&gt;0.05,"🔵 Bán cao hơn","🟢 Đúng giá sàn TMĐT")))</f>
        <v/>
      </c>
      <c r="Q134" s="3" t="n"/>
      <c r="R134" s="4" t="n"/>
      <c r="S134" s="4" t="n"/>
    </row>
    <row r="135">
      <c r="A135" s="3" t="n">
        <v>134</v>
      </c>
      <c r="B135" s="3" t="inlineStr">
        <is>
          <t>KH001</t>
        </is>
      </c>
      <c r="C135" s="4" t="inlineStr">
        <is>
          <t>Điện nước Nhật (Shop) HCM</t>
        </is>
      </c>
      <c r="D135" s="3" t="inlineStr">
        <is>
          <t>HCM</t>
        </is>
      </c>
      <c r="E135" s="3" t="inlineStr">
        <is>
          <t>BẢO TRÂM</t>
        </is>
      </c>
      <c r="F135" s="3" t="inlineStr">
        <is>
          <t>Shopee</t>
        </is>
      </c>
      <c r="G135" s="3" t="inlineStr"/>
      <c r="H135" s="4" t="inlineStr">
        <is>
          <t>Mũi đục bê tông KBVn-14*250</t>
        </is>
      </c>
      <c r="I135" s="3" t="inlineStr">
        <is>
          <t>Cái</t>
        </is>
      </c>
      <c r="J135" s="5" t="n">
        <v>269000</v>
      </c>
      <c r="K135" s="5" t="n">
        <v>317000</v>
      </c>
      <c r="L135" s="6" t="n">
        <v>390000</v>
      </c>
      <c r="M135" s="5" t="n"/>
      <c r="N135" s="5">
        <f>IF(AND(ISNUMBER(M135),ISNUMBER(L135)),M135-L135,"")</f>
        <v/>
      </c>
      <c r="O135" s="7">
        <f>IF(AND(ISNUMBER(M135),ISNUMBER(L135),L135&gt;0),(M135-L135)/L135,"")</f>
        <v/>
      </c>
      <c r="P135" s="3">
        <f>IF(O135="","",IF(O135&lt;-0.02,"🔴 Bán phá giá sàn",IF(O135&gt;0.05,"🔵 Bán cao hơn","🟢 Đúng giá sàn TMĐT")))</f>
        <v/>
      </c>
      <c r="Q135" s="3" t="n"/>
      <c r="R135" s="4" t="n"/>
      <c r="S135" s="4" t="n"/>
    </row>
    <row r="136">
      <c r="A136" s="3" t="n">
        <v>135</v>
      </c>
      <c r="B136" s="3" t="inlineStr">
        <is>
          <t>KH001</t>
        </is>
      </c>
      <c r="C136" s="4" t="inlineStr">
        <is>
          <t>Điện nước Nhật (Shop) HCM</t>
        </is>
      </c>
      <c r="D136" s="3" t="inlineStr">
        <is>
          <t>HCM</t>
        </is>
      </c>
      <c r="E136" s="3" t="inlineStr">
        <is>
          <t>BẢO TRÂM</t>
        </is>
      </c>
      <c r="F136" s="3" t="inlineStr">
        <is>
          <t>Shopee</t>
        </is>
      </c>
      <c r="G136" s="3" t="inlineStr"/>
      <c r="H136" s="4" t="inlineStr">
        <is>
          <t>Mũi đục bê tông KBVn-17*280</t>
        </is>
      </c>
      <c r="I136" s="3" t="inlineStr">
        <is>
          <t>Cái</t>
        </is>
      </c>
      <c r="J136" s="5" t="n">
        <v>269000</v>
      </c>
      <c r="K136" s="5" t="n">
        <v>317000</v>
      </c>
      <c r="L136" s="6" t="n">
        <v>390000</v>
      </c>
      <c r="M136" s="5" t="n"/>
      <c r="N136" s="5">
        <f>IF(AND(ISNUMBER(M136),ISNUMBER(L136)),M136-L136,"")</f>
        <v/>
      </c>
      <c r="O136" s="7">
        <f>IF(AND(ISNUMBER(M136),ISNUMBER(L136),L136&gt;0),(M136-L136)/L136,"")</f>
        <v/>
      </c>
      <c r="P136" s="3">
        <f>IF(O136="","",IF(O136&lt;-0.02,"🔴 Bán phá giá sàn",IF(O136&gt;0.05,"🔵 Bán cao hơn","🟢 Đúng giá sàn TMĐT")))</f>
        <v/>
      </c>
      <c r="Q136" s="3" t="n"/>
      <c r="R136" s="4" t="n"/>
      <c r="S136" s="4" t="n"/>
    </row>
    <row r="137">
      <c r="A137" s="3" t="n">
        <v>136</v>
      </c>
      <c r="B137" s="3" t="inlineStr">
        <is>
          <t>KH001</t>
        </is>
      </c>
      <c r="C137" s="4" t="inlineStr">
        <is>
          <t>Điện nước Nhật (Shop) HCM</t>
        </is>
      </c>
      <c r="D137" s="3" t="inlineStr">
        <is>
          <t>HCM</t>
        </is>
      </c>
      <c r="E137" s="3" t="inlineStr">
        <is>
          <t>BẢO TRÂM</t>
        </is>
      </c>
      <c r="F137" s="3" t="inlineStr">
        <is>
          <t>Shopee</t>
        </is>
      </c>
      <c r="G137" s="3" t="inlineStr">
        <is>
          <t>KBL-06*210</t>
        </is>
      </c>
      <c r="H137" s="4" t="inlineStr">
        <is>
          <t>Mũi khoan bê tông 2 cạnh KBL-06*210</t>
        </is>
      </c>
      <c r="I137" s="3" t="inlineStr">
        <is>
          <t>Cái</t>
        </is>
      </c>
      <c r="J137" s="5" t="n">
        <v>269000</v>
      </c>
      <c r="K137" s="5" t="n">
        <v>317000</v>
      </c>
      <c r="L137" s="6" t="n">
        <v>390000</v>
      </c>
      <c r="M137" s="5" t="n"/>
      <c r="N137" s="5">
        <f>IF(AND(ISNUMBER(M137),ISNUMBER(L137)),M137-L137,"")</f>
        <v/>
      </c>
      <c r="O137" s="7">
        <f>IF(AND(ISNUMBER(M137),ISNUMBER(L137),L137&gt;0),(M137-L137)/L137,"")</f>
        <v/>
      </c>
      <c r="P137" s="3">
        <f>IF(O137="","",IF(O137&lt;-0.02,"🔴 Bán phá giá sàn",IF(O137&gt;0.05,"🔵 Bán cao hơn","🟢 Đúng giá sàn TMĐT")))</f>
        <v/>
      </c>
      <c r="Q137" s="3" t="n"/>
      <c r="R137" s="4" t="n"/>
      <c r="S137" s="4" t="n"/>
    </row>
    <row r="138">
      <c r="A138" s="3" t="n">
        <v>137</v>
      </c>
      <c r="B138" s="3" t="inlineStr">
        <is>
          <t>KH001</t>
        </is>
      </c>
      <c r="C138" s="4" t="inlineStr">
        <is>
          <t>Điện nước Nhật (Shop) HCM</t>
        </is>
      </c>
      <c r="D138" s="3" t="inlineStr">
        <is>
          <t>HCM</t>
        </is>
      </c>
      <c r="E138" s="3" t="inlineStr">
        <is>
          <t>BẢO TRÂM</t>
        </is>
      </c>
      <c r="F138" s="3" t="inlineStr">
        <is>
          <t>Shopee</t>
        </is>
      </c>
      <c r="G138" s="3" t="inlineStr">
        <is>
          <t>KBL-08*210</t>
        </is>
      </c>
      <c r="H138" s="4" t="inlineStr">
        <is>
          <t>Mũi khoan bê tông 2 cạnh KBL-08*210</t>
        </is>
      </c>
      <c r="I138" s="3" t="inlineStr">
        <is>
          <t>Cái</t>
        </is>
      </c>
      <c r="J138" s="5" t="n">
        <v>269000</v>
      </c>
      <c r="K138" s="5" t="n">
        <v>317000</v>
      </c>
      <c r="L138" s="6" t="n">
        <v>390000</v>
      </c>
      <c r="M138" s="5" t="n"/>
      <c r="N138" s="5">
        <f>IF(AND(ISNUMBER(M138),ISNUMBER(L138)),M138-L138,"")</f>
        <v/>
      </c>
      <c r="O138" s="7">
        <f>IF(AND(ISNUMBER(M138),ISNUMBER(L138),L138&gt;0),(M138-L138)/L138,"")</f>
        <v/>
      </c>
      <c r="P138" s="3">
        <f>IF(O138="","",IF(O138&lt;-0.02,"🔴 Bán phá giá sàn",IF(O138&gt;0.05,"🔵 Bán cao hơn","🟢 Đúng giá sàn TMĐT")))</f>
        <v/>
      </c>
      <c r="Q138" s="3" t="n"/>
      <c r="R138" s="4" t="n"/>
      <c r="S138" s="4" t="n"/>
    </row>
    <row r="139">
      <c r="A139" s="3" t="n">
        <v>138</v>
      </c>
      <c r="B139" s="3" t="inlineStr">
        <is>
          <t>KH001</t>
        </is>
      </c>
      <c r="C139" s="4" t="inlineStr">
        <is>
          <t>Điện nước Nhật (Shop) HCM</t>
        </is>
      </c>
      <c r="D139" s="3" t="inlineStr">
        <is>
          <t>HCM</t>
        </is>
      </c>
      <c r="E139" s="3" t="inlineStr">
        <is>
          <t>BẢO TRÂM</t>
        </is>
      </c>
      <c r="F139" s="3" t="inlineStr">
        <is>
          <t>Shopee</t>
        </is>
      </c>
      <c r="G139" s="3" t="inlineStr">
        <is>
          <t>KBL-08*260</t>
        </is>
      </c>
      <c r="H139" s="4" t="inlineStr">
        <is>
          <t>Mũi khoan bê tông 2 cạnh KBL-08*260</t>
        </is>
      </c>
      <c r="I139" s="3" t="inlineStr">
        <is>
          <t>Cái</t>
        </is>
      </c>
      <c r="J139" s="5" t="n">
        <v>269000</v>
      </c>
      <c r="K139" s="5" t="n">
        <v>317000</v>
      </c>
      <c r="L139" s="6" t="n">
        <v>390000</v>
      </c>
      <c r="M139" s="5" t="n"/>
      <c r="N139" s="5">
        <f>IF(AND(ISNUMBER(M139),ISNUMBER(L139)),M139-L139,"")</f>
        <v/>
      </c>
      <c r="O139" s="7">
        <f>IF(AND(ISNUMBER(M139),ISNUMBER(L139),L139&gt;0),(M139-L139)/L139,"")</f>
        <v/>
      </c>
      <c r="P139" s="3">
        <f>IF(O139="","",IF(O139&lt;-0.02,"🔴 Bán phá giá sàn",IF(O139&gt;0.05,"🔵 Bán cao hơn","🟢 Đúng giá sàn TMĐT")))</f>
        <v/>
      </c>
      <c r="Q139" s="3" t="n"/>
      <c r="R139" s="4" t="n"/>
      <c r="S139" s="4" t="n"/>
    </row>
    <row r="140">
      <c r="A140" s="3" t="n">
        <v>139</v>
      </c>
      <c r="B140" s="3" t="inlineStr">
        <is>
          <t>KH001</t>
        </is>
      </c>
      <c r="C140" s="4" t="inlineStr">
        <is>
          <t>Điện nước Nhật (Shop) HCM</t>
        </is>
      </c>
      <c r="D140" s="3" t="inlineStr">
        <is>
          <t>HCM</t>
        </is>
      </c>
      <c r="E140" s="3" t="inlineStr">
        <is>
          <t>BẢO TRÂM</t>
        </is>
      </c>
      <c r="F140" s="3" t="inlineStr">
        <is>
          <t>Shopee</t>
        </is>
      </c>
      <c r="G140" s="3" t="inlineStr">
        <is>
          <t>KBL-12*260</t>
        </is>
      </c>
      <c r="H140" s="4" t="inlineStr">
        <is>
          <t>Mũi khoan bê tông 2 cạnh KBL-12*260</t>
        </is>
      </c>
      <c r="I140" s="3" t="inlineStr">
        <is>
          <t>Cái</t>
        </is>
      </c>
      <c r="J140" s="5" t="n">
        <v>269000</v>
      </c>
      <c r="K140" s="5" t="n">
        <v>317000</v>
      </c>
      <c r="L140" s="6" t="n">
        <v>390000</v>
      </c>
      <c r="M140" s="5" t="n"/>
      <c r="N140" s="5">
        <f>IF(AND(ISNUMBER(M140),ISNUMBER(L140)),M140-L140,"")</f>
        <v/>
      </c>
      <c r="O140" s="7">
        <f>IF(AND(ISNUMBER(M140),ISNUMBER(L140),L140&gt;0),(M140-L140)/L140,"")</f>
        <v/>
      </c>
      <c r="P140" s="3">
        <f>IF(O140="","",IF(O140&lt;-0.02,"🔴 Bán phá giá sàn",IF(O140&gt;0.05,"🔵 Bán cao hơn","🟢 Đúng giá sàn TMĐT")))</f>
        <v/>
      </c>
      <c r="Q140" s="3" t="n"/>
      <c r="R140" s="4" t="n"/>
      <c r="S140" s="4" t="n"/>
    </row>
    <row r="141">
      <c r="A141" s="3" t="n">
        <v>140</v>
      </c>
      <c r="B141" s="3" t="inlineStr">
        <is>
          <t>KH001</t>
        </is>
      </c>
      <c r="C141" s="4" t="inlineStr">
        <is>
          <t>Điện nước Nhật (Shop) HCM</t>
        </is>
      </c>
      <c r="D141" s="3" t="inlineStr">
        <is>
          <t>HCM</t>
        </is>
      </c>
      <c r="E141" s="3" t="inlineStr">
        <is>
          <t>BẢO TRÂM</t>
        </is>
      </c>
      <c r="F141" s="3" t="inlineStr">
        <is>
          <t>Shopee</t>
        </is>
      </c>
      <c r="G141" s="3" t="inlineStr">
        <is>
          <t>KBL4-06*160</t>
        </is>
      </c>
      <c r="H141" s="4" t="inlineStr">
        <is>
          <t>Mũi khoan bê tông 4 cạnh KBL4-06*160</t>
        </is>
      </c>
      <c r="I141" s="3" t="inlineStr">
        <is>
          <t>Cái</t>
        </is>
      </c>
      <c r="J141" s="5" t="n">
        <v>24000</v>
      </c>
      <c r="K141" s="5" t="n">
        <v>29000</v>
      </c>
      <c r="L141" s="6" t="n">
        <v>37000</v>
      </c>
      <c r="M141" s="5" t="n"/>
      <c r="N141" s="5">
        <f>IF(AND(ISNUMBER(M141),ISNUMBER(L141)),M141-L141,"")</f>
        <v/>
      </c>
      <c r="O141" s="7">
        <f>IF(AND(ISNUMBER(M141),ISNUMBER(L141),L141&gt;0),(M141-L141)/L141,"")</f>
        <v/>
      </c>
      <c r="P141" s="3">
        <f>IF(O141="","",IF(O141&lt;-0.02,"🔴 Bán phá giá sàn",IF(O141&gt;0.05,"🔵 Bán cao hơn","🟢 Đúng giá sàn TMĐT")))</f>
        <v/>
      </c>
      <c r="Q141" s="3" t="n"/>
      <c r="R141" s="4" t="n"/>
      <c r="S141" s="4" t="n"/>
    </row>
    <row r="142">
      <c r="A142" s="3" t="n">
        <v>141</v>
      </c>
      <c r="B142" s="3" t="inlineStr">
        <is>
          <t>KH001</t>
        </is>
      </c>
      <c r="C142" s="4" t="inlineStr">
        <is>
          <t>Điện nước Nhật (Shop) HCM</t>
        </is>
      </c>
      <c r="D142" s="3" t="inlineStr">
        <is>
          <t>HCM</t>
        </is>
      </c>
      <c r="E142" s="3" t="inlineStr">
        <is>
          <t>BẢO TRÂM</t>
        </is>
      </c>
      <c r="F142" s="3" t="inlineStr">
        <is>
          <t>Shopee</t>
        </is>
      </c>
      <c r="G142" s="3" t="inlineStr">
        <is>
          <t>KBL4-08*160</t>
        </is>
      </c>
      <c r="H142" s="4" t="inlineStr">
        <is>
          <t>Mũi khoan bê tông 4 cạnh KBL4-08*160</t>
        </is>
      </c>
      <c r="I142" s="3" t="inlineStr">
        <is>
          <t>Cái</t>
        </is>
      </c>
      <c r="J142" s="5" t="n">
        <v>27000</v>
      </c>
      <c r="K142" s="5" t="n">
        <v>33000</v>
      </c>
      <c r="L142" s="6" t="n">
        <v>42000</v>
      </c>
      <c r="M142" s="5" t="n"/>
      <c r="N142" s="5">
        <f>IF(AND(ISNUMBER(M142),ISNUMBER(L142)),M142-L142,"")</f>
        <v/>
      </c>
      <c r="O142" s="7">
        <f>IF(AND(ISNUMBER(M142),ISNUMBER(L142),L142&gt;0),(M142-L142)/L142,"")</f>
        <v/>
      </c>
      <c r="P142" s="3">
        <f>IF(O142="","",IF(O142&lt;-0.02,"🔴 Bán phá giá sàn",IF(O142&gt;0.05,"🔵 Bán cao hơn","🟢 Đúng giá sàn TMĐT")))</f>
        <v/>
      </c>
      <c r="Q142" s="3" t="n"/>
      <c r="R142" s="4" t="n"/>
      <c r="S142" s="4" t="n"/>
    </row>
    <row r="143">
      <c r="A143" s="3" t="n">
        <v>142</v>
      </c>
      <c r="B143" s="3" t="inlineStr">
        <is>
          <t>KH001</t>
        </is>
      </c>
      <c r="C143" s="4" t="inlineStr">
        <is>
          <t>Điện nước Nhật (Shop) HCM</t>
        </is>
      </c>
      <c r="D143" s="3" t="inlineStr">
        <is>
          <t>HCM</t>
        </is>
      </c>
      <c r="E143" s="3" t="inlineStr">
        <is>
          <t>BẢO TRÂM</t>
        </is>
      </c>
      <c r="F143" s="3" t="inlineStr">
        <is>
          <t>Shopee</t>
        </is>
      </c>
      <c r="G143" s="3" t="inlineStr">
        <is>
          <t>KBL4-10*160</t>
        </is>
      </c>
      <c r="H143" s="4" t="inlineStr">
        <is>
          <t>Mũi khoan bê tông 4 cạnh KBL4-10*160</t>
        </is>
      </c>
      <c r="I143" s="3" t="inlineStr">
        <is>
          <t>Cái</t>
        </is>
      </c>
      <c r="J143" s="5" t="n">
        <v>30000</v>
      </c>
      <c r="K143" s="5" t="n">
        <v>37000</v>
      </c>
      <c r="L143" s="6" t="n">
        <v>47000</v>
      </c>
      <c r="M143" s="5" t="n"/>
      <c r="N143" s="5">
        <f>IF(AND(ISNUMBER(M143),ISNUMBER(L143)),M143-L143,"")</f>
        <v/>
      </c>
      <c r="O143" s="7">
        <f>IF(AND(ISNUMBER(M143),ISNUMBER(L143),L143&gt;0),(M143-L143)/L143,"")</f>
        <v/>
      </c>
      <c r="P143" s="3">
        <f>IF(O143="","",IF(O143&lt;-0.02,"🔴 Bán phá giá sàn",IF(O143&gt;0.05,"🔵 Bán cao hơn","🟢 Đúng giá sàn TMĐT")))</f>
        <v/>
      </c>
      <c r="Q143" s="3" t="n"/>
      <c r="R143" s="4" t="n"/>
      <c r="S143" s="4" t="n"/>
    </row>
    <row r="144">
      <c r="A144" s="3" t="n">
        <v>143</v>
      </c>
      <c r="B144" s="3" t="inlineStr">
        <is>
          <t>KH001</t>
        </is>
      </c>
      <c r="C144" s="4" t="inlineStr">
        <is>
          <t>Điện nước Nhật (Shop) HCM</t>
        </is>
      </c>
      <c r="D144" s="3" t="inlineStr">
        <is>
          <t>HCM</t>
        </is>
      </c>
      <c r="E144" s="3" t="inlineStr">
        <is>
          <t>BẢO TRÂM</t>
        </is>
      </c>
      <c r="F144" s="3" t="inlineStr">
        <is>
          <t>Shopee</t>
        </is>
      </c>
      <c r="G144" s="3" t="inlineStr">
        <is>
          <t>KBL4-12*160</t>
        </is>
      </c>
      <c r="H144" s="4" t="inlineStr">
        <is>
          <t>Mũi khoan bê tông 4 cạnh KBL4-12*160</t>
        </is>
      </c>
      <c r="I144" s="3" t="inlineStr">
        <is>
          <t>Cái</t>
        </is>
      </c>
      <c r="J144" s="5" t="n">
        <v>33000</v>
      </c>
      <c r="K144" s="5" t="n">
        <v>40000</v>
      </c>
      <c r="L144" s="6" t="n">
        <v>51000</v>
      </c>
      <c r="M144" s="5" t="n"/>
      <c r="N144" s="5">
        <f>IF(AND(ISNUMBER(M144),ISNUMBER(L144)),M144-L144,"")</f>
        <v/>
      </c>
      <c r="O144" s="7">
        <f>IF(AND(ISNUMBER(M144),ISNUMBER(L144),L144&gt;0),(M144-L144)/L144,"")</f>
        <v/>
      </c>
      <c r="P144" s="3">
        <f>IF(O144="","",IF(O144&lt;-0.02,"🔴 Bán phá giá sàn",IF(O144&gt;0.05,"🔵 Bán cao hơn","🟢 Đúng giá sàn TMĐT")))</f>
        <v/>
      </c>
      <c r="Q144" s="3" t="n"/>
      <c r="R144" s="4" t="n"/>
      <c r="S144" s="4" t="n"/>
    </row>
    <row r="145">
      <c r="A145" s="3" t="n">
        <v>144</v>
      </c>
      <c r="B145" s="3" t="inlineStr">
        <is>
          <t>KH001</t>
        </is>
      </c>
      <c r="C145" s="4" t="inlineStr">
        <is>
          <t>Điện nước Nhật (Shop) HCM</t>
        </is>
      </c>
      <c r="D145" s="3" t="inlineStr">
        <is>
          <t>HCM</t>
        </is>
      </c>
      <c r="E145" s="3" t="inlineStr">
        <is>
          <t>BẢO TRÂM</t>
        </is>
      </c>
      <c r="F145" s="3" t="inlineStr">
        <is>
          <t>Shopee</t>
        </is>
      </c>
      <c r="G145" s="3" t="inlineStr">
        <is>
          <t>KBL2-06*160</t>
        </is>
      </c>
      <c r="H145" s="4" t="inlineStr">
        <is>
          <t>Mũi khoan bê tông gài 2 cạnh KBL2-06*160</t>
        </is>
      </c>
      <c r="I145" s="3" t="inlineStr">
        <is>
          <t>Cái</t>
        </is>
      </c>
      <c r="J145" s="5" t="n">
        <v>23000</v>
      </c>
      <c r="K145" s="5" t="n">
        <v>28000</v>
      </c>
      <c r="L145" s="6" t="n">
        <v>36000</v>
      </c>
      <c r="M145" s="5" t="n"/>
      <c r="N145" s="5">
        <f>IF(AND(ISNUMBER(M145),ISNUMBER(L145)),M145-L145,"")</f>
        <v/>
      </c>
      <c r="O145" s="7">
        <f>IF(AND(ISNUMBER(M145),ISNUMBER(L145),L145&gt;0),(M145-L145)/L145,"")</f>
        <v/>
      </c>
      <c r="P145" s="3">
        <f>IF(O145="","",IF(O145&lt;-0.02,"🔴 Bán phá giá sàn",IF(O145&gt;0.05,"🔵 Bán cao hơn","🟢 Đúng giá sàn TMĐT")))</f>
        <v/>
      </c>
      <c r="Q145" s="3" t="n"/>
      <c r="R145" s="4" t="n"/>
      <c r="S145" s="4" t="n"/>
    </row>
    <row r="146">
      <c r="A146" s="3" t="n">
        <v>145</v>
      </c>
      <c r="B146" s="3" t="inlineStr">
        <is>
          <t>KH001</t>
        </is>
      </c>
      <c r="C146" s="4" t="inlineStr">
        <is>
          <t>Điện nước Nhật (Shop) HCM</t>
        </is>
      </c>
      <c r="D146" s="3" t="inlineStr">
        <is>
          <t>HCM</t>
        </is>
      </c>
      <c r="E146" s="3" t="inlineStr">
        <is>
          <t>BẢO TRÂM</t>
        </is>
      </c>
      <c r="F146" s="3" t="inlineStr">
        <is>
          <t>Shopee</t>
        </is>
      </c>
      <c r="G146" s="3" t="inlineStr">
        <is>
          <t>KBL2-08*160</t>
        </is>
      </c>
      <c r="H146" s="4" t="inlineStr">
        <is>
          <t>Mũi khoan bê tông gài 2 cạnh KBL2-08*160</t>
        </is>
      </c>
      <c r="I146" s="3" t="inlineStr">
        <is>
          <t>Cái</t>
        </is>
      </c>
      <c r="J146" s="5" t="n">
        <v>25000</v>
      </c>
      <c r="K146" s="5" t="n">
        <v>31000</v>
      </c>
      <c r="L146" s="6" t="n">
        <v>39000</v>
      </c>
      <c r="M146" s="5" t="n"/>
      <c r="N146" s="5">
        <f>IF(AND(ISNUMBER(M146),ISNUMBER(L146)),M146-L146,"")</f>
        <v/>
      </c>
      <c r="O146" s="7">
        <f>IF(AND(ISNUMBER(M146),ISNUMBER(L146),L146&gt;0),(M146-L146)/L146,"")</f>
        <v/>
      </c>
      <c r="P146" s="3">
        <f>IF(O146="","",IF(O146&lt;-0.02,"🔴 Bán phá giá sàn",IF(O146&gt;0.05,"🔵 Bán cao hơn","🟢 Đúng giá sàn TMĐT")))</f>
        <v/>
      </c>
      <c r="Q146" s="3" t="n"/>
      <c r="R146" s="4" t="n"/>
      <c r="S146" s="4" t="n"/>
    </row>
    <row r="147">
      <c r="A147" s="3" t="n">
        <v>146</v>
      </c>
      <c r="B147" s="3" t="inlineStr">
        <is>
          <t>KH001</t>
        </is>
      </c>
      <c r="C147" s="4" t="inlineStr">
        <is>
          <t>Điện nước Nhật (Shop) HCM</t>
        </is>
      </c>
      <c r="D147" s="3" t="inlineStr">
        <is>
          <t>HCM</t>
        </is>
      </c>
      <c r="E147" s="3" t="inlineStr">
        <is>
          <t>BẢO TRÂM</t>
        </is>
      </c>
      <c r="F147" s="3" t="inlineStr">
        <is>
          <t>Shopee</t>
        </is>
      </c>
      <c r="G147" s="3" t="inlineStr">
        <is>
          <t>KBL2-10*160</t>
        </is>
      </c>
      <c r="H147" s="4" t="inlineStr">
        <is>
          <t>Mũi khoan bê tông gài 2 cạnh KBL2-10*160</t>
        </is>
      </c>
      <c r="I147" s="3" t="inlineStr">
        <is>
          <t>Cái</t>
        </is>
      </c>
      <c r="J147" s="5" t="n">
        <v>25000</v>
      </c>
      <c r="K147" s="5" t="n">
        <v>31000</v>
      </c>
      <c r="L147" s="6" t="n">
        <v>39000</v>
      </c>
      <c r="M147" s="5" t="n"/>
      <c r="N147" s="5">
        <f>IF(AND(ISNUMBER(M147),ISNUMBER(L147)),M147-L147,"")</f>
        <v/>
      </c>
      <c r="O147" s="7">
        <f>IF(AND(ISNUMBER(M147),ISNUMBER(L147),L147&gt;0),(M147-L147)/L147,"")</f>
        <v/>
      </c>
      <c r="P147" s="3">
        <f>IF(O147="","",IF(O147&lt;-0.02,"🔴 Bán phá giá sàn",IF(O147&gt;0.05,"🔵 Bán cao hơn","🟢 Đúng giá sàn TMĐT")))</f>
        <v/>
      </c>
      <c r="Q147" s="3" t="n"/>
      <c r="R147" s="4" t="n"/>
      <c r="S147" s="4" t="n"/>
    </row>
    <row r="148">
      <c r="A148" s="3" t="n">
        <v>147</v>
      </c>
      <c r="B148" s="3" t="inlineStr">
        <is>
          <t>KH001</t>
        </is>
      </c>
      <c r="C148" s="4" t="inlineStr">
        <is>
          <t>Điện nước Nhật (Shop) HCM</t>
        </is>
      </c>
      <c r="D148" s="3" t="inlineStr">
        <is>
          <t>HCM</t>
        </is>
      </c>
      <c r="E148" s="3" t="inlineStr">
        <is>
          <t>BẢO TRÂM</t>
        </is>
      </c>
      <c r="F148" s="3" t="inlineStr">
        <is>
          <t>Shopee</t>
        </is>
      </c>
      <c r="G148" s="3" t="inlineStr">
        <is>
          <t>KBL2-12*160</t>
        </is>
      </c>
      <c r="H148" s="4" t="inlineStr">
        <is>
          <t>Mũi khoan bê tông gài 2 cạnh KBL2-12*160</t>
        </is>
      </c>
      <c r="I148" s="3" t="inlineStr">
        <is>
          <t>Cái</t>
        </is>
      </c>
      <c r="J148" s="5" t="n">
        <v>28000</v>
      </c>
      <c r="K148" s="5" t="n">
        <v>34000</v>
      </c>
      <c r="L148" s="6" t="n">
        <v>43000</v>
      </c>
      <c r="M148" s="5" t="n"/>
      <c r="N148" s="5">
        <f>IF(AND(ISNUMBER(M148),ISNUMBER(L148)),M148-L148,"")</f>
        <v/>
      </c>
      <c r="O148" s="7">
        <f>IF(AND(ISNUMBER(M148),ISNUMBER(L148),L148&gt;0),(M148-L148)/L148,"")</f>
        <v/>
      </c>
      <c r="P148" s="3">
        <f>IF(O148="","",IF(O148&lt;-0.02,"🔴 Bán phá giá sàn",IF(O148&gt;0.05,"🔵 Bán cao hơn","🟢 Đúng giá sàn TMĐT")))</f>
        <v/>
      </c>
      <c r="Q148" s="3" t="n"/>
      <c r="R148" s="4" t="n"/>
      <c r="S148" s="4" t="n"/>
    </row>
    <row r="149">
      <c r="A149" s="3" t="n">
        <v>148</v>
      </c>
      <c r="B149" s="3" t="inlineStr">
        <is>
          <t>KH001</t>
        </is>
      </c>
      <c r="C149" s="4" t="inlineStr">
        <is>
          <t>Điện nước Nhật (Shop) HCM</t>
        </is>
      </c>
      <c r="D149" s="3" t="inlineStr">
        <is>
          <t>HCM</t>
        </is>
      </c>
      <c r="E149" s="3" t="inlineStr">
        <is>
          <t>BẢO TRÂM</t>
        </is>
      </c>
      <c r="F149" s="3" t="inlineStr">
        <is>
          <t>Shopee</t>
        </is>
      </c>
      <c r="G149" s="3" t="inlineStr">
        <is>
          <t>KBL2-14*160</t>
        </is>
      </c>
      <c r="H149" s="4" t="inlineStr">
        <is>
          <t>Mũi khoan bê tông gài 2 cạnh KBL2-14*160</t>
        </is>
      </c>
      <c r="I149" s="3" t="inlineStr">
        <is>
          <t>Cái</t>
        </is>
      </c>
      <c r="J149" s="5" t="n">
        <v>42000</v>
      </c>
      <c r="K149" s="5" t="n">
        <v>51000</v>
      </c>
      <c r="L149" s="6" t="n">
        <v>65000</v>
      </c>
      <c r="M149" s="5" t="n"/>
      <c r="N149" s="5">
        <f>IF(AND(ISNUMBER(M149),ISNUMBER(L149)),M149-L149,"")</f>
        <v/>
      </c>
      <c r="O149" s="7">
        <f>IF(AND(ISNUMBER(M149),ISNUMBER(L149),L149&gt;0),(M149-L149)/L149,"")</f>
        <v/>
      </c>
      <c r="P149" s="3">
        <f>IF(O149="","",IF(O149&lt;-0.02,"🔴 Bán phá giá sàn",IF(O149&gt;0.05,"🔵 Bán cao hơn","🟢 Đúng giá sàn TMĐT")))</f>
        <v/>
      </c>
      <c r="Q149" s="3" t="n"/>
      <c r="R149" s="4" t="n"/>
      <c r="S149" s="4" t="n"/>
    </row>
    <row r="150">
      <c r="A150" s="3" t="n">
        <v>149</v>
      </c>
      <c r="B150" s="3" t="inlineStr">
        <is>
          <t>KH001</t>
        </is>
      </c>
      <c r="C150" s="4" t="inlineStr">
        <is>
          <t>Điện nước Nhật (Shop) HCM</t>
        </is>
      </c>
      <c r="D150" s="3" t="inlineStr">
        <is>
          <t>HCM</t>
        </is>
      </c>
      <c r="E150" s="3" t="inlineStr">
        <is>
          <t>BẢO TRÂM</t>
        </is>
      </c>
      <c r="F150" s="3" t="inlineStr">
        <is>
          <t>Shopee</t>
        </is>
      </c>
      <c r="G150" s="3" t="inlineStr">
        <is>
          <t>KBL2-16*160</t>
        </is>
      </c>
      <c r="H150" s="4" t="inlineStr">
        <is>
          <t>Mũi khoan bê tông gài 2 cạnh KBL2-16*160</t>
        </is>
      </c>
      <c r="I150" s="3" t="inlineStr">
        <is>
          <t>Cái</t>
        </is>
      </c>
      <c r="J150" s="5" t="n">
        <v>49000</v>
      </c>
      <c r="K150" s="5" t="n">
        <v>60000</v>
      </c>
      <c r="L150" s="6" t="n">
        <v>76000</v>
      </c>
      <c r="M150" s="5" t="n"/>
      <c r="N150" s="5">
        <f>IF(AND(ISNUMBER(M150),ISNUMBER(L150)),M150-L150,"")</f>
        <v/>
      </c>
      <c r="O150" s="7">
        <f>IF(AND(ISNUMBER(M150),ISNUMBER(L150),L150&gt;0),(M150-L150)/L150,"")</f>
        <v/>
      </c>
      <c r="P150" s="3">
        <f>IF(O150="","",IF(O150&lt;-0.02,"🔴 Bán phá giá sàn",IF(O150&gt;0.05,"🔵 Bán cao hơn","🟢 Đúng giá sàn TMĐT")))</f>
        <v/>
      </c>
      <c r="Q150" s="3" t="n"/>
      <c r="R150" s="4" t="n"/>
      <c r="S150" s="4" t="n"/>
    </row>
    <row r="151">
      <c r="A151" s="3" t="n">
        <v>150</v>
      </c>
      <c r="B151" s="3" t="inlineStr">
        <is>
          <t>KH001</t>
        </is>
      </c>
      <c r="C151" s="4" t="inlineStr">
        <is>
          <t>Điện nước Nhật (Shop) HCM</t>
        </is>
      </c>
      <c r="D151" s="3" t="inlineStr">
        <is>
          <t>HCM</t>
        </is>
      </c>
      <c r="E151" s="3" t="inlineStr">
        <is>
          <t>BẢO TRÂM</t>
        </is>
      </c>
      <c r="F151" s="3" t="inlineStr">
        <is>
          <t>Shopee</t>
        </is>
      </c>
      <c r="G151" s="3" t="inlineStr">
        <is>
          <t>KBL4-14*160</t>
        </is>
      </c>
      <c r="H151" s="4" t="inlineStr">
        <is>
          <t>Mũi khoan bê tông gài 4 cạnh KBL4-14*160</t>
        </is>
      </c>
      <c r="I151" s="3" t="inlineStr">
        <is>
          <t>Cái</t>
        </is>
      </c>
      <c r="J151" s="5" t="n">
        <v>51000</v>
      </c>
      <c r="K151" s="5" t="n">
        <v>62000</v>
      </c>
      <c r="L151" s="6" t="n">
        <v>79000</v>
      </c>
      <c r="M151" s="5" t="n"/>
      <c r="N151" s="5">
        <f>IF(AND(ISNUMBER(M151),ISNUMBER(L151)),M151-L151,"")</f>
        <v/>
      </c>
      <c r="O151" s="7">
        <f>IF(AND(ISNUMBER(M151),ISNUMBER(L151),L151&gt;0),(M151-L151)/L151,"")</f>
        <v/>
      </c>
      <c r="P151" s="3">
        <f>IF(O151="","",IF(O151&lt;-0.02,"🔴 Bán phá giá sàn",IF(O151&gt;0.05,"🔵 Bán cao hơn","🟢 Đúng giá sàn TMĐT")))</f>
        <v/>
      </c>
      <c r="Q151" s="3" t="n"/>
      <c r="R151" s="4" t="n"/>
      <c r="S151" s="4" t="n"/>
    </row>
    <row r="152">
      <c r="A152" s="3" t="n">
        <v>151</v>
      </c>
      <c r="B152" s="3" t="inlineStr">
        <is>
          <t>KH001</t>
        </is>
      </c>
      <c r="C152" s="4" t="inlineStr">
        <is>
          <t>Điện nước Nhật (Shop) HCM</t>
        </is>
      </c>
      <c r="D152" s="3" t="inlineStr">
        <is>
          <t>HCM</t>
        </is>
      </c>
      <c r="E152" s="3" t="inlineStr">
        <is>
          <t>BẢO TRÂM</t>
        </is>
      </c>
      <c r="F152" s="3" t="inlineStr">
        <is>
          <t>Shopee</t>
        </is>
      </c>
      <c r="G152" s="3" t="inlineStr">
        <is>
          <t>KBL4-16*160</t>
        </is>
      </c>
      <c r="H152" s="4" t="inlineStr">
        <is>
          <t>Mũi khoan bê tông gài 4 cạnh KBL4-16*160</t>
        </is>
      </c>
      <c r="I152" s="3" t="inlineStr">
        <is>
          <t>Cái</t>
        </is>
      </c>
      <c r="J152" s="5" t="n">
        <v>59000</v>
      </c>
      <c r="K152" s="5" t="n">
        <v>72000</v>
      </c>
      <c r="L152" s="6" t="n">
        <v>92000</v>
      </c>
      <c r="M152" s="5" t="n"/>
      <c r="N152" s="5">
        <f>IF(AND(ISNUMBER(M152),ISNUMBER(L152)),M152-L152,"")</f>
        <v/>
      </c>
      <c r="O152" s="7">
        <f>IF(AND(ISNUMBER(M152),ISNUMBER(L152),L152&gt;0),(M152-L152)/L152,"")</f>
        <v/>
      </c>
      <c r="P152" s="3">
        <f>IF(O152="","",IF(O152&lt;-0.02,"🔴 Bán phá giá sàn",IF(O152&gt;0.05,"🔵 Bán cao hơn","🟢 Đúng giá sàn TMĐT")))</f>
        <v/>
      </c>
      <c r="Q152" s="3" t="n"/>
      <c r="R152" s="4" t="n"/>
      <c r="S152" s="4" t="n"/>
    </row>
    <row r="153">
      <c r="A153" s="3" t="n">
        <v>152</v>
      </c>
      <c r="B153" s="3" t="inlineStr">
        <is>
          <t>KH001</t>
        </is>
      </c>
      <c r="C153" s="4" t="inlineStr">
        <is>
          <t>Điện nước Nhật (Shop) HCM</t>
        </is>
      </c>
      <c r="D153" s="3" t="inlineStr">
        <is>
          <t>HCM</t>
        </is>
      </c>
      <c r="E153" s="3" t="inlineStr">
        <is>
          <t>BẢO TRÂM</t>
        </is>
      </c>
      <c r="F153" s="3" t="inlineStr">
        <is>
          <t>Shopee</t>
        </is>
      </c>
      <c r="G153" s="3" t="inlineStr">
        <is>
          <t>KBL2-08*310</t>
        </is>
      </c>
      <c r="H153" s="4" t="inlineStr">
        <is>
          <t>Mũi khoan bê tông gài xuyên tường 2 cạnh KBL2-08*310</t>
        </is>
      </c>
      <c r="I153" s="3" t="inlineStr">
        <is>
          <t>Cái</t>
        </is>
      </c>
      <c r="J153" s="5" t="n">
        <v>40000</v>
      </c>
      <c r="K153" s="5" t="n">
        <v>49000</v>
      </c>
      <c r="L153" s="6" t="n">
        <v>62000</v>
      </c>
      <c r="M153" s="5" t="n"/>
      <c r="N153" s="5">
        <f>IF(AND(ISNUMBER(M153),ISNUMBER(L153)),M153-L153,"")</f>
        <v/>
      </c>
      <c r="O153" s="7">
        <f>IF(AND(ISNUMBER(M153),ISNUMBER(L153),L153&gt;0),(M153-L153)/L153,"")</f>
        <v/>
      </c>
      <c r="P153" s="3">
        <f>IF(O153="","",IF(O153&lt;-0.02,"🔴 Bán phá giá sàn",IF(O153&gt;0.05,"🔵 Bán cao hơn","🟢 Đúng giá sàn TMĐT")))</f>
        <v/>
      </c>
      <c r="Q153" s="3" t="n"/>
      <c r="R153" s="4" t="n"/>
      <c r="S153" s="4" t="n"/>
    </row>
    <row r="154">
      <c r="A154" s="3" t="n">
        <v>153</v>
      </c>
      <c r="B154" s="3" t="inlineStr">
        <is>
          <t>KH001</t>
        </is>
      </c>
      <c r="C154" s="4" t="inlineStr">
        <is>
          <t>Điện nước Nhật (Shop) HCM</t>
        </is>
      </c>
      <c r="D154" s="3" t="inlineStr">
        <is>
          <t>HCM</t>
        </is>
      </c>
      <c r="E154" s="3" t="inlineStr">
        <is>
          <t>BẢO TRÂM</t>
        </is>
      </c>
      <c r="F154" s="3" t="inlineStr">
        <is>
          <t>Shopee</t>
        </is>
      </c>
      <c r="G154" s="3" t="inlineStr">
        <is>
          <t>KBL2-10*310</t>
        </is>
      </c>
      <c r="H154" s="4" t="inlineStr">
        <is>
          <t>Mũi khoan bê tông gài xuyên tường 2 cạnh KBL2-10*310</t>
        </is>
      </c>
      <c r="I154" s="3" t="inlineStr">
        <is>
          <t>Cái</t>
        </is>
      </c>
      <c r="J154" s="5" t="n">
        <v>44000</v>
      </c>
      <c r="K154" s="5" t="n">
        <v>54000</v>
      </c>
      <c r="L154" s="6" t="n">
        <v>68000</v>
      </c>
      <c r="M154" s="5" t="n"/>
      <c r="N154" s="5">
        <f>IF(AND(ISNUMBER(M154),ISNUMBER(L154)),M154-L154,"")</f>
        <v/>
      </c>
      <c r="O154" s="7">
        <f>IF(AND(ISNUMBER(M154),ISNUMBER(L154),L154&gt;0),(M154-L154)/L154,"")</f>
        <v/>
      </c>
      <c r="P154" s="3">
        <f>IF(O154="","",IF(O154&lt;-0.02,"🔴 Bán phá giá sàn",IF(O154&gt;0.05,"🔵 Bán cao hơn","🟢 Đúng giá sàn TMĐT")))</f>
        <v/>
      </c>
      <c r="Q154" s="3" t="n"/>
      <c r="R154" s="4" t="n"/>
      <c r="S154" s="4" t="n"/>
    </row>
    <row r="155">
      <c r="A155" s="3" t="n">
        <v>154</v>
      </c>
      <c r="B155" s="3" t="inlineStr">
        <is>
          <t>KH001</t>
        </is>
      </c>
      <c r="C155" s="4" t="inlineStr">
        <is>
          <t>Điện nước Nhật (Shop) HCM</t>
        </is>
      </c>
      <c r="D155" s="3" t="inlineStr">
        <is>
          <t>HCM</t>
        </is>
      </c>
      <c r="E155" s="3" t="inlineStr">
        <is>
          <t>BẢO TRÂM</t>
        </is>
      </c>
      <c r="F155" s="3" t="inlineStr">
        <is>
          <t>Shopee</t>
        </is>
      </c>
      <c r="G155" s="3" t="inlineStr">
        <is>
          <t>KBL2-12*310</t>
        </is>
      </c>
      <c r="H155" s="4" t="inlineStr">
        <is>
          <t>Mũi khoan bê tông gài xuyên tường 2 cạnh KBL2-12*310</t>
        </is>
      </c>
      <c r="I155" s="3" t="inlineStr">
        <is>
          <t>Cái</t>
        </is>
      </c>
      <c r="J155" s="5" t="n">
        <v>45000</v>
      </c>
      <c r="K155" s="5" t="n">
        <v>55000</v>
      </c>
      <c r="L155" s="6" t="n">
        <v>70000</v>
      </c>
      <c r="M155" s="5" t="n"/>
      <c r="N155" s="5">
        <f>IF(AND(ISNUMBER(M155),ISNUMBER(L155)),M155-L155,"")</f>
        <v/>
      </c>
      <c r="O155" s="7">
        <f>IF(AND(ISNUMBER(M155),ISNUMBER(L155),L155&gt;0),(M155-L155)/L155,"")</f>
        <v/>
      </c>
      <c r="P155" s="3">
        <f>IF(O155="","",IF(O155&lt;-0.02,"🔴 Bán phá giá sàn",IF(O155&gt;0.05,"🔵 Bán cao hơn","🟢 Đúng giá sàn TMĐT")))</f>
        <v/>
      </c>
      <c r="Q155" s="3" t="n"/>
      <c r="R155" s="4" t="n"/>
      <c r="S155" s="4" t="n"/>
    </row>
    <row r="156">
      <c r="A156" s="3" t="n">
        <v>155</v>
      </c>
      <c r="B156" s="3" t="inlineStr">
        <is>
          <t>KH001</t>
        </is>
      </c>
      <c r="C156" s="4" t="inlineStr">
        <is>
          <t>Điện nước Nhật (Shop) HCM</t>
        </is>
      </c>
      <c r="D156" s="3" t="inlineStr">
        <is>
          <t>HCM</t>
        </is>
      </c>
      <c r="E156" s="3" t="inlineStr">
        <is>
          <t>BẢO TRÂM</t>
        </is>
      </c>
      <c r="F156" s="3" t="inlineStr">
        <is>
          <t>Shopee</t>
        </is>
      </c>
      <c r="G156" s="3" t="inlineStr">
        <is>
          <t>KBL2-14*310</t>
        </is>
      </c>
      <c r="H156" s="4" t="inlineStr">
        <is>
          <t>Mũi khoan bê tông gài xuyên tường 2 cạnh KBL2-14*310</t>
        </is>
      </c>
      <c r="I156" s="3" t="inlineStr">
        <is>
          <t>Cái</t>
        </is>
      </c>
      <c r="J156" s="5" t="n">
        <v>53000</v>
      </c>
      <c r="K156" s="5" t="n">
        <v>65000</v>
      </c>
      <c r="L156" s="6" t="n">
        <v>82000</v>
      </c>
      <c r="M156" s="5" t="n"/>
      <c r="N156" s="5">
        <f>IF(AND(ISNUMBER(M156),ISNUMBER(L156)),M156-L156,"")</f>
        <v/>
      </c>
      <c r="O156" s="7">
        <f>IF(AND(ISNUMBER(M156),ISNUMBER(L156),L156&gt;0),(M156-L156)/L156,"")</f>
        <v/>
      </c>
      <c r="P156" s="3">
        <f>IF(O156="","",IF(O156&lt;-0.02,"🔴 Bán phá giá sàn",IF(O156&gt;0.05,"🔵 Bán cao hơn","🟢 Đúng giá sàn TMĐT")))</f>
        <v/>
      </c>
      <c r="Q156" s="3" t="n"/>
      <c r="R156" s="4" t="n"/>
      <c r="S156" s="4" t="n"/>
    </row>
    <row r="157">
      <c r="A157" s="3" t="n">
        <v>156</v>
      </c>
      <c r="B157" s="3" t="inlineStr">
        <is>
          <t>KH001</t>
        </is>
      </c>
      <c r="C157" s="4" t="inlineStr">
        <is>
          <t>Điện nước Nhật (Shop) HCM</t>
        </is>
      </c>
      <c r="D157" s="3" t="inlineStr">
        <is>
          <t>HCM</t>
        </is>
      </c>
      <c r="E157" s="3" t="inlineStr">
        <is>
          <t>BẢO TRÂM</t>
        </is>
      </c>
      <c r="F157" s="3" t="inlineStr">
        <is>
          <t>Shopee</t>
        </is>
      </c>
      <c r="G157" s="3" t="inlineStr">
        <is>
          <t>KBL2-16*310</t>
        </is>
      </c>
      <c r="H157" s="4" t="inlineStr">
        <is>
          <t>Mũi khoan bê tông gài xuyên tường 2 cạnh KBL2-16*310</t>
        </is>
      </c>
      <c r="I157" s="3" t="inlineStr">
        <is>
          <t>Cái</t>
        </is>
      </c>
      <c r="J157" s="5" t="n">
        <v>67000</v>
      </c>
      <c r="K157" s="5" t="n">
        <v>82000</v>
      </c>
      <c r="L157" s="6" t="n">
        <v>104000</v>
      </c>
      <c r="M157" s="5" t="n"/>
      <c r="N157" s="5">
        <f>IF(AND(ISNUMBER(M157),ISNUMBER(L157)),M157-L157,"")</f>
        <v/>
      </c>
      <c r="O157" s="7">
        <f>IF(AND(ISNUMBER(M157),ISNUMBER(L157),L157&gt;0),(M157-L157)/L157,"")</f>
        <v/>
      </c>
      <c r="P157" s="3">
        <f>IF(O157="","",IF(O157&lt;-0.02,"🔴 Bán phá giá sàn",IF(O157&gt;0.05,"🔵 Bán cao hơn","🟢 Đúng giá sàn TMĐT")))</f>
        <v/>
      </c>
      <c r="Q157" s="3" t="n"/>
      <c r="R157" s="4" t="n"/>
      <c r="S157" s="4" t="n"/>
    </row>
    <row r="158">
      <c r="A158" s="3" t="n">
        <v>157</v>
      </c>
      <c r="B158" s="3" t="inlineStr">
        <is>
          <t>KH001</t>
        </is>
      </c>
      <c r="C158" s="4" t="inlineStr">
        <is>
          <t>Điện nước Nhật (Shop) HCM</t>
        </is>
      </c>
      <c r="D158" s="3" t="inlineStr">
        <is>
          <t>HCM</t>
        </is>
      </c>
      <c r="E158" s="3" t="inlineStr">
        <is>
          <t>BẢO TRÂM</t>
        </is>
      </c>
      <c r="F158" s="3" t="inlineStr">
        <is>
          <t>Shopee</t>
        </is>
      </c>
      <c r="G158" s="3" t="inlineStr">
        <is>
          <t>KBL2-18*310</t>
        </is>
      </c>
      <c r="H158" s="4" t="inlineStr">
        <is>
          <t>Mũi khoan bê tông gài xuyên tường 2 cạnh KBL2-18*310</t>
        </is>
      </c>
      <c r="I158" s="3" t="inlineStr">
        <is>
          <t>Cái</t>
        </is>
      </c>
      <c r="J158" s="5" t="n">
        <v>84000</v>
      </c>
      <c r="K158" s="5" t="n">
        <v>102000</v>
      </c>
      <c r="L158" s="6" t="n">
        <v>130000</v>
      </c>
      <c r="M158" s="5" t="n"/>
      <c r="N158" s="5">
        <f>IF(AND(ISNUMBER(M158),ISNUMBER(L158)),M158-L158,"")</f>
        <v/>
      </c>
      <c r="O158" s="7">
        <f>IF(AND(ISNUMBER(M158),ISNUMBER(L158),L158&gt;0),(M158-L158)/L158,"")</f>
        <v/>
      </c>
      <c r="P158" s="3">
        <f>IF(O158="","",IF(O158&lt;-0.02,"🔴 Bán phá giá sàn",IF(O158&gt;0.05,"🔵 Bán cao hơn","🟢 Đúng giá sàn TMĐT")))</f>
        <v/>
      </c>
      <c r="Q158" s="3" t="n"/>
      <c r="R158" s="4" t="n"/>
      <c r="S158" s="4" t="n"/>
    </row>
    <row r="159">
      <c r="A159" s="3" t="n">
        <v>158</v>
      </c>
      <c r="B159" s="3" t="inlineStr">
        <is>
          <t>KH001</t>
        </is>
      </c>
      <c r="C159" s="4" t="inlineStr">
        <is>
          <t>Điện nước Nhật (Shop) HCM</t>
        </is>
      </c>
      <c r="D159" s="3" t="inlineStr">
        <is>
          <t>HCM</t>
        </is>
      </c>
      <c r="E159" s="3" t="inlineStr">
        <is>
          <t>BẢO TRÂM</t>
        </is>
      </c>
      <c r="F159" s="3" t="inlineStr">
        <is>
          <t>Shopee</t>
        </is>
      </c>
      <c r="G159" s="3" t="inlineStr">
        <is>
          <t>KBL2-20*310</t>
        </is>
      </c>
      <c r="H159" s="4" t="inlineStr">
        <is>
          <t>Mũi khoan bê tông gài xuyên tường 2 cạnh KBL2-20*310</t>
        </is>
      </c>
      <c r="I159" s="3" t="inlineStr">
        <is>
          <t>Cái</t>
        </is>
      </c>
      <c r="J159" s="5" t="n">
        <v>98000</v>
      </c>
      <c r="K159" s="5" t="n">
        <v>120000</v>
      </c>
      <c r="L159" s="6" t="n">
        <v>152000</v>
      </c>
      <c r="M159" s="5" t="n"/>
      <c r="N159" s="5">
        <f>IF(AND(ISNUMBER(M159),ISNUMBER(L159)),M159-L159,"")</f>
        <v/>
      </c>
      <c r="O159" s="7">
        <f>IF(AND(ISNUMBER(M159),ISNUMBER(L159),L159&gt;0),(M159-L159)/L159,"")</f>
        <v/>
      </c>
      <c r="P159" s="3">
        <f>IF(O159="","",IF(O159&lt;-0.02,"🔴 Bán phá giá sàn",IF(O159&gt;0.05,"🔵 Bán cao hơn","🟢 Đúng giá sàn TMĐT")))</f>
        <v/>
      </c>
      <c r="Q159" s="3" t="n"/>
      <c r="R159" s="4" t="n"/>
      <c r="S159" s="4" t="n"/>
    </row>
    <row r="160">
      <c r="A160" s="3" t="n">
        <v>159</v>
      </c>
      <c r="B160" s="3" t="inlineStr">
        <is>
          <t>KH001</t>
        </is>
      </c>
      <c r="C160" s="4" t="inlineStr">
        <is>
          <t>Điện nước Nhật (Shop) HCM</t>
        </is>
      </c>
      <c r="D160" s="3" t="inlineStr">
        <is>
          <t>HCM</t>
        </is>
      </c>
      <c r="E160" s="3" t="inlineStr">
        <is>
          <t>BẢO TRÂM</t>
        </is>
      </c>
      <c r="F160" s="3" t="inlineStr">
        <is>
          <t>Shopee</t>
        </is>
      </c>
      <c r="G160" s="3" t="inlineStr">
        <is>
          <t>KBL2-22*310</t>
        </is>
      </c>
      <c r="H160" s="4" t="inlineStr">
        <is>
          <t>Mũi khoan bê tông gài xuyên tường 2 cạnh KBL2-22*310</t>
        </is>
      </c>
      <c r="I160" s="3" t="inlineStr">
        <is>
          <t>Cái</t>
        </is>
      </c>
      <c r="J160" s="5" t="n">
        <v>120000</v>
      </c>
      <c r="K160" s="5" t="n">
        <v>146000</v>
      </c>
      <c r="L160" s="6" t="n">
        <v>186000</v>
      </c>
      <c r="M160" s="5" t="n"/>
      <c r="N160" s="5">
        <f>IF(AND(ISNUMBER(M160),ISNUMBER(L160)),M160-L160,"")</f>
        <v/>
      </c>
      <c r="O160" s="7">
        <f>IF(AND(ISNUMBER(M160),ISNUMBER(L160),L160&gt;0),(M160-L160)/L160,"")</f>
        <v/>
      </c>
      <c r="P160" s="3">
        <f>IF(O160="","",IF(O160&lt;-0.02,"🔴 Bán phá giá sàn",IF(O160&gt;0.05,"🔵 Bán cao hơn","🟢 Đúng giá sàn TMĐT")))</f>
        <v/>
      </c>
      <c r="Q160" s="3" t="n"/>
      <c r="R160" s="4" t="n"/>
      <c r="S160" s="4" t="n"/>
    </row>
    <row r="161">
      <c r="A161" s="3" t="n">
        <v>160</v>
      </c>
      <c r="B161" s="3" t="inlineStr">
        <is>
          <t>KH001</t>
        </is>
      </c>
      <c r="C161" s="4" t="inlineStr">
        <is>
          <t>Điện nước Nhật (Shop) HCM</t>
        </is>
      </c>
      <c r="D161" s="3" t="inlineStr">
        <is>
          <t>HCM</t>
        </is>
      </c>
      <c r="E161" s="3" t="inlineStr">
        <is>
          <t>BẢO TRÂM</t>
        </is>
      </c>
      <c r="F161" s="3" t="inlineStr">
        <is>
          <t>Shopee</t>
        </is>
      </c>
      <c r="G161" s="3" t="inlineStr">
        <is>
          <t>KBL2-3.5*110</t>
        </is>
      </c>
      <c r="H161" s="4" t="inlineStr">
        <is>
          <t>Mũi khoan bê tông không tắc kê KBL2-3.5*110</t>
        </is>
      </c>
      <c r="I161" s="3" t="inlineStr">
        <is>
          <t>Cái</t>
        </is>
      </c>
      <c r="J161" s="5" t="n">
        <v>23000</v>
      </c>
      <c r="K161" s="5" t="n">
        <v>29000</v>
      </c>
      <c r="L161" s="6" t="n">
        <v>38000</v>
      </c>
      <c r="M161" s="5" t="n"/>
      <c r="N161" s="5">
        <f>IF(AND(ISNUMBER(M161),ISNUMBER(L161)),M161-L161,"")</f>
        <v/>
      </c>
      <c r="O161" s="7">
        <f>IF(AND(ISNUMBER(M161),ISNUMBER(L161),L161&gt;0),(M161-L161)/L161,"")</f>
        <v/>
      </c>
      <c r="P161" s="3">
        <f>IF(O161="","",IF(O161&lt;-0.02,"🔴 Bán phá giá sàn",IF(O161&gt;0.05,"🔵 Bán cao hơn","🟢 Đúng giá sàn TMĐT")))</f>
        <v/>
      </c>
      <c r="Q161" s="3" t="n"/>
      <c r="R161" s="4" t="n"/>
      <c r="S161" s="4" t="n"/>
    </row>
    <row r="162">
      <c r="A162" s="3" t="n">
        <v>161</v>
      </c>
      <c r="B162" s="3" t="inlineStr">
        <is>
          <t>KH001</t>
        </is>
      </c>
      <c r="C162" s="4" t="inlineStr">
        <is>
          <t>Điện nước Nhật (Shop) HCM</t>
        </is>
      </c>
      <c r="D162" s="3" t="inlineStr">
        <is>
          <t>HCM</t>
        </is>
      </c>
      <c r="E162" s="3" t="inlineStr">
        <is>
          <t>BẢO TRÂM</t>
        </is>
      </c>
      <c r="F162" s="3" t="inlineStr">
        <is>
          <t>Shopee</t>
        </is>
      </c>
      <c r="G162" s="3" t="inlineStr">
        <is>
          <t>KBK-06</t>
        </is>
      </c>
      <c r="H162" s="4" t="inlineStr">
        <is>
          <t>Mũi khoan đá KBK-06</t>
        </is>
      </c>
      <c r="I162" s="3" t="inlineStr">
        <is>
          <t>Cái</t>
        </is>
      </c>
      <c r="J162" s="5" t="n">
        <v>22000</v>
      </c>
      <c r="K162" s="5" t="n">
        <v>27000</v>
      </c>
      <c r="L162" s="6" t="n">
        <v>35000</v>
      </c>
      <c r="M162" s="5" t="n"/>
      <c r="N162" s="5">
        <f>IF(AND(ISNUMBER(M162),ISNUMBER(L162)),M162-L162,"")</f>
        <v/>
      </c>
      <c r="O162" s="7">
        <f>IF(AND(ISNUMBER(M162),ISNUMBER(L162),L162&gt;0),(M162-L162)/L162,"")</f>
        <v/>
      </c>
      <c r="P162" s="3">
        <f>IF(O162="","",IF(O162&lt;-0.02,"🔴 Bán phá giá sàn",IF(O162&gt;0.05,"🔵 Bán cao hơn","🟢 Đúng giá sàn TMĐT")))</f>
        <v/>
      </c>
      <c r="Q162" s="3" t="n"/>
      <c r="R162" s="4" t="n"/>
      <c r="S162" s="4" t="n"/>
    </row>
    <row r="163">
      <c r="A163" s="3" t="n">
        <v>162</v>
      </c>
      <c r="B163" s="3" t="inlineStr">
        <is>
          <t>KH001</t>
        </is>
      </c>
      <c r="C163" s="4" t="inlineStr">
        <is>
          <t>Điện nước Nhật (Shop) HCM</t>
        </is>
      </c>
      <c r="D163" s="3" t="inlineStr">
        <is>
          <t>HCM</t>
        </is>
      </c>
      <c r="E163" s="3" t="inlineStr">
        <is>
          <t>BẢO TRÂM</t>
        </is>
      </c>
      <c r="F163" s="3" t="inlineStr">
        <is>
          <t>Shopee</t>
        </is>
      </c>
      <c r="G163" s="3" t="inlineStr">
        <is>
          <t>KBK-08</t>
        </is>
      </c>
      <c r="H163" s="4" t="inlineStr">
        <is>
          <t>Mũi khoan đá KBK-08</t>
        </is>
      </c>
      <c r="I163" s="3" t="inlineStr">
        <is>
          <t>Cái</t>
        </is>
      </c>
      <c r="J163" s="5" t="n">
        <v>25000</v>
      </c>
      <c r="K163" s="5" t="n">
        <v>31000</v>
      </c>
      <c r="L163" s="6" t="n">
        <v>40000</v>
      </c>
      <c r="M163" s="5" t="n"/>
      <c r="N163" s="5">
        <f>IF(AND(ISNUMBER(M163),ISNUMBER(L163)),M163-L163,"")</f>
        <v/>
      </c>
      <c r="O163" s="7">
        <f>IF(AND(ISNUMBER(M163),ISNUMBER(L163),L163&gt;0),(M163-L163)/L163,"")</f>
        <v/>
      </c>
      <c r="P163" s="3">
        <f>IF(O163="","",IF(O163&lt;-0.02,"🔴 Bán phá giá sàn",IF(O163&gt;0.05,"🔵 Bán cao hơn","🟢 Đúng giá sàn TMĐT")))</f>
        <v/>
      </c>
      <c r="Q163" s="3" t="n"/>
      <c r="R163" s="4" t="n"/>
      <c r="S163" s="4" t="n"/>
    </row>
    <row r="164">
      <c r="A164" s="3" t="n">
        <v>163</v>
      </c>
      <c r="B164" s="3" t="inlineStr">
        <is>
          <t>KH001</t>
        </is>
      </c>
      <c r="C164" s="4" t="inlineStr">
        <is>
          <t>Điện nước Nhật (Shop) HCM</t>
        </is>
      </c>
      <c r="D164" s="3" t="inlineStr">
        <is>
          <t>HCM</t>
        </is>
      </c>
      <c r="E164" s="3" t="inlineStr">
        <is>
          <t>BẢO TRÂM</t>
        </is>
      </c>
      <c r="F164" s="3" t="inlineStr">
        <is>
          <t>Shopee</t>
        </is>
      </c>
      <c r="G164" s="3" t="inlineStr">
        <is>
          <t>KBK-10</t>
        </is>
      </c>
      <c r="H164" s="4" t="inlineStr">
        <is>
          <t>Mũi khoan đá KBK-10</t>
        </is>
      </c>
      <c r="I164" s="3" t="inlineStr">
        <is>
          <t>Cái</t>
        </is>
      </c>
      <c r="J164" s="5" t="n">
        <v>32000</v>
      </c>
      <c r="K164" s="5" t="n">
        <v>40000</v>
      </c>
      <c r="L164" s="6" t="n">
        <v>51000</v>
      </c>
      <c r="M164" s="5" t="n"/>
      <c r="N164" s="5">
        <f>IF(AND(ISNUMBER(M164),ISNUMBER(L164)),M164-L164,"")</f>
        <v/>
      </c>
      <c r="O164" s="7">
        <f>IF(AND(ISNUMBER(M164),ISNUMBER(L164),L164&gt;0),(M164-L164)/L164,"")</f>
        <v/>
      </c>
      <c r="P164" s="3">
        <f>IF(O164="","",IF(O164&lt;-0.02,"🔴 Bán phá giá sàn",IF(O164&gt;0.05,"🔵 Bán cao hơn","🟢 Đúng giá sàn TMĐT")))</f>
        <v/>
      </c>
      <c r="Q164" s="3" t="n"/>
      <c r="R164" s="4" t="n"/>
      <c r="S164" s="4" t="n"/>
    </row>
    <row r="165">
      <c r="A165" s="3" t="n">
        <v>164</v>
      </c>
      <c r="B165" s="3" t="inlineStr">
        <is>
          <t>KH001</t>
        </is>
      </c>
      <c r="C165" s="4" t="inlineStr">
        <is>
          <t>Điện nước Nhật (Shop) HCM</t>
        </is>
      </c>
      <c r="D165" s="3" t="inlineStr">
        <is>
          <t>HCM</t>
        </is>
      </c>
      <c r="E165" s="3" t="inlineStr">
        <is>
          <t>BẢO TRÂM</t>
        </is>
      </c>
      <c r="F165" s="3" t="inlineStr">
        <is>
          <t>Shopee</t>
        </is>
      </c>
      <c r="G165" s="3" t="inlineStr">
        <is>
          <t>KBK-16</t>
        </is>
      </c>
      <c r="H165" s="4" t="inlineStr">
        <is>
          <t>Mũi khoan đá KBK-16</t>
        </is>
      </c>
      <c r="I165" s="3" t="inlineStr">
        <is>
          <t>Cái</t>
        </is>
      </c>
      <c r="J165" s="5" t="n">
        <v>48000</v>
      </c>
      <c r="K165" s="5" t="n">
        <v>60000</v>
      </c>
      <c r="L165" s="6" t="n">
        <v>77000</v>
      </c>
      <c r="M165" s="5" t="n"/>
      <c r="N165" s="5">
        <f>IF(AND(ISNUMBER(M165),ISNUMBER(L165)),M165-L165,"")</f>
        <v/>
      </c>
      <c r="O165" s="7">
        <f>IF(AND(ISNUMBER(M165),ISNUMBER(L165),L165&gt;0),(M165-L165)/L165,"")</f>
        <v/>
      </c>
      <c r="P165" s="3">
        <f>IF(O165="","",IF(O165&lt;-0.02,"🔴 Bán phá giá sàn",IF(O165&gt;0.05,"🔵 Bán cao hơn","🟢 Đúng giá sàn TMĐT")))</f>
        <v/>
      </c>
      <c r="Q165" s="3" t="n"/>
      <c r="R165" s="4" t="n"/>
      <c r="S165" s="4" t="n"/>
    </row>
    <row r="166">
      <c r="A166" s="3" t="n">
        <v>165</v>
      </c>
      <c r="B166" s="3" t="inlineStr">
        <is>
          <t>KH001</t>
        </is>
      </c>
      <c r="C166" s="4" t="inlineStr">
        <is>
          <t>Điện nước Nhật (Shop) HCM</t>
        </is>
      </c>
      <c r="D166" s="3" t="inlineStr">
        <is>
          <t>HCM</t>
        </is>
      </c>
      <c r="E166" s="3" t="inlineStr">
        <is>
          <t>BẢO TRÂM</t>
        </is>
      </c>
      <c r="F166" s="3" t="inlineStr">
        <is>
          <t>Shopee</t>
        </is>
      </c>
      <c r="G166" s="3" t="inlineStr">
        <is>
          <t>KBK-18</t>
        </is>
      </c>
      <c r="H166" s="4" t="inlineStr">
        <is>
          <t>Mũi khoan đá KBK-18</t>
        </is>
      </c>
      <c r="I166" s="3" t="inlineStr">
        <is>
          <t>Cái</t>
        </is>
      </c>
      <c r="J166" s="5" t="n">
        <v>57000</v>
      </c>
      <c r="K166" s="5" t="n">
        <v>71000</v>
      </c>
      <c r="L166" s="6" t="n">
        <v>91000</v>
      </c>
      <c r="M166" s="5" t="n"/>
      <c r="N166" s="5">
        <f>IF(AND(ISNUMBER(M166),ISNUMBER(L166)),M166-L166,"")</f>
        <v/>
      </c>
      <c r="O166" s="7">
        <f>IF(AND(ISNUMBER(M166),ISNUMBER(L166),L166&gt;0),(M166-L166)/L166,"")</f>
        <v/>
      </c>
      <c r="P166" s="3">
        <f>IF(O166="","",IF(O166&lt;-0.02,"🔴 Bán phá giá sàn",IF(O166&gt;0.05,"🔵 Bán cao hơn","🟢 Đúng giá sàn TMĐT")))</f>
        <v/>
      </c>
      <c r="Q166" s="3" t="n"/>
      <c r="R166" s="4" t="n"/>
      <c r="S166" s="4" t="n"/>
    </row>
    <row r="167">
      <c r="A167" s="3" t="n">
        <v>166</v>
      </c>
      <c r="B167" s="3" t="inlineStr">
        <is>
          <t>KH001</t>
        </is>
      </c>
      <c r="C167" s="4" t="inlineStr">
        <is>
          <t>Điện nước Nhật (Shop) HCM</t>
        </is>
      </c>
      <c r="D167" s="3" t="inlineStr">
        <is>
          <t>HCM</t>
        </is>
      </c>
      <c r="E167" s="3" t="inlineStr">
        <is>
          <t>BẢO TRÂM</t>
        </is>
      </c>
      <c r="F167" s="3" t="inlineStr">
        <is>
          <t>Shopee</t>
        </is>
      </c>
      <c r="G167" s="3" t="inlineStr">
        <is>
          <t>KBK-21</t>
        </is>
      </c>
      <c r="H167" s="4" t="inlineStr">
        <is>
          <t>Mũi khoan đá KBK-21</t>
        </is>
      </c>
      <c r="I167" s="3" t="inlineStr">
        <is>
          <t>Cái</t>
        </is>
      </c>
      <c r="J167" s="5" t="n">
        <v>64000</v>
      </c>
      <c r="K167" s="5" t="n">
        <v>79000</v>
      </c>
      <c r="L167" s="6" t="n">
        <v>102000</v>
      </c>
      <c r="M167" s="5" t="n"/>
      <c r="N167" s="5">
        <f>IF(AND(ISNUMBER(M167),ISNUMBER(L167)),M167-L167,"")</f>
        <v/>
      </c>
      <c r="O167" s="7">
        <f>IF(AND(ISNUMBER(M167),ISNUMBER(L167),L167&gt;0),(M167-L167)/L167,"")</f>
        <v/>
      </c>
      <c r="P167" s="3">
        <f>IF(O167="","",IF(O167&lt;-0.02,"🔴 Bán phá giá sàn",IF(O167&gt;0.05,"🔵 Bán cao hơn","🟢 Đúng giá sàn TMĐT")))</f>
        <v/>
      </c>
      <c r="Q167" s="3" t="n"/>
      <c r="R167" s="4" t="n"/>
      <c r="S167" s="4" t="n"/>
    </row>
    <row r="168">
      <c r="A168" s="3" t="n">
        <v>167</v>
      </c>
      <c r="B168" s="3" t="inlineStr">
        <is>
          <t>KH001</t>
        </is>
      </c>
      <c r="C168" s="4" t="inlineStr">
        <is>
          <t>Điện nước Nhật (Shop) HCM</t>
        </is>
      </c>
      <c r="D168" s="3" t="inlineStr">
        <is>
          <t>HCM</t>
        </is>
      </c>
      <c r="E168" s="3" t="inlineStr">
        <is>
          <t>BẢO TRÂM</t>
        </is>
      </c>
      <c r="F168" s="3" t="inlineStr">
        <is>
          <t>Shopee</t>
        </is>
      </c>
      <c r="G168" s="3" t="inlineStr">
        <is>
          <t>KBK-25</t>
        </is>
      </c>
      <c r="H168" s="4" t="inlineStr">
        <is>
          <t>Mũi khoan đá KBK-25</t>
        </is>
      </c>
      <c r="I168" s="3" t="inlineStr">
        <is>
          <t>Cái</t>
        </is>
      </c>
      <c r="J168" s="5" t="n">
        <v>77000</v>
      </c>
      <c r="K168" s="5" t="n">
        <v>95000</v>
      </c>
      <c r="L168" s="6" t="n">
        <v>123000</v>
      </c>
      <c r="M168" s="5" t="n"/>
      <c r="N168" s="5">
        <f>IF(AND(ISNUMBER(M168),ISNUMBER(L168)),M168-L168,"")</f>
        <v/>
      </c>
      <c r="O168" s="7">
        <f>IF(AND(ISNUMBER(M168),ISNUMBER(L168),L168&gt;0),(M168-L168)/L168,"")</f>
        <v/>
      </c>
      <c r="P168" s="3">
        <f>IF(O168="","",IF(O168&lt;-0.02,"🔴 Bán phá giá sàn",IF(O168&gt;0.05,"🔵 Bán cao hơn","🟢 Đúng giá sàn TMĐT")))</f>
        <v/>
      </c>
      <c r="Q168" s="3" t="n"/>
      <c r="R168" s="4" t="n"/>
      <c r="S168" s="4" t="n"/>
    </row>
    <row r="169">
      <c r="A169" s="3" t="n">
        <v>168</v>
      </c>
      <c r="B169" s="3" t="inlineStr">
        <is>
          <t>KH001</t>
        </is>
      </c>
      <c r="C169" s="4" t="inlineStr">
        <is>
          <t>Điện nước Nhật (Shop) HCM</t>
        </is>
      </c>
      <c r="D169" s="3" t="inlineStr">
        <is>
          <t>HCM</t>
        </is>
      </c>
      <c r="E169" s="3" t="inlineStr">
        <is>
          <t>BẢO TRÂM</t>
        </is>
      </c>
      <c r="F169" s="3" t="inlineStr">
        <is>
          <t>Shopee</t>
        </is>
      </c>
      <c r="G169" s="3" t="inlineStr">
        <is>
          <t>KBK-27</t>
        </is>
      </c>
      <c r="H169" s="4" t="inlineStr">
        <is>
          <t>Mũi khoan đá KBK-27</t>
        </is>
      </c>
      <c r="I169" s="3" t="inlineStr">
        <is>
          <t>Cái</t>
        </is>
      </c>
      <c r="J169" s="5" t="n">
        <v>84000</v>
      </c>
      <c r="K169" s="5" t="n">
        <v>104000</v>
      </c>
      <c r="L169" s="6" t="n">
        <v>134000</v>
      </c>
      <c r="M169" s="5" t="n"/>
      <c r="N169" s="5">
        <f>IF(AND(ISNUMBER(M169),ISNUMBER(L169)),M169-L169,"")</f>
        <v/>
      </c>
      <c r="O169" s="7">
        <f>IF(AND(ISNUMBER(M169),ISNUMBER(L169),L169&gt;0),(M169-L169)/L169,"")</f>
        <v/>
      </c>
      <c r="P169" s="3">
        <f>IF(O169="","",IF(O169&lt;-0.02,"🔴 Bán phá giá sàn",IF(O169&gt;0.05,"🔵 Bán cao hơn","🟢 Đúng giá sàn TMĐT")))</f>
        <v/>
      </c>
      <c r="Q169" s="3" t="n"/>
      <c r="R169" s="4" t="n"/>
      <c r="S169" s="4" t="n"/>
    </row>
    <row r="170">
      <c r="A170" s="3" t="n">
        <v>169</v>
      </c>
      <c r="B170" s="3" t="inlineStr">
        <is>
          <t>KH001</t>
        </is>
      </c>
      <c r="C170" s="4" t="inlineStr">
        <is>
          <t>Điện nước Nhật (Shop) HCM</t>
        </is>
      </c>
      <c r="D170" s="3" t="inlineStr">
        <is>
          <t>HCM</t>
        </is>
      </c>
      <c r="E170" s="3" t="inlineStr">
        <is>
          <t>BẢO TRÂM</t>
        </is>
      </c>
      <c r="F170" s="3" t="inlineStr">
        <is>
          <t>Shopee</t>
        </is>
      </c>
      <c r="G170" s="3" t="inlineStr">
        <is>
          <t>KBK-30</t>
        </is>
      </c>
      <c r="H170" s="4" t="inlineStr">
        <is>
          <t>Mũi khoan đá KBK-30</t>
        </is>
      </c>
      <c r="I170" s="3" t="inlineStr">
        <is>
          <t>Cái</t>
        </is>
      </c>
      <c r="J170" s="5" t="n">
        <v>91000</v>
      </c>
      <c r="K170" s="5" t="n">
        <v>113000</v>
      </c>
      <c r="L170" s="6" t="n">
        <v>146000</v>
      </c>
      <c r="M170" s="5" t="n"/>
      <c r="N170" s="5">
        <f>IF(AND(ISNUMBER(M170),ISNUMBER(L170)),M170-L170,"")</f>
        <v/>
      </c>
      <c r="O170" s="7">
        <f>IF(AND(ISNUMBER(M170),ISNUMBER(L170),L170&gt;0),(M170-L170)/L170,"")</f>
        <v/>
      </c>
      <c r="P170" s="3">
        <f>IF(O170="","",IF(O170&lt;-0.02,"🔴 Bán phá giá sàn",IF(O170&gt;0.05,"🔵 Bán cao hơn","🟢 Đúng giá sàn TMĐT")))</f>
        <v/>
      </c>
      <c r="Q170" s="3" t="n"/>
      <c r="R170" s="4" t="n"/>
      <c r="S170" s="4" t="n"/>
    </row>
    <row r="171">
      <c r="A171" s="3" t="n">
        <v>170</v>
      </c>
      <c r="B171" s="3" t="inlineStr">
        <is>
          <t>KH001</t>
        </is>
      </c>
      <c r="C171" s="4" t="inlineStr">
        <is>
          <t>Điện nước Nhật (Shop) HCM</t>
        </is>
      </c>
      <c r="D171" s="3" t="inlineStr">
        <is>
          <t>HCM</t>
        </is>
      </c>
      <c r="E171" s="3" t="inlineStr">
        <is>
          <t>BẢO TRÂM</t>
        </is>
      </c>
      <c r="F171" s="3" t="inlineStr">
        <is>
          <t>Shopee</t>
        </is>
      </c>
      <c r="G171" s="3" t="inlineStr">
        <is>
          <t>KBK-32</t>
        </is>
      </c>
      <c r="H171" s="4" t="inlineStr">
        <is>
          <t>Mũi khoan đá KBK-32</t>
        </is>
      </c>
      <c r="I171" s="3" t="inlineStr">
        <is>
          <t>Cái</t>
        </is>
      </c>
      <c r="J171" s="5" t="n">
        <v>96000</v>
      </c>
      <c r="K171" s="5" t="n">
        <v>119000</v>
      </c>
      <c r="L171" s="6" t="n">
        <v>154000</v>
      </c>
      <c r="M171" s="5" t="n"/>
      <c r="N171" s="5">
        <f>IF(AND(ISNUMBER(M171),ISNUMBER(L171)),M171-L171,"")</f>
        <v/>
      </c>
      <c r="O171" s="7">
        <f>IF(AND(ISNUMBER(M171),ISNUMBER(L171),L171&gt;0),(M171-L171)/L171,"")</f>
        <v/>
      </c>
      <c r="P171" s="3">
        <f>IF(O171="","",IF(O171&lt;-0.02,"🔴 Bán phá giá sàn",IF(O171&gt;0.05,"🔵 Bán cao hơn","🟢 Đúng giá sàn TMĐT")))</f>
        <v/>
      </c>
      <c r="Q171" s="3" t="n"/>
      <c r="R171" s="4" t="n"/>
      <c r="S171" s="4" t="n"/>
    </row>
    <row r="172">
      <c r="A172" s="3" t="n">
        <v>171</v>
      </c>
      <c r="B172" s="3" t="inlineStr">
        <is>
          <t>KH001</t>
        </is>
      </c>
      <c r="C172" s="4" t="inlineStr">
        <is>
          <t>Điện nước Nhật (Shop) HCM</t>
        </is>
      </c>
      <c r="D172" s="3" t="inlineStr">
        <is>
          <t>HCM</t>
        </is>
      </c>
      <c r="E172" s="3" t="inlineStr">
        <is>
          <t>BẢO TRÂM</t>
        </is>
      </c>
      <c r="F172" s="3" t="inlineStr">
        <is>
          <t>Shopee</t>
        </is>
      </c>
      <c r="G172" s="3" t="inlineStr">
        <is>
          <t>KBK-35</t>
        </is>
      </c>
      <c r="H172" s="4" t="inlineStr">
        <is>
          <t>Mũi khoan đá KBK-35</t>
        </is>
      </c>
      <c r="I172" s="3" t="inlineStr">
        <is>
          <t>Cái</t>
        </is>
      </c>
      <c r="J172" s="5" t="n">
        <v>104000</v>
      </c>
      <c r="K172" s="5" t="n">
        <v>129000</v>
      </c>
      <c r="L172" s="6" t="n">
        <v>166000</v>
      </c>
      <c r="M172" s="5" t="n"/>
      <c r="N172" s="5">
        <f>IF(AND(ISNUMBER(M172),ISNUMBER(L172)),M172-L172,"")</f>
        <v/>
      </c>
      <c r="O172" s="7">
        <f>IF(AND(ISNUMBER(M172),ISNUMBER(L172),L172&gt;0),(M172-L172)/L172,"")</f>
        <v/>
      </c>
      <c r="P172" s="3">
        <f>IF(O172="","",IF(O172&lt;-0.02,"🔴 Bán phá giá sàn",IF(O172&gt;0.05,"🔵 Bán cao hơn","🟢 Đúng giá sàn TMĐT")))</f>
        <v/>
      </c>
      <c r="Q172" s="3" t="n"/>
      <c r="R172" s="4" t="n"/>
      <c r="S172" s="4" t="n"/>
    </row>
    <row r="173">
      <c r="A173" s="3" t="n">
        <v>172</v>
      </c>
      <c r="B173" s="3" t="inlineStr">
        <is>
          <t>KH001</t>
        </is>
      </c>
      <c r="C173" s="4" t="inlineStr">
        <is>
          <t>Điện nước Nhật (Shop) HCM</t>
        </is>
      </c>
      <c r="D173" s="3" t="inlineStr">
        <is>
          <t>HCM</t>
        </is>
      </c>
      <c r="E173" s="3" t="inlineStr">
        <is>
          <t>BẢO TRÂM</t>
        </is>
      </c>
      <c r="F173" s="3" t="inlineStr">
        <is>
          <t>Shopee</t>
        </is>
      </c>
      <c r="G173" s="3" t="inlineStr">
        <is>
          <t>KBH2E-06*150</t>
        </is>
      </c>
      <c r="H173" s="4" t="inlineStr">
        <is>
          <t>Mũi khoan ĐN lục giác 2 cạnh KBH2E-06*150</t>
        </is>
      </c>
      <c r="I173" s="3" t="inlineStr">
        <is>
          <t>Cái</t>
        </is>
      </c>
      <c r="J173" s="5" t="n">
        <v>31000</v>
      </c>
      <c r="K173" s="5" t="n">
        <v>39000</v>
      </c>
      <c r="L173" s="6" t="n">
        <v>50000</v>
      </c>
      <c r="M173" s="5" t="n"/>
      <c r="N173" s="5">
        <f>IF(AND(ISNUMBER(M173),ISNUMBER(L173)),M173-L173,"")</f>
        <v/>
      </c>
      <c r="O173" s="7">
        <f>IF(AND(ISNUMBER(M173),ISNUMBER(L173),L173&gt;0),(M173-L173)/L173,"")</f>
        <v/>
      </c>
      <c r="P173" s="3">
        <f>IF(O173="","",IF(O173&lt;-0.02,"🔴 Bán phá giá sàn",IF(O173&gt;0.05,"🔵 Bán cao hơn","🟢 Đúng giá sàn TMĐT")))</f>
        <v/>
      </c>
      <c r="Q173" s="3" t="n"/>
      <c r="R173" s="4" t="n"/>
      <c r="S173" s="4" t="n"/>
    </row>
    <row r="174">
      <c r="A174" s="3" t="n">
        <v>173</v>
      </c>
      <c r="B174" s="3" t="inlineStr">
        <is>
          <t>KH001</t>
        </is>
      </c>
      <c r="C174" s="4" t="inlineStr">
        <is>
          <t>Điện nước Nhật (Shop) HCM</t>
        </is>
      </c>
      <c r="D174" s="3" t="inlineStr">
        <is>
          <t>HCM</t>
        </is>
      </c>
      <c r="E174" s="3" t="inlineStr">
        <is>
          <t>BẢO TRÂM</t>
        </is>
      </c>
      <c r="F174" s="3" t="inlineStr">
        <is>
          <t>Shopee</t>
        </is>
      </c>
      <c r="G174" s="3" t="inlineStr">
        <is>
          <t>KBH2F-03*95</t>
        </is>
      </c>
      <c r="H174" s="4" t="inlineStr">
        <is>
          <t>Mũi khoan ĐN lục giác 2 cạnh KBH2F-03*95</t>
        </is>
      </c>
      <c r="I174" s="3" t="inlineStr">
        <is>
          <t>Cái</t>
        </is>
      </c>
      <c r="J174" s="5" t="n">
        <v>26000</v>
      </c>
      <c r="K174" s="5" t="n">
        <v>32000</v>
      </c>
      <c r="L174" s="6" t="n">
        <v>42000</v>
      </c>
      <c r="M174" s="5" t="n"/>
      <c r="N174" s="5">
        <f>IF(AND(ISNUMBER(M174),ISNUMBER(L174)),M174-L174,"")</f>
        <v/>
      </c>
      <c r="O174" s="7">
        <f>IF(AND(ISNUMBER(M174),ISNUMBER(L174),L174&gt;0),(M174-L174)/L174,"")</f>
        <v/>
      </c>
      <c r="P174" s="3">
        <f>IF(O174="","",IF(O174&lt;-0.02,"🔴 Bán phá giá sàn",IF(O174&gt;0.05,"🔵 Bán cao hơn","🟢 Đúng giá sàn TMĐT")))</f>
        <v/>
      </c>
      <c r="Q174" s="3" t="n"/>
      <c r="R174" s="4" t="n"/>
      <c r="S174" s="4" t="n"/>
    </row>
    <row r="175">
      <c r="A175" s="3" t="n">
        <v>174</v>
      </c>
      <c r="B175" s="3" t="inlineStr">
        <is>
          <t>KH001</t>
        </is>
      </c>
      <c r="C175" s="4" t="inlineStr">
        <is>
          <t>Điện nước Nhật (Shop) HCM</t>
        </is>
      </c>
      <c r="D175" s="3" t="inlineStr">
        <is>
          <t>HCM</t>
        </is>
      </c>
      <c r="E175" s="3" t="inlineStr">
        <is>
          <t>BẢO TRÂM</t>
        </is>
      </c>
      <c r="F175" s="3" t="inlineStr">
        <is>
          <t>Shopee</t>
        </is>
      </c>
      <c r="G175" s="3" t="inlineStr">
        <is>
          <t>KBH2F-04*95</t>
        </is>
      </c>
      <c r="H175" s="4" t="inlineStr">
        <is>
          <t>Mũi khoan ĐN lục giác 2 cạnh KBH2F-04*95</t>
        </is>
      </c>
      <c r="I175" s="3" t="inlineStr">
        <is>
          <t>Cái</t>
        </is>
      </c>
      <c r="J175" s="5" t="n">
        <v>26000</v>
      </c>
      <c r="K175" s="5" t="n">
        <v>32000</v>
      </c>
      <c r="L175" s="6" t="n">
        <v>42000</v>
      </c>
      <c r="M175" s="5" t="n"/>
      <c r="N175" s="5">
        <f>IF(AND(ISNUMBER(M175),ISNUMBER(L175)),M175-L175,"")</f>
        <v/>
      </c>
      <c r="O175" s="7">
        <f>IF(AND(ISNUMBER(M175),ISNUMBER(L175),L175&gt;0),(M175-L175)/L175,"")</f>
        <v/>
      </c>
      <c r="P175" s="3">
        <f>IF(O175="","",IF(O175&lt;-0.02,"🔴 Bán phá giá sàn",IF(O175&gt;0.05,"🔵 Bán cao hơn","🟢 Đúng giá sàn TMĐT")))</f>
        <v/>
      </c>
      <c r="Q175" s="3" t="n"/>
      <c r="R175" s="4" t="n"/>
      <c r="S175" s="4" t="n"/>
    </row>
    <row r="176">
      <c r="A176" s="3" t="n">
        <v>175</v>
      </c>
      <c r="B176" s="3" t="inlineStr">
        <is>
          <t>KH001</t>
        </is>
      </c>
      <c r="C176" s="4" t="inlineStr">
        <is>
          <t>Điện nước Nhật (Shop) HCM</t>
        </is>
      </c>
      <c r="D176" s="3" t="inlineStr">
        <is>
          <t>HCM</t>
        </is>
      </c>
      <c r="E176" s="3" t="inlineStr">
        <is>
          <t>BẢO TRÂM</t>
        </is>
      </c>
      <c r="F176" s="3" t="inlineStr">
        <is>
          <t>Shopee</t>
        </is>
      </c>
      <c r="G176" s="3" t="inlineStr">
        <is>
          <t>KBH2F-05*95</t>
        </is>
      </c>
      <c r="H176" s="4" t="inlineStr">
        <is>
          <t>Mũi khoan ĐN lục giác 2 cạnh KBH2F-05*95</t>
        </is>
      </c>
      <c r="I176" s="3" t="inlineStr">
        <is>
          <t>Cái</t>
        </is>
      </c>
      <c r="J176" s="5" t="n">
        <v>26000</v>
      </c>
      <c r="K176" s="5" t="n">
        <v>32000</v>
      </c>
      <c r="L176" s="6" t="n">
        <v>42000</v>
      </c>
      <c r="M176" s="5" t="n"/>
      <c r="N176" s="5">
        <f>IF(AND(ISNUMBER(M176),ISNUMBER(L176)),M176-L176,"")</f>
        <v/>
      </c>
      <c r="O176" s="7">
        <f>IF(AND(ISNUMBER(M176),ISNUMBER(L176),L176&gt;0),(M176-L176)/L176,"")</f>
        <v/>
      </c>
      <c r="P176" s="3">
        <f>IF(O176="","",IF(O176&lt;-0.02,"🔴 Bán phá giá sàn",IF(O176&gt;0.05,"🔵 Bán cao hơn","🟢 Đúng giá sàn TMĐT")))</f>
        <v/>
      </c>
      <c r="Q176" s="3" t="n"/>
      <c r="R176" s="4" t="n"/>
      <c r="S176" s="4" t="n"/>
    </row>
    <row r="177">
      <c r="A177" s="3" t="n">
        <v>176</v>
      </c>
      <c r="B177" s="3" t="inlineStr">
        <is>
          <t>KH001</t>
        </is>
      </c>
      <c r="C177" s="4" t="inlineStr">
        <is>
          <t>Điện nước Nhật (Shop) HCM</t>
        </is>
      </c>
      <c r="D177" s="3" t="inlineStr">
        <is>
          <t>HCM</t>
        </is>
      </c>
      <c r="E177" s="3" t="inlineStr">
        <is>
          <t>BẢO TRÂM</t>
        </is>
      </c>
      <c r="F177" s="3" t="inlineStr">
        <is>
          <t>Shopee</t>
        </is>
      </c>
      <c r="G177" s="3" t="inlineStr">
        <is>
          <t>KBH2F-06*95</t>
        </is>
      </c>
      <c r="H177" s="4" t="inlineStr">
        <is>
          <t>Mũi khoan ĐN lục giác 2 cạnh KBH2F-06*95</t>
        </is>
      </c>
      <c r="I177" s="3" t="inlineStr">
        <is>
          <t>Cái</t>
        </is>
      </c>
      <c r="J177" s="5" t="n">
        <v>26000</v>
      </c>
      <c r="K177" s="5" t="n">
        <v>32000</v>
      </c>
      <c r="L177" s="6" t="n">
        <v>42000</v>
      </c>
      <c r="M177" s="5" t="n"/>
      <c r="N177" s="5">
        <f>IF(AND(ISNUMBER(M177),ISNUMBER(L177)),M177-L177,"")</f>
        <v/>
      </c>
      <c r="O177" s="7">
        <f>IF(AND(ISNUMBER(M177),ISNUMBER(L177),L177&gt;0),(M177-L177)/L177,"")</f>
        <v/>
      </c>
      <c r="P177" s="3">
        <f>IF(O177="","",IF(O177&lt;-0.02,"🔴 Bán phá giá sàn",IF(O177&gt;0.05,"🔵 Bán cao hơn","🟢 Đúng giá sàn TMĐT")))</f>
        <v/>
      </c>
      <c r="Q177" s="3" t="n"/>
      <c r="R177" s="4" t="n"/>
      <c r="S177" s="4" t="n"/>
    </row>
    <row r="178">
      <c r="A178" s="3" t="n">
        <v>177</v>
      </c>
      <c r="B178" s="3" t="inlineStr">
        <is>
          <t>KH001</t>
        </is>
      </c>
      <c r="C178" s="4" t="inlineStr">
        <is>
          <t>Điện nước Nhật (Shop) HCM</t>
        </is>
      </c>
      <c r="D178" s="3" t="inlineStr">
        <is>
          <t>HCM</t>
        </is>
      </c>
      <c r="E178" s="3" t="inlineStr">
        <is>
          <t>BẢO TRÂM</t>
        </is>
      </c>
      <c r="F178" s="3" t="inlineStr">
        <is>
          <t>Shopee</t>
        </is>
      </c>
      <c r="G178" s="3" t="inlineStr">
        <is>
          <t>KBH2F-08*95</t>
        </is>
      </c>
      <c r="H178" s="4" t="inlineStr">
        <is>
          <t>Mũi khoan ĐN lục giác 2 cạnh KBH2F-08*95</t>
        </is>
      </c>
      <c r="I178" s="3" t="inlineStr">
        <is>
          <t>Cái</t>
        </is>
      </c>
      <c r="J178" s="5" t="n">
        <v>33000</v>
      </c>
      <c r="K178" s="5" t="n">
        <v>41000</v>
      </c>
      <c r="L178" s="6" t="n">
        <v>53000</v>
      </c>
      <c r="M178" s="5" t="n"/>
      <c r="N178" s="5">
        <f>IF(AND(ISNUMBER(M178),ISNUMBER(L178)),M178-L178,"")</f>
        <v/>
      </c>
      <c r="O178" s="7">
        <f>IF(AND(ISNUMBER(M178),ISNUMBER(L178),L178&gt;0),(M178-L178)/L178,"")</f>
        <v/>
      </c>
      <c r="P178" s="3">
        <f>IF(O178="","",IF(O178&lt;-0.02,"🔴 Bán phá giá sàn",IF(O178&gt;0.05,"🔵 Bán cao hơn","🟢 Đúng giá sàn TMĐT")))</f>
        <v/>
      </c>
      <c r="Q178" s="3" t="n"/>
      <c r="R178" s="4" t="n"/>
      <c r="S178" s="4" t="n"/>
    </row>
    <row r="179">
      <c r="A179" s="3" t="n">
        <v>178</v>
      </c>
      <c r="B179" s="3" t="inlineStr">
        <is>
          <t>KH001</t>
        </is>
      </c>
      <c r="C179" s="4" t="inlineStr">
        <is>
          <t>Điện nước Nhật (Shop) HCM</t>
        </is>
      </c>
      <c r="D179" s="3" t="inlineStr">
        <is>
          <t>HCM</t>
        </is>
      </c>
      <c r="E179" s="3" t="inlineStr">
        <is>
          <t>BẢO TRÂM</t>
        </is>
      </c>
      <c r="F179" s="3" t="inlineStr">
        <is>
          <t>Shopee</t>
        </is>
      </c>
      <c r="G179" s="3" t="inlineStr">
        <is>
          <t>KBH4S-08*117</t>
        </is>
      </c>
      <c r="H179" s="4" t="inlineStr">
        <is>
          <t>Mũi khoan ĐN lục giác 4 cạnh KBH4S-08*117</t>
        </is>
      </c>
      <c r="I179" s="3" t="inlineStr">
        <is>
          <t>Cái</t>
        </is>
      </c>
      <c r="J179" s="5" t="n">
        <v>32000</v>
      </c>
      <c r="K179" s="5" t="n">
        <v>40000</v>
      </c>
      <c r="L179" s="6" t="n">
        <v>51000</v>
      </c>
      <c r="M179" s="5" t="n"/>
      <c r="N179" s="5">
        <f>IF(AND(ISNUMBER(M179),ISNUMBER(L179)),M179-L179,"")</f>
        <v/>
      </c>
      <c r="O179" s="7">
        <f>IF(AND(ISNUMBER(M179),ISNUMBER(L179),L179&gt;0),(M179-L179)/L179,"")</f>
        <v/>
      </c>
      <c r="P179" s="3">
        <f>IF(O179="","",IF(O179&lt;-0.02,"🔴 Bán phá giá sàn",IF(O179&gt;0.05,"🔵 Bán cao hơn","🟢 Đúng giá sàn TMĐT")))</f>
        <v/>
      </c>
      <c r="Q179" s="3" t="n"/>
      <c r="R179" s="4" t="n"/>
      <c r="S179" s="4" t="n"/>
    </row>
    <row r="180">
      <c r="A180" s="3" t="n">
        <v>179</v>
      </c>
      <c r="B180" s="3" t="inlineStr">
        <is>
          <t>KH001</t>
        </is>
      </c>
      <c r="C180" s="4" t="inlineStr">
        <is>
          <t>Điện nước Nhật (Shop) HCM</t>
        </is>
      </c>
      <c r="D180" s="3" t="inlineStr">
        <is>
          <t>HCM</t>
        </is>
      </c>
      <c r="E180" s="3" t="inlineStr">
        <is>
          <t>BẢO TRÂM</t>
        </is>
      </c>
      <c r="F180" s="3" t="inlineStr">
        <is>
          <t>Shopee</t>
        </is>
      </c>
      <c r="G180" s="3" t="inlineStr">
        <is>
          <t>KBH4S-10*123</t>
        </is>
      </c>
      <c r="H180" s="4" t="inlineStr">
        <is>
          <t>Mũi khoan ĐN lục giác 4 cạnh KBH4S-10*123</t>
        </is>
      </c>
      <c r="I180" s="3" t="inlineStr">
        <is>
          <t>Cái</t>
        </is>
      </c>
      <c r="J180" s="5" t="n">
        <v>40000</v>
      </c>
      <c r="K180" s="5" t="n">
        <v>50000</v>
      </c>
      <c r="L180" s="6" t="n">
        <v>64000</v>
      </c>
      <c r="M180" s="5" t="n"/>
      <c r="N180" s="5">
        <f>IF(AND(ISNUMBER(M180),ISNUMBER(L180)),M180-L180,"")</f>
        <v/>
      </c>
      <c r="O180" s="7">
        <f>IF(AND(ISNUMBER(M180),ISNUMBER(L180),L180&gt;0),(M180-L180)/L180,"")</f>
        <v/>
      </c>
      <c r="P180" s="3">
        <f>IF(O180="","",IF(O180&lt;-0.02,"🔴 Bán phá giá sàn",IF(O180&gt;0.05,"🔵 Bán cao hơn","🟢 Đúng giá sàn TMĐT")))</f>
        <v/>
      </c>
      <c r="Q180" s="3" t="n"/>
      <c r="R180" s="4" t="n"/>
      <c r="S180" s="4" t="n"/>
    </row>
    <row r="181">
      <c r="A181" s="3" t="n">
        <v>180</v>
      </c>
      <c r="B181" s="3" t="inlineStr">
        <is>
          <t>KH001</t>
        </is>
      </c>
      <c r="C181" s="4" t="inlineStr">
        <is>
          <t>Điện nước Nhật (Shop) HCM</t>
        </is>
      </c>
      <c r="D181" s="3" t="inlineStr">
        <is>
          <t>HCM</t>
        </is>
      </c>
      <c r="E181" s="3" t="inlineStr">
        <is>
          <t>BẢO TRÂM</t>
        </is>
      </c>
      <c r="F181" s="3" t="inlineStr">
        <is>
          <t>Shopee</t>
        </is>
      </c>
      <c r="G181" s="3" t="inlineStr">
        <is>
          <t>KBH4S-12*123</t>
        </is>
      </c>
      <c r="H181" s="4" t="inlineStr">
        <is>
          <t>Mũi khoan ĐN lục giác 4 cạnh KBH4S-12*123</t>
        </is>
      </c>
      <c r="I181" s="3" t="inlineStr">
        <is>
          <t>Cái</t>
        </is>
      </c>
      <c r="J181" s="5" t="n">
        <v>48000</v>
      </c>
      <c r="K181" s="5" t="n">
        <v>60000</v>
      </c>
      <c r="L181" s="6" t="n">
        <v>77000</v>
      </c>
      <c r="M181" s="5" t="n"/>
      <c r="N181" s="5">
        <f>IF(AND(ISNUMBER(M181),ISNUMBER(L181)),M181-L181,"")</f>
        <v/>
      </c>
      <c r="O181" s="7">
        <f>IF(AND(ISNUMBER(M181),ISNUMBER(L181),L181&gt;0),(M181-L181)/L181,"")</f>
        <v/>
      </c>
      <c r="P181" s="3">
        <f>IF(O181="","",IF(O181&lt;-0.02,"🔴 Bán phá giá sàn",IF(O181&gt;0.05,"🔵 Bán cao hơn","🟢 Đúng giá sàn TMĐT")))</f>
        <v/>
      </c>
      <c r="Q181" s="3" t="n"/>
      <c r="R181" s="4" t="n"/>
      <c r="S181" s="4" t="n"/>
    </row>
    <row r="182">
      <c r="A182" s="3" t="n">
        <v>181</v>
      </c>
      <c r="B182" s="3" t="inlineStr">
        <is>
          <t>KH001</t>
        </is>
      </c>
      <c r="C182" s="4" t="inlineStr">
        <is>
          <t>Điện nước Nhật (Shop) HCM</t>
        </is>
      </c>
      <c r="D182" s="3" t="inlineStr">
        <is>
          <t>HCM</t>
        </is>
      </c>
      <c r="E182" s="3" t="inlineStr">
        <is>
          <t>BẢO TRÂM</t>
        </is>
      </c>
      <c r="F182" s="3" t="inlineStr">
        <is>
          <t>Shopee</t>
        </is>
      </c>
      <c r="G182" s="3" t="inlineStr">
        <is>
          <t>KBH4S-3.5*92</t>
        </is>
      </c>
      <c r="H182" s="4" t="inlineStr">
        <is>
          <t>Mũi khoan ĐN lục giác 4 cạnh KBH4S-3.5*92</t>
        </is>
      </c>
      <c r="I182" s="3" t="inlineStr">
        <is>
          <t>Cái</t>
        </is>
      </c>
      <c r="J182" s="5" t="n">
        <v>23000</v>
      </c>
      <c r="K182" s="5" t="n">
        <v>29000</v>
      </c>
      <c r="L182" s="6" t="n">
        <v>37000</v>
      </c>
      <c r="M182" s="5" t="n"/>
      <c r="N182" s="5">
        <f>IF(AND(ISNUMBER(M182),ISNUMBER(L182)),M182-L182,"")</f>
        <v/>
      </c>
      <c r="O182" s="7">
        <f>IF(AND(ISNUMBER(M182),ISNUMBER(L182),L182&gt;0),(M182-L182)/L182,"")</f>
        <v/>
      </c>
      <c r="P182" s="3">
        <f>IF(O182="","",IF(O182&lt;-0.02,"🔴 Bán phá giá sàn",IF(O182&gt;0.05,"🔵 Bán cao hơn","🟢 Đúng giá sàn TMĐT")))</f>
        <v/>
      </c>
      <c r="Q182" s="3" t="n"/>
      <c r="R182" s="4" t="n"/>
      <c r="S182" s="4" t="n"/>
    </row>
    <row r="183">
      <c r="A183" s="3" t="n">
        <v>182</v>
      </c>
      <c r="B183" s="3" t="inlineStr">
        <is>
          <t>KH001</t>
        </is>
      </c>
      <c r="C183" s="4" t="inlineStr">
        <is>
          <t>Điện nước Nhật (Shop) HCM</t>
        </is>
      </c>
      <c r="D183" s="3" t="inlineStr">
        <is>
          <t>HCM</t>
        </is>
      </c>
      <c r="E183" s="3" t="inlineStr">
        <is>
          <t>BẢO TRÂM</t>
        </is>
      </c>
      <c r="F183" s="3" t="inlineStr">
        <is>
          <t>Shopee</t>
        </is>
      </c>
      <c r="G183" s="3" t="inlineStr">
        <is>
          <t>KBX1-08*200</t>
        </is>
      </c>
      <c r="H183" s="4" t="inlineStr">
        <is>
          <t>Mũi khoan gỗ chuôi lục KBX1-08*200</t>
        </is>
      </c>
      <c r="I183" s="3" t="inlineStr">
        <is>
          <t>Cái</t>
        </is>
      </c>
      <c r="J183" s="5" t="n">
        <v>39000</v>
      </c>
      <c r="K183" s="5" t="n">
        <v>48000</v>
      </c>
      <c r="L183" s="6" t="n">
        <v>62000</v>
      </c>
      <c r="M183" s="5" t="n"/>
      <c r="N183" s="5">
        <f>IF(AND(ISNUMBER(M183),ISNUMBER(L183)),M183-L183,"")</f>
        <v/>
      </c>
      <c r="O183" s="7">
        <f>IF(AND(ISNUMBER(M183),ISNUMBER(L183),L183&gt;0),(M183-L183)/L183,"")</f>
        <v/>
      </c>
      <c r="P183" s="3">
        <f>IF(O183="","",IF(O183&lt;-0.02,"🔴 Bán phá giá sàn",IF(O183&gt;0.05,"🔵 Bán cao hơn","🟢 Đúng giá sàn TMĐT")))</f>
        <v/>
      </c>
      <c r="Q183" s="3" t="n"/>
      <c r="R183" s="4" t="n"/>
      <c r="S183" s="4" t="n"/>
    </row>
    <row r="184">
      <c r="A184" s="3" t="n">
        <v>183</v>
      </c>
      <c r="B184" s="3" t="inlineStr">
        <is>
          <t>KH001</t>
        </is>
      </c>
      <c r="C184" s="4" t="inlineStr">
        <is>
          <t>Điện nước Nhật (Shop) HCM</t>
        </is>
      </c>
      <c r="D184" s="3" t="inlineStr">
        <is>
          <t>HCM</t>
        </is>
      </c>
      <c r="E184" s="3" t="inlineStr">
        <is>
          <t>BẢO TRÂM</t>
        </is>
      </c>
      <c r="F184" s="3" t="inlineStr">
        <is>
          <t>Shopee</t>
        </is>
      </c>
      <c r="G184" s="3" t="inlineStr">
        <is>
          <t>KBX1-12*200</t>
        </is>
      </c>
      <c r="H184" s="4" t="inlineStr">
        <is>
          <t>Mũi khoan gỗ chuôi lục KBX1-12*200</t>
        </is>
      </c>
      <c r="I184" s="3" t="inlineStr">
        <is>
          <t>Cái</t>
        </is>
      </c>
      <c r="J184" s="5" t="n">
        <v>50000</v>
      </c>
      <c r="K184" s="5" t="n">
        <v>62000</v>
      </c>
      <c r="L184" s="6" t="n">
        <v>80000</v>
      </c>
      <c r="M184" s="5" t="n"/>
      <c r="N184" s="5">
        <f>IF(AND(ISNUMBER(M184),ISNUMBER(L184)),M184-L184,"")</f>
        <v/>
      </c>
      <c r="O184" s="7">
        <f>IF(AND(ISNUMBER(M184),ISNUMBER(L184),L184&gt;0),(M184-L184)/L184,"")</f>
        <v/>
      </c>
      <c r="P184" s="3">
        <f>IF(O184="","",IF(O184&lt;-0.02,"🔴 Bán phá giá sàn",IF(O184&gt;0.05,"🔵 Bán cao hơn","🟢 Đúng giá sàn TMĐT")))</f>
        <v/>
      </c>
      <c r="Q184" s="3" t="n"/>
      <c r="R184" s="4" t="n"/>
      <c r="S184" s="4" t="n"/>
    </row>
    <row r="185">
      <c r="A185" s="3" t="n">
        <v>184</v>
      </c>
      <c r="B185" s="3" t="inlineStr">
        <is>
          <t>KH001</t>
        </is>
      </c>
      <c r="C185" s="4" t="inlineStr">
        <is>
          <t>Điện nước Nhật (Shop) HCM</t>
        </is>
      </c>
      <c r="D185" s="3" t="inlineStr">
        <is>
          <t>HCM</t>
        </is>
      </c>
      <c r="E185" s="3" t="inlineStr">
        <is>
          <t>BẢO TRÂM</t>
        </is>
      </c>
      <c r="F185" s="3" t="inlineStr">
        <is>
          <t>Shopee</t>
        </is>
      </c>
      <c r="G185" s="3" t="inlineStr"/>
      <c r="H185" s="4" t="inlineStr">
        <is>
          <t>Mũi khoan tường không tắc kê KBLJ - 03*100</t>
        </is>
      </c>
      <c r="I185" s="3" t="inlineStr">
        <is>
          <t>Cái</t>
        </is>
      </c>
      <c r="J185" s="5" t="n">
        <v>269000</v>
      </c>
      <c r="K185" s="5" t="n">
        <v>317000</v>
      </c>
      <c r="L185" s="6" t="n">
        <v>390000</v>
      </c>
      <c r="M185" s="5" t="n"/>
      <c r="N185" s="5">
        <f>IF(AND(ISNUMBER(M185),ISNUMBER(L185)),M185-L185,"")</f>
        <v/>
      </c>
      <c r="O185" s="7">
        <f>IF(AND(ISNUMBER(M185),ISNUMBER(L185),L185&gt;0),(M185-L185)/L185,"")</f>
        <v/>
      </c>
      <c r="P185" s="3">
        <f>IF(O185="","",IF(O185&lt;-0.02,"🔴 Bán phá giá sàn",IF(O185&gt;0.05,"🔵 Bán cao hơn","🟢 Đúng giá sàn TMĐT")))</f>
        <v/>
      </c>
      <c r="Q185" s="3" t="n"/>
      <c r="R185" s="4" t="n"/>
      <c r="S185" s="4" t="n"/>
    </row>
    <row r="186">
      <c r="A186" s="3" t="n">
        <v>185</v>
      </c>
      <c r="B186" s="3" t="inlineStr">
        <is>
          <t>KH001</t>
        </is>
      </c>
      <c r="C186" s="4" t="inlineStr">
        <is>
          <t>Điện nước Nhật (Shop) HCM</t>
        </is>
      </c>
      <c r="D186" s="3" t="inlineStr">
        <is>
          <t>HCM</t>
        </is>
      </c>
      <c r="E186" s="3" t="inlineStr">
        <is>
          <t>BẢO TRÂM</t>
        </is>
      </c>
      <c r="F186" s="3" t="inlineStr">
        <is>
          <t>Shopee</t>
        </is>
      </c>
      <c r="G186" s="3" t="inlineStr"/>
      <c r="H186" s="4" t="inlineStr">
        <is>
          <t>Mũi khoan tường không tắc kê KBLJ - 03.2*100</t>
        </is>
      </c>
      <c r="I186" s="3" t="inlineStr">
        <is>
          <t>Cái</t>
        </is>
      </c>
      <c r="J186" s="5" t="n">
        <v>269000</v>
      </c>
      <c r="K186" s="5" t="n">
        <v>317000</v>
      </c>
      <c r="L186" s="6" t="n">
        <v>390000</v>
      </c>
      <c r="M186" s="5" t="n"/>
      <c r="N186" s="5">
        <f>IF(AND(ISNUMBER(M186),ISNUMBER(L186)),M186-L186,"")</f>
        <v/>
      </c>
      <c r="O186" s="7">
        <f>IF(AND(ISNUMBER(M186),ISNUMBER(L186),L186&gt;0),(M186-L186)/L186,"")</f>
        <v/>
      </c>
      <c r="P186" s="3">
        <f>IF(O186="","",IF(O186&lt;-0.02,"🔴 Bán phá giá sàn",IF(O186&gt;0.05,"🔵 Bán cao hơn","🟢 Đúng giá sàn TMĐT")))</f>
        <v/>
      </c>
      <c r="Q186" s="3" t="n"/>
      <c r="R186" s="4" t="n"/>
      <c r="S186" s="4" t="n"/>
    </row>
    <row r="187">
      <c r="A187" s="3" t="n">
        <v>186</v>
      </c>
      <c r="B187" s="3" t="inlineStr">
        <is>
          <t>KH001</t>
        </is>
      </c>
      <c r="C187" s="4" t="inlineStr">
        <is>
          <t>Điện nước Nhật (Shop) HCM</t>
        </is>
      </c>
      <c r="D187" s="3" t="inlineStr">
        <is>
          <t>HCM</t>
        </is>
      </c>
      <c r="E187" s="3" t="inlineStr">
        <is>
          <t>BẢO TRÂM</t>
        </is>
      </c>
      <c r="F187" s="3" t="inlineStr">
        <is>
          <t>Shopee</t>
        </is>
      </c>
      <c r="G187" s="3" t="inlineStr"/>
      <c r="H187" s="4" t="inlineStr">
        <is>
          <t>Mũi khoan tường không tắc kê KBLJ - 03.5*100</t>
        </is>
      </c>
      <c r="I187" s="3" t="inlineStr">
        <is>
          <t>Cái</t>
        </is>
      </c>
      <c r="J187" s="5" t="n">
        <v>269000</v>
      </c>
      <c r="K187" s="5" t="n">
        <v>317000</v>
      </c>
      <c r="L187" s="6" t="n">
        <v>390000</v>
      </c>
      <c r="M187" s="5" t="n"/>
      <c r="N187" s="5">
        <f>IF(AND(ISNUMBER(M187),ISNUMBER(L187)),M187-L187,"")</f>
        <v/>
      </c>
      <c r="O187" s="7">
        <f>IF(AND(ISNUMBER(M187),ISNUMBER(L187),L187&gt;0),(M187-L187)/L187,"")</f>
        <v/>
      </c>
      <c r="P187" s="3">
        <f>IF(O187="","",IF(O187&lt;-0.02,"🔴 Bán phá giá sàn",IF(O187&gt;0.05,"🔵 Bán cao hơn","🟢 Đúng giá sàn TMĐT")))</f>
        <v/>
      </c>
      <c r="Q187" s="3" t="n"/>
      <c r="R187" s="4" t="n"/>
      <c r="S187" s="4" t="n"/>
    </row>
    <row r="188">
      <c r="A188" s="3" t="n">
        <v>187</v>
      </c>
      <c r="B188" s="3" t="inlineStr">
        <is>
          <t>KH001</t>
        </is>
      </c>
      <c r="C188" s="4" t="inlineStr">
        <is>
          <t>Điện nước Nhật (Shop) HCM</t>
        </is>
      </c>
      <c r="D188" s="3" t="inlineStr">
        <is>
          <t>HCM</t>
        </is>
      </c>
      <c r="E188" s="3" t="inlineStr">
        <is>
          <t>BẢO TRÂM</t>
        </is>
      </c>
      <c r="F188" s="3" t="inlineStr">
        <is>
          <t>Shopee</t>
        </is>
      </c>
      <c r="G188" s="3" t="inlineStr"/>
      <c r="H188" s="4" t="inlineStr">
        <is>
          <t>Mũi khoan tường không tắc kê KBLJ - 04*100</t>
        </is>
      </c>
      <c r="I188" s="3" t="inlineStr">
        <is>
          <t>Cái</t>
        </is>
      </c>
      <c r="J188" s="5" t="n">
        <v>269000</v>
      </c>
      <c r="K188" s="5" t="n">
        <v>317000</v>
      </c>
      <c r="L188" s="6" t="n">
        <v>390000</v>
      </c>
      <c r="M188" s="5" t="n"/>
      <c r="N188" s="5">
        <f>IF(AND(ISNUMBER(M188),ISNUMBER(L188)),M188-L188,"")</f>
        <v/>
      </c>
      <c r="O188" s="7">
        <f>IF(AND(ISNUMBER(M188),ISNUMBER(L188),L188&gt;0),(M188-L188)/L188,"")</f>
        <v/>
      </c>
      <c r="P188" s="3">
        <f>IF(O188="","",IF(O188&lt;-0.02,"🔴 Bán phá giá sàn",IF(O188&gt;0.05,"🔵 Bán cao hơn","🟢 Đúng giá sàn TMĐT")))</f>
        <v/>
      </c>
      <c r="Q188" s="3" t="n"/>
      <c r="R188" s="4" t="n"/>
      <c r="S188" s="4" t="n"/>
    </row>
    <row r="189">
      <c r="A189" s="3" t="n">
        <v>188</v>
      </c>
      <c r="B189" s="3" t="inlineStr">
        <is>
          <t>KH001</t>
        </is>
      </c>
      <c r="C189" s="4" t="inlineStr">
        <is>
          <t>Điện nước Nhật (Shop) HCM</t>
        </is>
      </c>
      <c r="D189" s="3" t="inlineStr">
        <is>
          <t>HCM</t>
        </is>
      </c>
      <c r="E189" s="3" t="inlineStr">
        <is>
          <t>BẢO TRÂM</t>
        </is>
      </c>
      <c r="F189" s="3" t="inlineStr">
        <is>
          <t>Shopee</t>
        </is>
      </c>
      <c r="G189" s="3" t="inlineStr"/>
      <c r="H189" s="4" t="inlineStr">
        <is>
          <t>Mũi khoan tường không tắc kê KBLJ - 04.2*100</t>
        </is>
      </c>
      <c r="I189" s="3" t="inlineStr">
        <is>
          <t>Cái</t>
        </is>
      </c>
      <c r="J189" s="5" t="n">
        <v>269000</v>
      </c>
      <c r="K189" s="5" t="n">
        <v>317000</v>
      </c>
      <c r="L189" s="6" t="n">
        <v>390000</v>
      </c>
      <c r="M189" s="5" t="n"/>
      <c r="N189" s="5">
        <f>IF(AND(ISNUMBER(M189),ISNUMBER(L189)),M189-L189,"")</f>
        <v/>
      </c>
      <c r="O189" s="7">
        <f>IF(AND(ISNUMBER(M189),ISNUMBER(L189),L189&gt;0),(M189-L189)/L189,"")</f>
        <v/>
      </c>
      <c r="P189" s="3">
        <f>IF(O189="","",IF(O189&lt;-0.02,"🔴 Bán phá giá sàn",IF(O189&gt;0.05,"🔵 Bán cao hơn","🟢 Đúng giá sàn TMĐT")))</f>
        <v/>
      </c>
      <c r="Q189" s="3" t="n"/>
      <c r="R189" s="4" t="n"/>
      <c r="S189" s="4" t="n"/>
    </row>
    <row r="190">
      <c r="A190" s="3" t="n">
        <v>189</v>
      </c>
      <c r="B190" s="3" t="inlineStr">
        <is>
          <t>KH001</t>
        </is>
      </c>
      <c r="C190" s="4" t="inlineStr">
        <is>
          <t>Điện nước Nhật (Shop) HCM</t>
        </is>
      </c>
      <c r="D190" s="3" t="inlineStr">
        <is>
          <t>HCM</t>
        </is>
      </c>
      <c r="E190" s="3" t="inlineStr">
        <is>
          <t>BẢO TRÂM</t>
        </is>
      </c>
      <c r="F190" s="3" t="inlineStr">
        <is>
          <t>Shopee</t>
        </is>
      </c>
      <c r="G190" s="3" t="inlineStr"/>
      <c r="H190" s="4" t="inlineStr">
        <is>
          <t>Mũi khoan tường không tắc kê KBLJ - 04.5*100</t>
        </is>
      </c>
      <c r="I190" s="3" t="inlineStr">
        <is>
          <t>Cái</t>
        </is>
      </c>
      <c r="J190" s="5" t="n">
        <v>269000</v>
      </c>
      <c r="K190" s="5" t="n">
        <v>317000</v>
      </c>
      <c r="L190" s="6" t="n">
        <v>390000</v>
      </c>
      <c r="M190" s="5" t="n"/>
      <c r="N190" s="5">
        <f>IF(AND(ISNUMBER(M190),ISNUMBER(L190)),M190-L190,"")</f>
        <v/>
      </c>
      <c r="O190" s="7">
        <f>IF(AND(ISNUMBER(M190),ISNUMBER(L190),L190&gt;0),(M190-L190)/L190,"")</f>
        <v/>
      </c>
      <c r="P190" s="3">
        <f>IF(O190="","",IF(O190&lt;-0.02,"🔴 Bán phá giá sàn",IF(O190&gt;0.05,"🔵 Bán cao hơn","🟢 Đúng giá sàn TMĐT")))</f>
        <v/>
      </c>
      <c r="Q190" s="3" t="n"/>
      <c r="R190" s="4" t="n"/>
      <c r="S190" s="4" t="n"/>
    </row>
    <row r="191">
      <c r="A191" s="3" t="n">
        <v>190</v>
      </c>
      <c r="B191" s="3" t="inlineStr">
        <is>
          <t>KH001</t>
        </is>
      </c>
      <c r="C191" s="4" t="inlineStr">
        <is>
          <t>Điện nước Nhật (Shop) HCM</t>
        </is>
      </c>
      <c r="D191" s="3" t="inlineStr">
        <is>
          <t>HCM</t>
        </is>
      </c>
      <c r="E191" s="3" t="inlineStr">
        <is>
          <t>BẢO TRÂM</t>
        </is>
      </c>
      <c r="F191" s="3" t="inlineStr">
        <is>
          <t>Shopee</t>
        </is>
      </c>
      <c r="G191" s="3" t="inlineStr"/>
      <c r="H191" s="4" t="inlineStr">
        <is>
          <t>Mũi khoan tường không tắc kê KBLJ - 05*100</t>
        </is>
      </c>
      <c r="I191" s="3" t="inlineStr">
        <is>
          <t>Cái</t>
        </is>
      </c>
      <c r="J191" s="5" t="n">
        <v>269000</v>
      </c>
      <c r="K191" s="5" t="n">
        <v>317000</v>
      </c>
      <c r="L191" s="6" t="n">
        <v>390000</v>
      </c>
      <c r="M191" s="5" t="n"/>
      <c r="N191" s="5">
        <f>IF(AND(ISNUMBER(M191),ISNUMBER(L191)),M191-L191,"")</f>
        <v/>
      </c>
      <c r="O191" s="7">
        <f>IF(AND(ISNUMBER(M191),ISNUMBER(L191),L191&gt;0),(M191-L191)/L191,"")</f>
        <v/>
      </c>
      <c r="P191" s="3">
        <f>IF(O191="","",IF(O191&lt;-0.02,"🔴 Bán phá giá sàn",IF(O191&gt;0.05,"🔵 Bán cao hơn","🟢 Đúng giá sàn TMĐT")))</f>
        <v/>
      </c>
      <c r="Q191" s="3" t="n"/>
      <c r="R191" s="4" t="n"/>
      <c r="S191" s="4" t="n"/>
    </row>
    <row r="192">
      <c r="A192" s="3" t="n">
        <v>191</v>
      </c>
      <c r="B192" s="3" t="inlineStr">
        <is>
          <t>KH001</t>
        </is>
      </c>
      <c r="C192" s="4" t="inlineStr">
        <is>
          <t>Điện nước Nhật (Shop) HCM</t>
        </is>
      </c>
      <c r="D192" s="3" t="inlineStr">
        <is>
          <t>HCM</t>
        </is>
      </c>
      <c r="E192" s="3" t="inlineStr">
        <is>
          <t>BẢO TRÂM</t>
        </is>
      </c>
      <c r="F192" s="3" t="inlineStr">
        <is>
          <t>Shopee</t>
        </is>
      </c>
      <c r="G192" s="3" t="inlineStr"/>
      <c r="H192" s="4" t="inlineStr">
        <is>
          <t>Mũi khoan tường không tắc kê KBLJ - 05.5*100</t>
        </is>
      </c>
      <c r="I192" s="3" t="inlineStr">
        <is>
          <t>Cái</t>
        </is>
      </c>
      <c r="J192" s="5" t="n">
        <v>269000</v>
      </c>
      <c r="K192" s="5" t="n">
        <v>317000</v>
      </c>
      <c r="L192" s="6" t="n">
        <v>390000</v>
      </c>
      <c r="M192" s="5" t="n"/>
      <c r="N192" s="5">
        <f>IF(AND(ISNUMBER(M192),ISNUMBER(L192)),M192-L192,"")</f>
        <v/>
      </c>
      <c r="O192" s="7">
        <f>IF(AND(ISNUMBER(M192),ISNUMBER(L192),L192&gt;0),(M192-L192)/L192,"")</f>
        <v/>
      </c>
      <c r="P192" s="3">
        <f>IF(O192="","",IF(O192&lt;-0.02,"🔴 Bán phá giá sàn",IF(O192&gt;0.05,"🔵 Bán cao hơn","🟢 Đúng giá sàn TMĐT")))</f>
        <v/>
      </c>
      <c r="Q192" s="3" t="n"/>
      <c r="R192" s="4" t="n"/>
      <c r="S192" s="4" t="n"/>
    </row>
    <row r="193">
      <c r="A193" s="3" t="n">
        <v>192</v>
      </c>
      <c r="B193" s="3" t="inlineStr">
        <is>
          <t>KH001</t>
        </is>
      </c>
      <c r="C193" s="4" t="inlineStr">
        <is>
          <t>Điện nước Nhật (Shop) HCM</t>
        </is>
      </c>
      <c r="D193" s="3" t="inlineStr">
        <is>
          <t>HCM</t>
        </is>
      </c>
      <c r="E193" s="3" t="inlineStr">
        <is>
          <t>BẢO TRÂM</t>
        </is>
      </c>
      <c r="F193" s="3" t="inlineStr">
        <is>
          <t>Shopee</t>
        </is>
      </c>
      <c r="G193" s="3" t="inlineStr"/>
      <c r="H193" s="4" t="inlineStr">
        <is>
          <t>Mũi khoan tường không tắc kê KBLJ - 06*125</t>
        </is>
      </c>
      <c r="I193" s="3" t="inlineStr">
        <is>
          <t>Cái</t>
        </is>
      </c>
      <c r="J193" s="5" t="n">
        <v>269000</v>
      </c>
      <c r="K193" s="5" t="n">
        <v>317000</v>
      </c>
      <c r="L193" s="6" t="n">
        <v>390000</v>
      </c>
      <c r="M193" s="5" t="n"/>
      <c r="N193" s="5">
        <f>IF(AND(ISNUMBER(M193),ISNUMBER(L193)),M193-L193,"")</f>
        <v/>
      </c>
      <c r="O193" s="7">
        <f>IF(AND(ISNUMBER(M193),ISNUMBER(L193),L193&gt;0),(M193-L193)/L193,"")</f>
        <v/>
      </c>
      <c r="P193" s="3">
        <f>IF(O193="","",IF(O193&lt;-0.02,"🔴 Bán phá giá sàn",IF(O193&gt;0.05,"🔵 Bán cao hơn","🟢 Đúng giá sàn TMĐT")))</f>
        <v/>
      </c>
      <c r="Q193" s="3" t="n"/>
      <c r="R193" s="4" t="n"/>
      <c r="S193" s="4" t="n"/>
    </row>
    <row r="194">
      <c r="A194" s="3" t="n">
        <v>193</v>
      </c>
      <c r="B194" s="3" t="inlineStr">
        <is>
          <t>KH001</t>
        </is>
      </c>
      <c r="C194" s="4" t="inlineStr">
        <is>
          <t>Điện nước Nhật (Shop) HCM</t>
        </is>
      </c>
      <c r="D194" s="3" t="inlineStr">
        <is>
          <t>HCM</t>
        </is>
      </c>
      <c r="E194" s="3" t="inlineStr">
        <is>
          <t>BẢO TRÂM</t>
        </is>
      </c>
      <c r="F194" s="3" t="inlineStr">
        <is>
          <t>Shopee</t>
        </is>
      </c>
      <c r="G194" s="3" t="inlineStr"/>
      <c r="H194" s="4" t="inlineStr">
        <is>
          <t>Mũi khoan tường không tắc kê KBLJ - 06.5*125</t>
        </is>
      </c>
      <c r="I194" s="3" t="inlineStr">
        <is>
          <t>Cái</t>
        </is>
      </c>
      <c r="J194" s="5" t="n">
        <v>269000</v>
      </c>
      <c r="K194" s="5" t="n">
        <v>317000</v>
      </c>
      <c r="L194" s="6" t="n">
        <v>390000</v>
      </c>
      <c r="M194" s="5" t="n"/>
      <c r="N194" s="5">
        <f>IF(AND(ISNUMBER(M194),ISNUMBER(L194)),M194-L194,"")</f>
        <v/>
      </c>
      <c r="O194" s="7">
        <f>IF(AND(ISNUMBER(M194),ISNUMBER(L194),L194&gt;0),(M194-L194)/L194,"")</f>
        <v/>
      </c>
      <c r="P194" s="3">
        <f>IF(O194="","",IF(O194&lt;-0.02,"🔴 Bán phá giá sàn",IF(O194&gt;0.05,"🔵 Bán cao hơn","🟢 Đúng giá sàn TMĐT")))</f>
        <v/>
      </c>
      <c r="Q194" s="3" t="n"/>
      <c r="R194" s="4" t="n"/>
      <c r="S194" s="4" t="n"/>
    </row>
    <row r="195">
      <c r="A195" s="3" t="n">
        <v>194</v>
      </c>
      <c r="B195" s="3" t="inlineStr">
        <is>
          <t>KH001</t>
        </is>
      </c>
      <c r="C195" s="4" t="inlineStr">
        <is>
          <t>Điện nước Nhật (Shop) HCM</t>
        </is>
      </c>
      <c r="D195" s="3" t="inlineStr">
        <is>
          <t>HCM</t>
        </is>
      </c>
      <c r="E195" s="3" t="inlineStr">
        <is>
          <t>BẢO TRÂM</t>
        </is>
      </c>
      <c r="F195" s="3" t="inlineStr">
        <is>
          <t>Shopee</t>
        </is>
      </c>
      <c r="G195" s="3" t="inlineStr"/>
      <c r="H195" s="4" t="inlineStr">
        <is>
          <t>Mũi khoan tường không tắc kê KBLJ - 07*125</t>
        </is>
      </c>
      <c r="I195" s="3" t="inlineStr">
        <is>
          <t>Cái</t>
        </is>
      </c>
      <c r="J195" s="5" t="n">
        <v>269000</v>
      </c>
      <c r="K195" s="5" t="n">
        <v>317000</v>
      </c>
      <c r="L195" s="6" t="n">
        <v>390000</v>
      </c>
      <c r="M195" s="5" t="n"/>
      <c r="N195" s="5">
        <f>IF(AND(ISNUMBER(M195),ISNUMBER(L195)),M195-L195,"")</f>
        <v/>
      </c>
      <c r="O195" s="7">
        <f>IF(AND(ISNUMBER(M195),ISNUMBER(L195),L195&gt;0),(M195-L195)/L195,"")</f>
        <v/>
      </c>
      <c r="P195" s="3">
        <f>IF(O195="","",IF(O195&lt;-0.02,"🔴 Bán phá giá sàn",IF(O195&gt;0.05,"🔵 Bán cao hơn","🟢 Đúng giá sàn TMĐT")))</f>
        <v/>
      </c>
      <c r="Q195" s="3" t="n"/>
      <c r="R195" s="4" t="n"/>
      <c r="S195" s="4" t="n"/>
    </row>
    <row r="196">
      <c r="A196" s="3" t="n">
        <v>195</v>
      </c>
      <c r="B196" s="3" t="inlineStr">
        <is>
          <t>KH001</t>
        </is>
      </c>
      <c r="C196" s="4" t="inlineStr">
        <is>
          <t>Điện nước Nhật (Shop) HCM</t>
        </is>
      </c>
      <c r="D196" s="3" t="inlineStr">
        <is>
          <t>HCM</t>
        </is>
      </c>
      <c r="E196" s="3" t="inlineStr">
        <is>
          <t>BẢO TRÂM</t>
        </is>
      </c>
      <c r="F196" s="3" t="inlineStr">
        <is>
          <t>Shopee</t>
        </is>
      </c>
      <c r="G196" s="3" t="inlineStr"/>
      <c r="H196" s="4" t="inlineStr">
        <is>
          <t>Mũi khoan tường không tắc kê KBLJ - 08*125</t>
        </is>
      </c>
      <c r="I196" s="3" t="inlineStr">
        <is>
          <t>Cái</t>
        </is>
      </c>
      <c r="J196" s="5" t="n">
        <v>269000</v>
      </c>
      <c r="K196" s="5" t="n">
        <v>317000</v>
      </c>
      <c r="L196" s="6" t="n">
        <v>390000</v>
      </c>
      <c r="M196" s="5" t="n"/>
      <c r="N196" s="5">
        <f>IF(AND(ISNUMBER(M196),ISNUMBER(L196)),M196-L196,"")</f>
        <v/>
      </c>
      <c r="O196" s="7">
        <f>IF(AND(ISNUMBER(M196),ISNUMBER(L196),L196&gt;0),(M196-L196)/L196,"")</f>
        <v/>
      </c>
      <c r="P196" s="3">
        <f>IF(O196="","",IF(O196&lt;-0.02,"🔴 Bán phá giá sàn",IF(O196&gt;0.05,"🔵 Bán cao hơn","🟢 Đúng giá sàn TMĐT")))</f>
        <v/>
      </c>
      <c r="Q196" s="3" t="n"/>
      <c r="R196" s="4" t="n"/>
      <c r="S196" s="4" t="n"/>
    </row>
    <row r="197">
      <c r="A197" s="3" t="n">
        <v>196</v>
      </c>
      <c r="B197" s="3" t="inlineStr">
        <is>
          <t>KH001</t>
        </is>
      </c>
      <c r="C197" s="4" t="inlineStr">
        <is>
          <t>Điện nước Nhật (Shop) HCM</t>
        </is>
      </c>
      <c r="D197" s="3" t="inlineStr">
        <is>
          <t>HCM</t>
        </is>
      </c>
      <c r="E197" s="3" t="inlineStr">
        <is>
          <t>BẢO TRÂM</t>
        </is>
      </c>
      <c r="F197" s="3" t="inlineStr">
        <is>
          <t>Shopee</t>
        </is>
      </c>
      <c r="G197" s="3" t="inlineStr"/>
      <c r="H197" s="4" t="inlineStr">
        <is>
          <t>Mũi khoan tường không tắc kê KBLJ - 10*148</t>
        </is>
      </c>
      <c r="I197" s="3" t="inlineStr">
        <is>
          <t>Cái</t>
        </is>
      </c>
      <c r="J197" s="5" t="n">
        <v>269000</v>
      </c>
      <c r="K197" s="5" t="n">
        <v>317000</v>
      </c>
      <c r="L197" s="6" t="n">
        <v>390000</v>
      </c>
      <c r="M197" s="5" t="n"/>
      <c r="N197" s="5">
        <f>IF(AND(ISNUMBER(M197),ISNUMBER(L197)),M197-L197,"")</f>
        <v/>
      </c>
      <c r="O197" s="7">
        <f>IF(AND(ISNUMBER(M197),ISNUMBER(L197),L197&gt;0),(M197-L197)/L197,"")</f>
        <v/>
      </c>
      <c r="P197" s="3">
        <f>IF(O197="","",IF(O197&lt;-0.02,"🔴 Bán phá giá sàn",IF(O197&gt;0.05,"🔵 Bán cao hơn","🟢 Đúng giá sàn TMĐT")))</f>
        <v/>
      </c>
      <c r="Q197" s="3" t="n"/>
      <c r="R197" s="4" t="n"/>
      <c r="S197" s="4" t="n"/>
    </row>
    <row r="198">
      <c r="A198" s="3" t="n">
        <v>197</v>
      </c>
      <c r="B198" s="3" t="inlineStr">
        <is>
          <t>KH001</t>
        </is>
      </c>
      <c r="C198" s="4" t="inlineStr">
        <is>
          <t>Điện nước Nhật (Shop) HCM</t>
        </is>
      </c>
      <c r="D198" s="3" t="inlineStr">
        <is>
          <t>HCM</t>
        </is>
      </c>
      <c r="E198" s="3" t="inlineStr">
        <is>
          <t>BẢO TRÂM</t>
        </is>
      </c>
      <c r="F198" s="3" t="inlineStr">
        <is>
          <t>Shopee</t>
        </is>
      </c>
      <c r="G198" s="3" t="inlineStr">
        <is>
          <t>KBT-04*12</t>
        </is>
      </c>
      <c r="H198" s="4" t="inlineStr">
        <is>
          <t>Mũi khoan tháp M2 KBT-04*12</t>
        </is>
      </c>
      <c r="I198" s="3" t="inlineStr">
        <is>
          <t>Cái</t>
        </is>
      </c>
      <c r="J198" s="5" t="n">
        <v>88000</v>
      </c>
      <c r="K198" s="5" t="n">
        <v>109000</v>
      </c>
      <c r="L198" s="6" t="n">
        <v>141000</v>
      </c>
      <c r="M198" s="5" t="n"/>
      <c r="N198" s="5">
        <f>IF(AND(ISNUMBER(M198),ISNUMBER(L198)),M198-L198,"")</f>
        <v/>
      </c>
      <c r="O198" s="7">
        <f>IF(AND(ISNUMBER(M198),ISNUMBER(L198),L198&gt;0),(M198-L198)/L198,"")</f>
        <v/>
      </c>
      <c r="P198" s="3">
        <f>IF(O198="","",IF(O198&lt;-0.02,"🔴 Bán phá giá sàn",IF(O198&gt;0.05,"🔵 Bán cao hơn","🟢 Đúng giá sàn TMĐT")))</f>
        <v/>
      </c>
      <c r="Q198" s="3" t="n"/>
      <c r="R198" s="4" t="n"/>
      <c r="S198" s="4" t="n"/>
    </row>
    <row r="199">
      <c r="A199" s="3" t="n">
        <v>198</v>
      </c>
      <c r="B199" s="3" t="inlineStr">
        <is>
          <t>KH001</t>
        </is>
      </c>
      <c r="C199" s="4" t="inlineStr">
        <is>
          <t>Điện nước Nhật (Shop) HCM</t>
        </is>
      </c>
      <c r="D199" s="3" t="inlineStr">
        <is>
          <t>HCM</t>
        </is>
      </c>
      <c r="E199" s="3" t="inlineStr">
        <is>
          <t>BẢO TRÂM</t>
        </is>
      </c>
      <c r="F199" s="3" t="inlineStr">
        <is>
          <t>Shopee</t>
        </is>
      </c>
      <c r="G199" s="3" t="inlineStr">
        <is>
          <t>KBT-04*20</t>
        </is>
      </c>
      <c r="H199" s="4" t="inlineStr">
        <is>
          <t>Mũi khoan tháp M2 KBT-04*20</t>
        </is>
      </c>
      <c r="I199" s="3" t="inlineStr">
        <is>
          <t>Cái</t>
        </is>
      </c>
      <c r="J199" s="5" t="n">
        <v>170000</v>
      </c>
      <c r="K199" s="5" t="n">
        <v>211000</v>
      </c>
      <c r="L199" s="6" t="n">
        <v>272000</v>
      </c>
      <c r="M199" s="5" t="n"/>
      <c r="N199" s="5">
        <f>IF(AND(ISNUMBER(M199),ISNUMBER(L199)),M199-L199,"")</f>
        <v/>
      </c>
      <c r="O199" s="7">
        <f>IF(AND(ISNUMBER(M199),ISNUMBER(L199),L199&gt;0),(M199-L199)/L199,"")</f>
        <v/>
      </c>
      <c r="P199" s="3">
        <f>IF(O199="","",IF(O199&lt;-0.02,"🔴 Bán phá giá sàn",IF(O199&gt;0.05,"🔵 Bán cao hơn","🟢 Đúng giá sàn TMĐT")))</f>
        <v/>
      </c>
      <c r="Q199" s="3" t="n"/>
      <c r="R199" s="4" t="n"/>
      <c r="S199" s="4" t="n"/>
    </row>
    <row r="200">
      <c r="A200" s="3" t="n">
        <v>199</v>
      </c>
      <c r="B200" s="3" t="inlineStr">
        <is>
          <t>KH001</t>
        </is>
      </c>
      <c r="C200" s="4" t="inlineStr">
        <is>
          <t>Điện nước Nhật (Shop) HCM</t>
        </is>
      </c>
      <c r="D200" s="3" t="inlineStr">
        <is>
          <t>HCM</t>
        </is>
      </c>
      <c r="E200" s="3" t="inlineStr">
        <is>
          <t>BẢO TRÂM</t>
        </is>
      </c>
      <c r="F200" s="3" t="inlineStr">
        <is>
          <t>Shopee</t>
        </is>
      </c>
      <c r="G200" s="3" t="inlineStr">
        <is>
          <t>KBT-04*32</t>
        </is>
      </c>
      <c r="H200" s="4" t="inlineStr">
        <is>
          <t>Mũi khoan tháp M2 KBT-04*32</t>
        </is>
      </c>
      <c r="I200" s="3" t="inlineStr">
        <is>
          <t>Cái</t>
        </is>
      </c>
      <c r="J200" s="5" t="n">
        <v>319000</v>
      </c>
      <c r="K200" s="5" t="n">
        <v>395000</v>
      </c>
      <c r="L200" s="6" t="n">
        <v>510000</v>
      </c>
      <c r="M200" s="5" t="n"/>
      <c r="N200" s="5">
        <f>IF(AND(ISNUMBER(M200),ISNUMBER(L200)),M200-L200,"")</f>
        <v/>
      </c>
      <c r="O200" s="7">
        <f>IF(AND(ISNUMBER(M200),ISNUMBER(L200),L200&gt;0),(M200-L200)/L200,"")</f>
        <v/>
      </c>
      <c r="P200" s="3">
        <f>IF(O200="","",IF(O200&lt;-0.02,"🔴 Bán phá giá sàn",IF(O200&gt;0.05,"🔵 Bán cao hơn","🟢 Đúng giá sàn TMĐT")))</f>
        <v/>
      </c>
      <c r="Q200" s="3" t="n"/>
      <c r="R200" s="4" t="n"/>
      <c r="S200" s="4" t="n"/>
    </row>
    <row r="201">
      <c r="A201" s="3" t="n">
        <v>200</v>
      </c>
      <c r="B201" s="3" t="inlineStr">
        <is>
          <t>KH001</t>
        </is>
      </c>
      <c r="C201" s="4" t="inlineStr">
        <is>
          <t>Điện nước Nhật (Shop) HCM</t>
        </is>
      </c>
      <c r="D201" s="3" t="inlineStr">
        <is>
          <t>HCM</t>
        </is>
      </c>
      <c r="E201" s="3" t="inlineStr">
        <is>
          <t>BẢO TRÂM</t>
        </is>
      </c>
      <c r="F201" s="3" t="inlineStr">
        <is>
          <t>Shopee</t>
        </is>
      </c>
      <c r="G201" s="3" t="inlineStr">
        <is>
          <t>KBY1-045</t>
        </is>
      </c>
      <c r="H201" s="4" t="inlineStr">
        <is>
          <t>Mũi khoan thép KBY1-045</t>
        </is>
      </c>
      <c r="I201" s="3" t="inlineStr">
        <is>
          <t>Cái</t>
        </is>
      </c>
      <c r="J201" s="5" t="n">
        <v>14000</v>
      </c>
      <c r="K201" s="5" t="n">
        <v>17000</v>
      </c>
      <c r="L201" s="6" t="n">
        <v>22000</v>
      </c>
      <c r="M201" s="5" t="n"/>
      <c r="N201" s="5">
        <f>IF(AND(ISNUMBER(M201),ISNUMBER(L201)),M201-L201,"")</f>
        <v/>
      </c>
      <c r="O201" s="7">
        <f>IF(AND(ISNUMBER(M201),ISNUMBER(L201),L201&gt;0),(M201-L201)/L201,"")</f>
        <v/>
      </c>
      <c r="P201" s="3">
        <f>IF(O201="","",IF(O201&lt;-0.02,"🔴 Bán phá giá sàn",IF(O201&gt;0.05,"🔵 Bán cao hơn","🟢 Đúng giá sàn TMĐT")))</f>
        <v/>
      </c>
      <c r="Q201" s="3" t="n"/>
      <c r="R201" s="4" t="n"/>
      <c r="S201" s="4" t="n"/>
    </row>
    <row r="202">
      <c r="A202" s="3" t="n">
        <v>201</v>
      </c>
      <c r="B202" s="3" t="inlineStr">
        <is>
          <t>KH001</t>
        </is>
      </c>
      <c r="C202" s="4" t="inlineStr">
        <is>
          <t>Điện nước Nhật (Shop) HCM</t>
        </is>
      </c>
      <c r="D202" s="3" t="inlineStr">
        <is>
          <t>HCM</t>
        </is>
      </c>
      <c r="E202" s="3" t="inlineStr">
        <is>
          <t>BẢO TRÂM</t>
        </is>
      </c>
      <c r="F202" s="3" t="inlineStr">
        <is>
          <t>Shopee</t>
        </is>
      </c>
      <c r="G202" s="3" t="inlineStr">
        <is>
          <t>KBX2-15</t>
        </is>
      </c>
      <c r="H202" s="4" t="inlineStr">
        <is>
          <t>Mũi khoét gỗ KBX2-15</t>
        </is>
      </c>
      <c r="I202" s="3" t="inlineStr">
        <is>
          <t>Cái</t>
        </is>
      </c>
      <c r="J202" s="5" t="n">
        <v>59000</v>
      </c>
      <c r="K202" s="5" t="n">
        <v>70000</v>
      </c>
      <c r="L202" s="6" t="n">
        <v>86000</v>
      </c>
      <c r="M202" s="5" t="n"/>
      <c r="N202" s="5">
        <f>IF(AND(ISNUMBER(M202),ISNUMBER(L202)),M202-L202,"")</f>
        <v/>
      </c>
      <c r="O202" s="7">
        <f>IF(AND(ISNUMBER(M202),ISNUMBER(L202),L202&gt;0),(M202-L202)/L202,"")</f>
        <v/>
      </c>
      <c r="P202" s="3">
        <f>IF(O202="","",IF(O202&lt;-0.02,"🔴 Bán phá giá sàn",IF(O202&gt;0.05,"🔵 Bán cao hơn","🟢 Đúng giá sàn TMĐT")))</f>
        <v/>
      </c>
      <c r="Q202" s="3" t="n"/>
      <c r="R202" s="4" t="n"/>
      <c r="S202" s="4" t="n"/>
    </row>
    <row r="203">
      <c r="A203" s="3" t="n">
        <v>202</v>
      </c>
      <c r="B203" s="3" t="inlineStr">
        <is>
          <t>KH001</t>
        </is>
      </c>
      <c r="C203" s="4" t="inlineStr">
        <is>
          <t>Điện nước Nhật (Shop) HCM</t>
        </is>
      </c>
      <c r="D203" s="3" t="inlineStr">
        <is>
          <t>HCM</t>
        </is>
      </c>
      <c r="E203" s="3" t="inlineStr">
        <is>
          <t>BẢO TRÂM</t>
        </is>
      </c>
      <c r="F203" s="3" t="inlineStr">
        <is>
          <t>Shopee</t>
        </is>
      </c>
      <c r="G203" s="3" t="inlineStr">
        <is>
          <t>KBX2-16</t>
        </is>
      </c>
      <c r="H203" s="4" t="inlineStr">
        <is>
          <t>Mũi khoét gỗ KBX2-16</t>
        </is>
      </c>
      <c r="I203" s="3" t="inlineStr">
        <is>
          <t>Cái</t>
        </is>
      </c>
      <c r="J203" s="5" t="n">
        <v>59000</v>
      </c>
      <c r="K203" s="5" t="n">
        <v>70000</v>
      </c>
      <c r="L203" s="6" t="n">
        <v>86000</v>
      </c>
      <c r="M203" s="5" t="n"/>
      <c r="N203" s="5">
        <f>IF(AND(ISNUMBER(M203),ISNUMBER(L203)),M203-L203,"")</f>
        <v/>
      </c>
      <c r="O203" s="7">
        <f>IF(AND(ISNUMBER(M203),ISNUMBER(L203),L203&gt;0),(M203-L203)/L203,"")</f>
        <v/>
      </c>
      <c r="P203" s="3">
        <f>IF(O203="","",IF(O203&lt;-0.02,"🔴 Bán phá giá sàn",IF(O203&gt;0.05,"🔵 Bán cao hơn","🟢 Đúng giá sàn TMĐT")))</f>
        <v/>
      </c>
      <c r="Q203" s="3" t="n"/>
      <c r="R203" s="4" t="n"/>
      <c r="S203" s="4" t="n"/>
    </row>
    <row r="204">
      <c r="A204" s="3" t="n">
        <v>203</v>
      </c>
      <c r="B204" s="3" t="inlineStr">
        <is>
          <t>KH001</t>
        </is>
      </c>
      <c r="C204" s="4" t="inlineStr">
        <is>
          <t>Điện nước Nhật (Shop) HCM</t>
        </is>
      </c>
      <c r="D204" s="3" t="inlineStr">
        <is>
          <t>HCM</t>
        </is>
      </c>
      <c r="E204" s="3" t="inlineStr">
        <is>
          <t>BẢO TRÂM</t>
        </is>
      </c>
      <c r="F204" s="3" t="inlineStr">
        <is>
          <t>Shopee</t>
        </is>
      </c>
      <c r="G204" s="3" t="inlineStr">
        <is>
          <t>KBX2-18</t>
        </is>
      </c>
      <c r="H204" s="4" t="inlineStr">
        <is>
          <t>Mũi khoét gỗ KBX2-18</t>
        </is>
      </c>
      <c r="I204" s="3" t="inlineStr">
        <is>
          <t>Cái</t>
        </is>
      </c>
      <c r="J204" s="5" t="n">
        <v>59000</v>
      </c>
      <c r="K204" s="5" t="n">
        <v>70000</v>
      </c>
      <c r="L204" s="6" t="n">
        <v>86000</v>
      </c>
      <c r="M204" s="5" t="n"/>
      <c r="N204" s="5">
        <f>IF(AND(ISNUMBER(M204),ISNUMBER(L204)),M204-L204,"")</f>
        <v/>
      </c>
      <c r="O204" s="7">
        <f>IF(AND(ISNUMBER(M204),ISNUMBER(L204),L204&gt;0),(M204-L204)/L204,"")</f>
        <v/>
      </c>
      <c r="P204" s="3">
        <f>IF(O204="","",IF(O204&lt;-0.02,"🔴 Bán phá giá sàn",IF(O204&gt;0.05,"🔵 Bán cao hơn","🟢 Đúng giá sàn TMĐT")))</f>
        <v/>
      </c>
      <c r="Q204" s="3" t="n"/>
      <c r="R204" s="4" t="n"/>
      <c r="S204" s="4" t="n"/>
    </row>
    <row r="205">
      <c r="A205" s="3" t="n">
        <v>204</v>
      </c>
      <c r="B205" s="3" t="inlineStr">
        <is>
          <t>KH001</t>
        </is>
      </c>
      <c r="C205" s="4" t="inlineStr">
        <is>
          <t>Điện nước Nhật (Shop) HCM</t>
        </is>
      </c>
      <c r="D205" s="3" t="inlineStr">
        <is>
          <t>HCM</t>
        </is>
      </c>
      <c r="E205" s="3" t="inlineStr">
        <is>
          <t>BẢO TRÂM</t>
        </is>
      </c>
      <c r="F205" s="3" t="inlineStr">
        <is>
          <t>Shopee</t>
        </is>
      </c>
      <c r="G205" s="3" t="inlineStr">
        <is>
          <t>KBX2-20</t>
        </is>
      </c>
      <c r="H205" s="4" t="inlineStr">
        <is>
          <t>Mũi khoét gỗ KBX2-20</t>
        </is>
      </c>
      <c r="I205" s="3" t="inlineStr">
        <is>
          <t>Cái</t>
        </is>
      </c>
      <c r="J205" s="5" t="n">
        <v>67000</v>
      </c>
      <c r="K205" s="5" t="n">
        <v>79000</v>
      </c>
      <c r="L205" s="6" t="n">
        <v>97000</v>
      </c>
      <c r="M205" s="5" t="n"/>
      <c r="N205" s="5">
        <f>IF(AND(ISNUMBER(M205),ISNUMBER(L205)),M205-L205,"")</f>
        <v/>
      </c>
      <c r="O205" s="7">
        <f>IF(AND(ISNUMBER(M205),ISNUMBER(L205),L205&gt;0),(M205-L205)/L205,"")</f>
        <v/>
      </c>
      <c r="P205" s="3">
        <f>IF(O205="","",IF(O205&lt;-0.02,"🔴 Bán phá giá sàn",IF(O205&gt;0.05,"🔵 Bán cao hơn","🟢 Đúng giá sàn TMĐT")))</f>
        <v/>
      </c>
      <c r="Q205" s="3" t="n"/>
      <c r="R205" s="4" t="n"/>
      <c r="S205" s="4" t="n"/>
    </row>
    <row r="206">
      <c r="A206" s="3" t="n">
        <v>205</v>
      </c>
      <c r="B206" s="3" t="inlineStr">
        <is>
          <t>KH001</t>
        </is>
      </c>
      <c r="C206" s="4" t="inlineStr">
        <is>
          <t>Điện nước Nhật (Shop) HCM</t>
        </is>
      </c>
      <c r="D206" s="3" t="inlineStr">
        <is>
          <t>HCM</t>
        </is>
      </c>
      <c r="E206" s="3" t="inlineStr">
        <is>
          <t>BẢO TRÂM</t>
        </is>
      </c>
      <c r="F206" s="3" t="inlineStr">
        <is>
          <t>Shopee</t>
        </is>
      </c>
      <c r="G206" s="3" t="inlineStr">
        <is>
          <t>KBX2-27</t>
        </is>
      </c>
      <c r="H206" s="4" t="inlineStr">
        <is>
          <t>Mũi khoét gỗ KBX2-27</t>
        </is>
      </c>
      <c r="I206" s="3" t="inlineStr">
        <is>
          <t>Cái</t>
        </is>
      </c>
      <c r="J206" s="5" t="n">
        <v>92000</v>
      </c>
      <c r="K206" s="5" t="n">
        <v>108000</v>
      </c>
      <c r="L206" s="6" t="n">
        <v>133000</v>
      </c>
      <c r="M206" s="5" t="n"/>
      <c r="N206" s="5">
        <f>IF(AND(ISNUMBER(M206),ISNUMBER(L206)),M206-L206,"")</f>
        <v/>
      </c>
      <c r="O206" s="7">
        <f>IF(AND(ISNUMBER(M206),ISNUMBER(L206),L206&gt;0),(M206-L206)/L206,"")</f>
        <v/>
      </c>
      <c r="P206" s="3">
        <f>IF(O206="","",IF(O206&lt;-0.02,"🔴 Bán phá giá sàn",IF(O206&gt;0.05,"🔵 Bán cao hơn","🟢 Đúng giá sàn TMĐT")))</f>
        <v/>
      </c>
      <c r="Q206" s="3" t="n"/>
      <c r="R206" s="4" t="n"/>
      <c r="S206" s="4" t="n"/>
    </row>
    <row r="207">
      <c r="A207" s="3" t="n">
        <v>206</v>
      </c>
      <c r="B207" s="3" t="inlineStr">
        <is>
          <t>KH001</t>
        </is>
      </c>
      <c r="C207" s="4" t="inlineStr">
        <is>
          <t>Điện nước Nhật (Shop) HCM</t>
        </is>
      </c>
      <c r="D207" s="3" t="inlineStr">
        <is>
          <t>HCM</t>
        </is>
      </c>
      <c r="E207" s="3" t="inlineStr">
        <is>
          <t>BẢO TRÂM</t>
        </is>
      </c>
      <c r="F207" s="3" t="inlineStr">
        <is>
          <t>Shopee</t>
        </is>
      </c>
      <c r="G207" s="3" t="inlineStr">
        <is>
          <t>KBX2-50</t>
        </is>
      </c>
      <c r="H207" s="4" t="inlineStr">
        <is>
          <t>Mũi khoét gỗ KBX2-50</t>
        </is>
      </c>
      <c r="I207" s="3" t="inlineStr">
        <is>
          <t>Cái</t>
        </is>
      </c>
      <c r="J207" s="5" t="n">
        <v>164000</v>
      </c>
      <c r="K207" s="5" t="n">
        <v>194000</v>
      </c>
      <c r="L207" s="6" t="n">
        <v>238000</v>
      </c>
      <c r="M207" s="5" t="n"/>
      <c r="N207" s="5">
        <f>IF(AND(ISNUMBER(M207),ISNUMBER(L207)),M207-L207,"")</f>
        <v/>
      </c>
      <c r="O207" s="7">
        <f>IF(AND(ISNUMBER(M207),ISNUMBER(L207),L207&gt;0),(M207-L207)/L207,"")</f>
        <v/>
      </c>
      <c r="P207" s="3">
        <f>IF(O207="","",IF(O207&lt;-0.02,"🔴 Bán phá giá sàn",IF(O207&gt;0.05,"🔵 Bán cao hơn","🟢 Đúng giá sàn TMĐT")))</f>
        <v/>
      </c>
      <c r="Q207" s="3" t="n"/>
      <c r="R207" s="4" t="n"/>
      <c r="S207" s="4" t="n"/>
    </row>
    <row r="208">
      <c r="A208" s="3" t="n">
        <v>207</v>
      </c>
      <c r="B208" s="3" t="inlineStr">
        <is>
          <t>KH001</t>
        </is>
      </c>
      <c r="C208" s="4" t="inlineStr">
        <is>
          <t>Điện nước Nhật (Shop) HCM</t>
        </is>
      </c>
      <c r="D208" s="3" t="inlineStr">
        <is>
          <t>HCM</t>
        </is>
      </c>
      <c r="E208" s="3" t="inlineStr">
        <is>
          <t>BẢO TRÂM</t>
        </is>
      </c>
      <c r="F208" s="3" t="inlineStr">
        <is>
          <t>Shopee</t>
        </is>
      </c>
      <c r="G208" s="3" t="inlineStr">
        <is>
          <t>KBX2-60</t>
        </is>
      </c>
      <c r="H208" s="4" t="inlineStr">
        <is>
          <t>Mũi khoét gỗ KBX2-60</t>
        </is>
      </c>
      <c r="I208" s="3" t="inlineStr">
        <is>
          <t>Cái</t>
        </is>
      </c>
      <c r="J208" s="5" t="n">
        <v>191000</v>
      </c>
      <c r="K208" s="5" t="n">
        <v>225000</v>
      </c>
      <c r="L208" s="6" t="n">
        <v>277000</v>
      </c>
      <c r="M208" s="5" t="n"/>
      <c r="N208" s="5">
        <f>IF(AND(ISNUMBER(M208),ISNUMBER(L208)),M208-L208,"")</f>
        <v/>
      </c>
      <c r="O208" s="7">
        <f>IF(AND(ISNUMBER(M208),ISNUMBER(L208),L208&gt;0),(M208-L208)/L208,"")</f>
        <v/>
      </c>
      <c r="P208" s="3">
        <f>IF(O208="","",IF(O208&lt;-0.02,"🔴 Bán phá giá sàn",IF(O208&gt;0.05,"🔵 Bán cao hơn","🟢 Đúng giá sàn TMĐT")))</f>
        <v/>
      </c>
      <c r="Q208" s="3" t="n"/>
      <c r="R208" s="4" t="n"/>
      <c r="S208" s="4" t="n"/>
    </row>
    <row r="209">
      <c r="A209" s="3" t="n">
        <v>208</v>
      </c>
      <c r="B209" s="3" t="inlineStr">
        <is>
          <t>KH001</t>
        </is>
      </c>
      <c r="C209" s="4" t="inlineStr">
        <is>
          <t>Điện nước Nhật (Shop) HCM</t>
        </is>
      </c>
      <c r="D209" s="3" t="inlineStr">
        <is>
          <t>HCM</t>
        </is>
      </c>
      <c r="E209" s="3" t="inlineStr">
        <is>
          <t>BẢO TRÂM</t>
        </is>
      </c>
      <c r="F209" s="3" t="inlineStr">
        <is>
          <t>Shopee</t>
        </is>
      </c>
      <c r="G209" s="3" t="inlineStr">
        <is>
          <t>R1-26/25</t>
        </is>
      </c>
      <c r="H209" s="4" t="inlineStr">
        <is>
          <t>Mũi khoét hợp kim BlueBird R1-26/25</t>
        </is>
      </c>
      <c r="I209" s="3" t="inlineStr">
        <is>
          <t>Cái</t>
        </is>
      </c>
      <c r="J209" s="5" t="n">
        <v>97000</v>
      </c>
      <c r="K209" s="5" t="n">
        <v>118000</v>
      </c>
      <c r="L209" s="6" t="n">
        <v>150000</v>
      </c>
      <c r="M209" s="5" t="n"/>
      <c r="N209" s="5">
        <f>IF(AND(ISNUMBER(M209),ISNUMBER(L209)),M209-L209,"")</f>
        <v/>
      </c>
      <c r="O209" s="7">
        <f>IF(AND(ISNUMBER(M209),ISNUMBER(L209),L209&gt;0),(M209-L209)/L209,"")</f>
        <v/>
      </c>
      <c r="P209" s="3">
        <f>IF(O209="","",IF(O209&lt;-0.02,"🔴 Bán phá giá sàn",IF(O209&gt;0.05,"🔵 Bán cao hơn","🟢 Đúng giá sàn TMĐT")))</f>
        <v/>
      </c>
      <c r="Q209" s="3" t="n"/>
      <c r="R209" s="4" t="n"/>
      <c r="S209" s="4" t="n"/>
    </row>
    <row r="210">
      <c r="A210" s="3" t="n">
        <v>209</v>
      </c>
      <c r="B210" s="3" t="inlineStr">
        <is>
          <t>KH001</t>
        </is>
      </c>
      <c r="C210" s="4" t="inlineStr">
        <is>
          <t>Điện nước Nhật (Shop) HCM</t>
        </is>
      </c>
      <c r="D210" s="3" t="inlineStr">
        <is>
          <t>HCM</t>
        </is>
      </c>
      <c r="E210" s="3" t="inlineStr">
        <is>
          <t>BẢO TRÂM</t>
        </is>
      </c>
      <c r="F210" s="3" t="inlineStr">
        <is>
          <t>Shopee</t>
        </is>
      </c>
      <c r="G210" s="3" t="inlineStr">
        <is>
          <t>R1-35/25</t>
        </is>
      </c>
      <c r="H210" s="4" t="inlineStr">
        <is>
          <t>Mũi khoét hợp kim BlueBird R1-35/25</t>
        </is>
      </c>
      <c r="I210" s="3" t="inlineStr">
        <is>
          <t>Cái</t>
        </is>
      </c>
      <c r="J210" s="5" t="n">
        <v>129000</v>
      </c>
      <c r="K210" s="5" t="n">
        <v>157000</v>
      </c>
      <c r="L210" s="6" t="n">
        <v>200000</v>
      </c>
      <c r="M210" s="5" t="n"/>
      <c r="N210" s="5">
        <f>IF(AND(ISNUMBER(M210),ISNUMBER(L210)),M210-L210,"")</f>
        <v/>
      </c>
      <c r="O210" s="7">
        <f>IF(AND(ISNUMBER(M210),ISNUMBER(L210),L210&gt;0),(M210-L210)/L210,"")</f>
        <v/>
      </c>
      <c r="P210" s="3">
        <f>IF(O210="","",IF(O210&lt;-0.02,"🔴 Bán phá giá sàn",IF(O210&gt;0.05,"🔵 Bán cao hơn","🟢 Đúng giá sàn TMĐT")))</f>
        <v/>
      </c>
      <c r="Q210" s="3" t="n"/>
      <c r="R210" s="4" t="n"/>
      <c r="S210" s="4" t="n"/>
    </row>
    <row r="211">
      <c r="A211" s="3" t="n">
        <v>210</v>
      </c>
      <c r="B211" s="3" t="inlineStr">
        <is>
          <t>KH001</t>
        </is>
      </c>
      <c r="C211" s="4" t="inlineStr">
        <is>
          <t>Điện nước Nhật (Shop) HCM</t>
        </is>
      </c>
      <c r="D211" s="3" t="inlineStr">
        <is>
          <t>HCM</t>
        </is>
      </c>
      <c r="E211" s="3" t="inlineStr">
        <is>
          <t>BẢO TRÂM</t>
        </is>
      </c>
      <c r="F211" s="3" t="inlineStr">
        <is>
          <t>Shopee</t>
        </is>
      </c>
      <c r="G211" s="3" t="inlineStr">
        <is>
          <t>R1-38/25</t>
        </is>
      </c>
      <c r="H211" s="4" t="inlineStr">
        <is>
          <t>Mũi khoét hợp kim Bluebird R1-38/25</t>
        </is>
      </c>
      <c r="I211" s="3" t="inlineStr">
        <is>
          <t>Cái</t>
        </is>
      </c>
      <c r="J211" s="5" t="n">
        <v>140000</v>
      </c>
      <c r="K211" s="5" t="n">
        <v>171000</v>
      </c>
      <c r="L211" s="6" t="n">
        <v>217000</v>
      </c>
      <c r="M211" s="5" t="n"/>
      <c r="N211" s="5">
        <f>IF(AND(ISNUMBER(M211),ISNUMBER(L211)),M211-L211,"")</f>
        <v/>
      </c>
      <c r="O211" s="7">
        <f>IF(AND(ISNUMBER(M211),ISNUMBER(L211),L211&gt;0),(M211-L211)/L211,"")</f>
        <v/>
      </c>
      <c r="P211" s="3">
        <f>IF(O211="","",IF(O211&lt;-0.02,"🔴 Bán phá giá sàn",IF(O211&gt;0.05,"🔵 Bán cao hơn","🟢 Đúng giá sàn TMĐT")))</f>
        <v/>
      </c>
      <c r="Q211" s="3" t="n"/>
      <c r="R211" s="4" t="n"/>
      <c r="S211" s="4" t="n"/>
    </row>
    <row r="212">
      <c r="A212" s="3" t="n">
        <v>211</v>
      </c>
      <c r="B212" s="3" t="inlineStr">
        <is>
          <t>KH001</t>
        </is>
      </c>
      <c r="C212" s="4" t="inlineStr">
        <is>
          <t>Điện nước Nhật (Shop) HCM</t>
        </is>
      </c>
      <c r="D212" s="3" t="inlineStr">
        <is>
          <t>HCM</t>
        </is>
      </c>
      <c r="E212" s="3" t="inlineStr">
        <is>
          <t>BẢO TRÂM</t>
        </is>
      </c>
      <c r="F212" s="3" t="inlineStr">
        <is>
          <t>Shopee</t>
        </is>
      </c>
      <c r="G212" s="3" t="inlineStr">
        <is>
          <t>R1-42/25</t>
        </is>
      </c>
      <c r="H212" s="4" t="inlineStr">
        <is>
          <t>Mũi khoét hợp kim Bluebird R1-42/25</t>
        </is>
      </c>
      <c r="I212" s="3" t="inlineStr">
        <is>
          <t>Cái</t>
        </is>
      </c>
      <c r="J212" s="5" t="n">
        <v>153000</v>
      </c>
      <c r="K212" s="5" t="n">
        <v>187000</v>
      </c>
      <c r="L212" s="6" t="n">
        <v>237000</v>
      </c>
      <c r="M212" s="5" t="n"/>
      <c r="N212" s="5">
        <f>IF(AND(ISNUMBER(M212),ISNUMBER(L212)),M212-L212,"")</f>
        <v/>
      </c>
      <c r="O212" s="7">
        <f>IF(AND(ISNUMBER(M212),ISNUMBER(L212),L212&gt;0),(M212-L212)/L212,"")</f>
        <v/>
      </c>
      <c r="P212" s="3">
        <f>IF(O212="","",IF(O212&lt;-0.02,"🔴 Bán phá giá sàn",IF(O212&gt;0.05,"🔵 Bán cao hơn","🟢 Đúng giá sàn TMĐT")))</f>
        <v/>
      </c>
      <c r="Q212" s="3" t="n"/>
      <c r="R212" s="4" t="n"/>
      <c r="S212" s="4" t="n"/>
    </row>
    <row r="213">
      <c r="A213" s="3" t="n">
        <v>212</v>
      </c>
      <c r="B213" s="3" t="inlineStr">
        <is>
          <t>KH001</t>
        </is>
      </c>
      <c r="C213" s="4" t="inlineStr">
        <is>
          <t>Điện nước Nhật (Shop) HCM</t>
        </is>
      </c>
      <c r="D213" s="3" t="inlineStr">
        <is>
          <t>HCM</t>
        </is>
      </c>
      <c r="E213" s="3" t="inlineStr">
        <is>
          <t>BẢO TRÂM</t>
        </is>
      </c>
      <c r="F213" s="3" t="inlineStr">
        <is>
          <t>Shopee</t>
        </is>
      </c>
      <c r="G213" s="3" t="inlineStr">
        <is>
          <t>R1-45/25</t>
        </is>
      </c>
      <c r="H213" s="4" t="inlineStr">
        <is>
          <t>Mũi khoét hợp kim BlueBird R1-45/25</t>
        </is>
      </c>
      <c r="I213" s="3" t="inlineStr">
        <is>
          <t>Cái</t>
        </is>
      </c>
      <c r="J213" s="5" t="n">
        <v>162000</v>
      </c>
      <c r="K213" s="5" t="n">
        <v>198000</v>
      </c>
      <c r="L213" s="6" t="n">
        <v>251000</v>
      </c>
      <c r="M213" s="5" t="n"/>
      <c r="N213" s="5">
        <f>IF(AND(ISNUMBER(M213),ISNUMBER(L213)),M213-L213,"")</f>
        <v/>
      </c>
      <c r="O213" s="7">
        <f>IF(AND(ISNUMBER(M213),ISNUMBER(L213),L213&gt;0),(M213-L213)/L213,"")</f>
        <v/>
      </c>
      <c r="P213" s="3">
        <f>IF(O213="","",IF(O213&lt;-0.02,"🔴 Bán phá giá sàn",IF(O213&gt;0.05,"🔵 Bán cao hơn","🟢 Đúng giá sàn TMĐT")))</f>
        <v/>
      </c>
      <c r="Q213" s="3" t="n"/>
      <c r="R213" s="4" t="n"/>
      <c r="S213" s="4" t="n"/>
    </row>
    <row r="214">
      <c r="A214" s="3" t="n">
        <v>213</v>
      </c>
      <c r="B214" s="3" t="inlineStr">
        <is>
          <t>KH001</t>
        </is>
      </c>
      <c r="C214" s="4" t="inlineStr">
        <is>
          <t>Điện nước Nhật (Shop) HCM</t>
        </is>
      </c>
      <c r="D214" s="3" t="inlineStr">
        <is>
          <t>HCM</t>
        </is>
      </c>
      <c r="E214" s="3" t="inlineStr">
        <is>
          <t>BẢO TRÂM</t>
        </is>
      </c>
      <c r="F214" s="3" t="inlineStr">
        <is>
          <t>Shopee</t>
        </is>
      </c>
      <c r="G214" s="3" t="inlineStr">
        <is>
          <t>R1-16/25</t>
        </is>
      </c>
      <c r="H214" s="4" t="inlineStr">
        <is>
          <t>Mũi khoét hợp kim Kingblue R1-16/25</t>
        </is>
      </c>
      <c r="I214" s="3" t="inlineStr">
        <is>
          <t>Cái</t>
        </is>
      </c>
      <c r="J214" s="5" t="n">
        <v>59000</v>
      </c>
      <c r="K214" s="5" t="n">
        <v>72000</v>
      </c>
      <c r="L214" s="6" t="n">
        <v>92000</v>
      </c>
      <c r="M214" s="5" t="n"/>
      <c r="N214" s="5">
        <f>IF(AND(ISNUMBER(M214),ISNUMBER(L214)),M214-L214,"")</f>
        <v/>
      </c>
      <c r="O214" s="7">
        <f>IF(AND(ISNUMBER(M214),ISNUMBER(L214),L214&gt;0),(M214-L214)/L214,"")</f>
        <v/>
      </c>
      <c r="P214" s="3">
        <f>IF(O214="","",IF(O214&lt;-0.02,"🔴 Bán phá giá sàn",IF(O214&gt;0.05,"🔵 Bán cao hơn","🟢 Đúng giá sàn TMĐT")))</f>
        <v/>
      </c>
      <c r="Q214" s="3" t="n"/>
      <c r="R214" s="4" t="n"/>
      <c r="S214" s="4" t="n"/>
    </row>
    <row r="215">
      <c r="A215" s="3" t="n">
        <v>214</v>
      </c>
      <c r="B215" s="3" t="inlineStr">
        <is>
          <t>KH001</t>
        </is>
      </c>
      <c r="C215" s="4" t="inlineStr">
        <is>
          <t>Điện nước Nhật (Shop) HCM</t>
        </is>
      </c>
      <c r="D215" s="3" t="inlineStr">
        <is>
          <t>HCM</t>
        </is>
      </c>
      <c r="E215" s="3" t="inlineStr">
        <is>
          <t>BẢO TRÂM</t>
        </is>
      </c>
      <c r="F215" s="3" t="inlineStr">
        <is>
          <t>Shopee</t>
        </is>
      </c>
      <c r="G215" s="3" t="inlineStr">
        <is>
          <t>R1-21/25</t>
        </is>
      </c>
      <c r="H215" s="4" t="inlineStr">
        <is>
          <t>Mũi khoét hợp kim Kingblue R1-21/25</t>
        </is>
      </c>
      <c r="I215" s="3" t="inlineStr">
        <is>
          <t>Cái</t>
        </is>
      </c>
      <c r="J215" s="5" t="n">
        <v>77000</v>
      </c>
      <c r="K215" s="5" t="n">
        <v>94000</v>
      </c>
      <c r="L215" s="6" t="n">
        <v>119000</v>
      </c>
      <c r="M215" s="5" t="n"/>
      <c r="N215" s="5">
        <f>IF(AND(ISNUMBER(M215),ISNUMBER(L215)),M215-L215,"")</f>
        <v/>
      </c>
      <c r="O215" s="7">
        <f>IF(AND(ISNUMBER(M215),ISNUMBER(L215),L215&gt;0),(M215-L215)/L215,"")</f>
        <v/>
      </c>
      <c r="P215" s="3">
        <f>IF(O215="","",IF(O215&lt;-0.02,"🔴 Bán phá giá sàn",IF(O215&gt;0.05,"🔵 Bán cao hơn","🟢 Đúng giá sàn TMĐT")))</f>
        <v/>
      </c>
      <c r="Q215" s="3" t="n"/>
      <c r="R215" s="4" t="n"/>
      <c r="S215" s="4" t="n"/>
    </row>
    <row r="216">
      <c r="A216" s="3" t="n">
        <v>215</v>
      </c>
      <c r="B216" s="3" t="inlineStr">
        <is>
          <t>KH001</t>
        </is>
      </c>
      <c r="C216" s="4" t="inlineStr">
        <is>
          <t>Điện nước Nhật (Shop) HCM</t>
        </is>
      </c>
      <c r="D216" s="3" t="inlineStr">
        <is>
          <t>HCM</t>
        </is>
      </c>
      <c r="E216" s="3" t="inlineStr">
        <is>
          <t>BẢO TRÂM</t>
        </is>
      </c>
      <c r="F216" s="3" t="inlineStr">
        <is>
          <t>Shopee</t>
        </is>
      </c>
      <c r="G216" s="3" t="inlineStr">
        <is>
          <t>R1-22/25</t>
        </is>
      </c>
      <c r="H216" s="4" t="inlineStr">
        <is>
          <t>Mũi khoét hợp kim Kingblue R1-22/25</t>
        </is>
      </c>
      <c r="I216" s="3" t="inlineStr">
        <is>
          <t>Cái</t>
        </is>
      </c>
      <c r="J216" s="5" t="n">
        <v>82000</v>
      </c>
      <c r="K216" s="5" t="n">
        <v>100000</v>
      </c>
      <c r="L216" s="6" t="n">
        <v>127000</v>
      </c>
      <c r="M216" s="5" t="n"/>
      <c r="N216" s="5">
        <f>IF(AND(ISNUMBER(M216),ISNUMBER(L216)),M216-L216,"")</f>
        <v/>
      </c>
      <c r="O216" s="7">
        <f>IF(AND(ISNUMBER(M216),ISNUMBER(L216),L216&gt;0),(M216-L216)/L216,"")</f>
        <v/>
      </c>
      <c r="P216" s="3">
        <f>IF(O216="","",IF(O216&lt;-0.02,"🔴 Bán phá giá sàn",IF(O216&gt;0.05,"🔵 Bán cao hơn","🟢 Đúng giá sàn TMĐT")))</f>
        <v/>
      </c>
      <c r="Q216" s="3" t="n"/>
      <c r="R216" s="4" t="n"/>
      <c r="S216" s="4" t="n"/>
    </row>
    <row r="217">
      <c r="A217" s="3" t="n">
        <v>216</v>
      </c>
      <c r="B217" s="3" t="inlineStr">
        <is>
          <t>KH001</t>
        </is>
      </c>
      <c r="C217" s="4" t="inlineStr">
        <is>
          <t>Điện nước Nhật (Shop) HCM</t>
        </is>
      </c>
      <c r="D217" s="3" t="inlineStr">
        <is>
          <t>HCM</t>
        </is>
      </c>
      <c r="E217" s="3" t="inlineStr">
        <is>
          <t>BẢO TRÂM</t>
        </is>
      </c>
      <c r="F217" s="3" t="inlineStr">
        <is>
          <t>Shopee</t>
        </is>
      </c>
      <c r="G217" s="3" t="inlineStr">
        <is>
          <t>R1-25/25</t>
        </is>
      </c>
      <c r="H217" s="4" t="inlineStr">
        <is>
          <t>Mũi khoét hợp kim Kingblue R1-25/25</t>
        </is>
      </c>
      <c r="I217" s="3" t="inlineStr">
        <is>
          <t>Cái</t>
        </is>
      </c>
      <c r="J217" s="5" t="n">
        <v>91000</v>
      </c>
      <c r="K217" s="5" t="n">
        <v>111000</v>
      </c>
      <c r="L217" s="6" t="n">
        <v>141000</v>
      </c>
      <c r="M217" s="5" t="n"/>
      <c r="N217" s="5">
        <f>IF(AND(ISNUMBER(M217),ISNUMBER(L217)),M217-L217,"")</f>
        <v/>
      </c>
      <c r="O217" s="7">
        <f>IF(AND(ISNUMBER(M217),ISNUMBER(L217),L217&gt;0),(M217-L217)/L217,"")</f>
        <v/>
      </c>
      <c r="P217" s="3">
        <f>IF(O217="","",IF(O217&lt;-0.02,"🔴 Bán phá giá sàn",IF(O217&gt;0.05,"🔵 Bán cao hơn","🟢 Đúng giá sàn TMĐT")))</f>
        <v/>
      </c>
      <c r="Q217" s="3" t="n"/>
      <c r="R217" s="4" t="n"/>
      <c r="S217" s="4" t="n"/>
    </row>
    <row r="218">
      <c r="A218" s="3" t="n">
        <v>217</v>
      </c>
      <c r="B218" s="3" t="inlineStr">
        <is>
          <t>KH001</t>
        </is>
      </c>
      <c r="C218" s="4" t="inlineStr">
        <is>
          <t>Điện nước Nhật (Shop) HCM</t>
        </is>
      </c>
      <c r="D218" s="3" t="inlineStr">
        <is>
          <t>HCM</t>
        </is>
      </c>
      <c r="E218" s="3" t="inlineStr">
        <is>
          <t>BẢO TRÂM</t>
        </is>
      </c>
      <c r="F218" s="3" t="inlineStr">
        <is>
          <t>Shopee</t>
        </is>
      </c>
      <c r="G218" s="3" t="inlineStr">
        <is>
          <t>R1-32/25</t>
        </is>
      </c>
      <c r="H218" s="4" t="inlineStr">
        <is>
          <t>Mũi khoét hợp kim Kingblue R1-32/25</t>
        </is>
      </c>
      <c r="I218" s="3" t="inlineStr">
        <is>
          <t>Cái</t>
        </is>
      </c>
      <c r="J218" s="5" t="n">
        <v>116000</v>
      </c>
      <c r="K218" s="5" t="n">
        <v>142000</v>
      </c>
      <c r="L218" s="6" t="n">
        <v>180000</v>
      </c>
      <c r="M218" s="5" t="n"/>
      <c r="N218" s="5">
        <f>IF(AND(ISNUMBER(M218),ISNUMBER(L218)),M218-L218,"")</f>
        <v/>
      </c>
      <c r="O218" s="7">
        <f>IF(AND(ISNUMBER(M218),ISNUMBER(L218),L218&gt;0),(M218-L218)/L218,"")</f>
        <v/>
      </c>
      <c r="P218" s="3">
        <f>IF(O218="","",IF(O218&lt;-0.02,"🔴 Bán phá giá sàn",IF(O218&gt;0.05,"🔵 Bán cao hơn","🟢 Đúng giá sàn TMĐT")))</f>
        <v/>
      </c>
      <c r="Q218" s="3" t="n"/>
      <c r="R218" s="4" t="n"/>
      <c r="S218" s="4" t="n"/>
    </row>
    <row r="219">
      <c r="A219" s="3" t="n">
        <v>218</v>
      </c>
      <c r="B219" s="3" t="inlineStr">
        <is>
          <t>KH001</t>
        </is>
      </c>
      <c r="C219" s="4" t="inlineStr">
        <is>
          <t>Điện nước Nhật (Shop) HCM</t>
        </is>
      </c>
      <c r="D219" s="3" t="inlineStr">
        <is>
          <t>HCM</t>
        </is>
      </c>
      <c r="E219" s="3" t="inlineStr">
        <is>
          <t>BẢO TRÂM</t>
        </is>
      </c>
      <c r="F219" s="3" t="inlineStr">
        <is>
          <t>Shopee</t>
        </is>
      </c>
      <c r="G219" s="3" t="inlineStr">
        <is>
          <t>R2-16mm</t>
        </is>
      </c>
      <c r="H219" s="4" t="inlineStr">
        <is>
          <t>Mũi khoét kim loại KingBlue R2-16mm</t>
        </is>
      </c>
      <c r="I219" s="3" t="inlineStr">
        <is>
          <t>Cái</t>
        </is>
      </c>
      <c r="J219" s="5" t="n">
        <v>29000</v>
      </c>
      <c r="K219" s="5" t="n">
        <v>35000</v>
      </c>
      <c r="L219" s="6" t="n">
        <v>45000</v>
      </c>
      <c r="M219" s="5" t="n"/>
      <c r="N219" s="5">
        <f>IF(AND(ISNUMBER(M219),ISNUMBER(L219)),M219-L219,"")</f>
        <v/>
      </c>
      <c r="O219" s="7">
        <f>IF(AND(ISNUMBER(M219),ISNUMBER(L219),L219&gt;0),(M219-L219)/L219,"")</f>
        <v/>
      </c>
      <c r="P219" s="3">
        <f>IF(O219="","",IF(O219&lt;-0.02,"🔴 Bán phá giá sàn",IF(O219&gt;0.05,"🔵 Bán cao hơn","🟢 Đúng giá sàn TMĐT")))</f>
        <v/>
      </c>
      <c r="Q219" s="3" t="n"/>
      <c r="R219" s="4" t="n"/>
      <c r="S219" s="4" t="n"/>
    </row>
    <row r="220">
      <c r="A220" s="3" t="n">
        <v>219</v>
      </c>
      <c r="B220" s="3" t="inlineStr">
        <is>
          <t>KH001</t>
        </is>
      </c>
      <c r="C220" s="4" t="inlineStr">
        <is>
          <t>Điện nước Nhật (Shop) HCM</t>
        </is>
      </c>
      <c r="D220" s="3" t="inlineStr">
        <is>
          <t>HCM</t>
        </is>
      </c>
      <c r="E220" s="3" t="inlineStr">
        <is>
          <t>BẢO TRÂM</t>
        </is>
      </c>
      <c r="F220" s="3" t="inlineStr">
        <is>
          <t>Shopee</t>
        </is>
      </c>
      <c r="G220" s="3" t="inlineStr">
        <is>
          <t>R2-18mm</t>
        </is>
      </c>
      <c r="H220" s="4" t="inlineStr">
        <is>
          <t>Mũi khoét kim loại KingBlue R2-18mm</t>
        </is>
      </c>
      <c r="I220" s="3" t="inlineStr">
        <is>
          <t>Cái</t>
        </is>
      </c>
      <c r="J220" s="5" t="n">
        <v>35000</v>
      </c>
      <c r="K220" s="5" t="n">
        <v>43000</v>
      </c>
      <c r="L220" s="6" t="n">
        <v>54000</v>
      </c>
      <c r="M220" s="5" t="n"/>
      <c r="N220" s="5">
        <f>IF(AND(ISNUMBER(M220),ISNUMBER(L220)),M220-L220,"")</f>
        <v/>
      </c>
      <c r="O220" s="7">
        <f>IF(AND(ISNUMBER(M220),ISNUMBER(L220),L220&gt;0),(M220-L220)/L220,"")</f>
        <v/>
      </c>
      <c r="P220" s="3">
        <f>IF(O220="","",IF(O220&lt;-0.02,"🔴 Bán phá giá sàn",IF(O220&gt;0.05,"🔵 Bán cao hơn","🟢 Đúng giá sàn TMĐT")))</f>
        <v/>
      </c>
      <c r="Q220" s="3" t="n"/>
      <c r="R220" s="4" t="n"/>
      <c r="S220" s="4" t="n"/>
    </row>
    <row r="221">
      <c r="A221" s="3" t="n">
        <v>220</v>
      </c>
      <c r="B221" s="3" t="inlineStr">
        <is>
          <t>KH001</t>
        </is>
      </c>
      <c r="C221" s="4" t="inlineStr">
        <is>
          <t>Điện nước Nhật (Shop) HCM</t>
        </is>
      </c>
      <c r="D221" s="3" t="inlineStr">
        <is>
          <t>HCM</t>
        </is>
      </c>
      <c r="E221" s="3" t="inlineStr">
        <is>
          <t>BẢO TRÂM</t>
        </is>
      </c>
      <c r="F221" s="3" t="inlineStr">
        <is>
          <t>Shopee</t>
        </is>
      </c>
      <c r="G221" s="3" t="inlineStr">
        <is>
          <t>R2-20mm</t>
        </is>
      </c>
      <c r="H221" s="4" t="inlineStr">
        <is>
          <t>Mũi khoét kim loại KingBlue R2-20mm</t>
        </is>
      </c>
      <c r="I221" s="3" t="inlineStr">
        <is>
          <t>Cái</t>
        </is>
      </c>
      <c r="J221" s="5" t="n">
        <v>40000</v>
      </c>
      <c r="K221" s="5" t="n">
        <v>49000</v>
      </c>
      <c r="L221" s="6" t="n">
        <v>62000</v>
      </c>
      <c r="M221" s="5" t="n"/>
      <c r="N221" s="5">
        <f>IF(AND(ISNUMBER(M221),ISNUMBER(L221)),M221-L221,"")</f>
        <v/>
      </c>
      <c r="O221" s="7">
        <f>IF(AND(ISNUMBER(M221),ISNUMBER(L221),L221&gt;0),(M221-L221)/L221,"")</f>
        <v/>
      </c>
      <c r="P221" s="3">
        <f>IF(O221="","",IF(O221&lt;-0.02,"🔴 Bán phá giá sàn",IF(O221&gt;0.05,"🔵 Bán cao hơn","🟢 Đúng giá sàn TMĐT")))</f>
        <v/>
      </c>
      <c r="Q221" s="3" t="n"/>
      <c r="R221" s="4" t="n"/>
      <c r="S221" s="4" t="n"/>
    </row>
    <row r="222">
      <c r="A222" s="3" t="n">
        <v>221</v>
      </c>
      <c r="B222" s="3" t="inlineStr">
        <is>
          <t>KH001</t>
        </is>
      </c>
      <c r="C222" s="4" t="inlineStr">
        <is>
          <t>Điện nước Nhật (Shop) HCM</t>
        </is>
      </c>
      <c r="D222" s="3" t="inlineStr">
        <is>
          <t>HCM</t>
        </is>
      </c>
      <c r="E222" s="3" t="inlineStr">
        <is>
          <t>BẢO TRÂM</t>
        </is>
      </c>
      <c r="F222" s="3" t="inlineStr">
        <is>
          <t>Shopee</t>
        </is>
      </c>
      <c r="G222" s="3" t="inlineStr">
        <is>
          <t>R2-22mm</t>
        </is>
      </c>
      <c r="H222" s="4" t="inlineStr">
        <is>
          <t>Mũi khoét kim loại KingBlue R2-22mm</t>
        </is>
      </c>
      <c r="I222" s="3" t="inlineStr">
        <is>
          <t>Cái</t>
        </is>
      </c>
      <c r="J222" s="5" t="n">
        <v>45000</v>
      </c>
      <c r="K222" s="5" t="n">
        <v>55000</v>
      </c>
      <c r="L222" s="6" t="n">
        <v>70000</v>
      </c>
      <c r="M222" s="5" t="n"/>
      <c r="N222" s="5">
        <f>IF(AND(ISNUMBER(M222),ISNUMBER(L222)),M222-L222,"")</f>
        <v/>
      </c>
      <c r="O222" s="7">
        <f>IF(AND(ISNUMBER(M222),ISNUMBER(L222),L222&gt;0),(M222-L222)/L222,"")</f>
        <v/>
      </c>
      <c r="P222" s="3">
        <f>IF(O222="","",IF(O222&lt;-0.02,"🔴 Bán phá giá sàn",IF(O222&gt;0.05,"🔵 Bán cao hơn","🟢 Đúng giá sàn TMĐT")))</f>
        <v/>
      </c>
      <c r="Q222" s="3" t="n"/>
      <c r="R222" s="4" t="n"/>
      <c r="S222" s="4" t="n"/>
    </row>
    <row r="223">
      <c r="A223" s="3" t="n">
        <v>222</v>
      </c>
      <c r="B223" s="3" t="inlineStr">
        <is>
          <t>KH001</t>
        </is>
      </c>
      <c r="C223" s="4" t="inlineStr">
        <is>
          <t>Điện nước Nhật (Shop) HCM</t>
        </is>
      </c>
      <c r="D223" s="3" t="inlineStr">
        <is>
          <t>HCM</t>
        </is>
      </c>
      <c r="E223" s="3" t="inlineStr">
        <is>
          <t>BẢO TRÂM</t>
        </is>
      </c>
      <c r="F223" s="3" t="inlineStr">
        <is>
          <t>Shopee</t>
        </is>
      </c>
      <c r="G223" s="3" t="inlineStr">
        <is>
          <t>R2-23mm</t>
        </is>
      </c>
      <c r="H223" s="4" t="inlineStr">
        <is>
          <t>Mũi khoét kim loại KingBlue R2-23mm</t>
        </is>
      </c>
      <c r="I223" s="3" t="inlineStr">
        <is>
          <t>Cái</t>
        </is>
      </c>
      <c r="J223" s="5" t="n">
        <v>47000</v>
      </c>
      <c r="K223" s="5" t="n">
        <v>57000</v>
      </c>
      <c r="L223" s="6" t="n">
        <v>73000</v>
      </c>
      <c r="M223" s="5" t="n"/>
      <c r="N223" s="5">
        <f>IF(AND(ISNUMBER(M223),ISNUMBER(L223)),M223-L223,"")</f>
        <v/>
      </c>
      <c r="O223" s="7">
        <f>IF(AND(ISNUMBER(M223),ISNUMBER(L223),L223&gt;0),(M223-L223)/L223,"")</f>
        <v/>
      </c>
      <c r="P223" s="3">
        <f>IF(O223="","",IF(O223&lt;-0.02,"🔴 Bán phá giá sàn",IF(O223&gt;0.05,"🔵 Bán cao hơn","🟢 Đúng giá sàn TMĐT")))</f>
        <v/>
      </c>
      <c r="Q223" s="3" t="n"/>
      <c r="R223" s="4" t="n"/>
      <c r="S223" s="4" t="n"/>
    </row>
    <row r="224">
      <c r="A224" s="3" t="n">
        <v>223</v>
      </c>
      <c r="B224" s="3" t="inlineStr">
        <is>
          <t>KH001</t>
        </is>
      </c>
      <c r="C224" s="4" t="inlineStr">
        <is>
          <t>Điện nước Nhật (Shop) HCM</t>
        </is>
      </c>
      <c r="D224" s="3" t="inlineStr">
        <is>
          <t>HCM</t>
        </is>
      </c>
      <c r="E224" s="3" t="inlineStr">
        <is>
          <t>BẢO TRÂM</t>
        </is>
      </c>
      <c r="F224" s="3" t="inlineStr">
        <is>
          <t>Shopee</t>
        </is>
      </c>
      <c r="G224" s="3" t="inlineStr">
        <is>
          <t>R2-25mm</t>
        </is>
      </c>
      <c r="H224" s="4" t="inlineStr">
        <is>
          <t>Mũi khoét kim loại KingBlue R2-25mm</t>
        </is>
      </c>
      <c r="I224" s="3" t="inlineStr">
        <is>
          <t>Cái</t>
        </is>
      </c>
      <c r="J224" s="5" t="n">
        <v>49000</v>
      </c>
      <c r="K224" s="5" t="n">
        <v>60000</v>
      </c>
      <c r="L224" s="6" t="n">
        <v>76000</v>
      </c>
      <c r="M224" s="5" t="n"/>
      <c r="N224" s="5">
        <f>IF(AND(ISNUMBER(M224),ISNUMBER(L224)),M224-L224,"")</f>
        <v/>
      </c>
      <c r="O224" s="7">
        <f>IF(AND(ISNUMBER(M224),ISNUMBER(L224),L224&gt;0),(M224-L224)/L224,"")</f>
        <v/>
      </c>
      <c r="P224" s="3">
        <f>IF(O224="","",IF(O224&lt;-0.02,"🔴 Bán phá giá sàn",IF(O224&gt;0.05,"🔵 Bán cao hơn","🟢 Đúng giá sàn TMĐT")))</f>
        <v/>
      </c>
      <c r="Q224" s="3" t="n"/>
      <c r="R224" s="4" t="n"/>
      <c r="S224" s="4" t="n"/>
    </row>
    <row r="225">
      <c r="A225" s="3" t="n">
        <v>224</v>
      </c>
      <c r="B225" s="3" t="inlineStr">
        <is>
          <t>KH001</t>
        </is>
      </c>
      <c r="C225" s="4" t="inlineStr">
        <is>
          <t>Điện nước Nhật (Shop) HCM</t>
        </is>
      </c>
      <c r="D225" s="3" t="inlineStr">
        <is>
          <t>HCM</t>
        </is>
      </c>
      <c r="E225" s="3" t="inlineStr">
        <is>
          <t>BẢO TRÂM</t>
        </is>
      </c>
      <c r="F225" s="3" t="inlineStr">
        <is>
          <t>Shopee</t>
        </is>
      </c>
      <c r="G225" s="3" t="inlineStr">
        <is>
          <t>R2-32mm</t>
        </is>
      </c>
      <c r="H225" s="4" t="inlineStr">
        <is>
          <t>Mũi khoét kim loại KingBlue R2-32mm</t>
        </is>
      </c>
      <c r="I225" s="3" t="inlineStr">
        <is>
          <t>Cái</t>
        </is>
      </c>
      <c r="J225" s="5" t="n">
        <v>66000</v>
      </c>
      <c r="K225" s="5" t="n">
        <v>80000</v>
      </c>
      <c r="L225" s="6" t="n">
        <v>102000</v>
      </c>
      <c r="M225" s="5" t="n"/>
      <c r="N225" s="5">
        <f>IF(AND(ISNUMBER(M225),ISNUMBER(L225)),M225-L225,"")</f>
        <v/>
      </c>
      <c r="O225" s="7">
        <f>IF(AND(ISNUMBER(M225),ISNUMBER(L225),L225&gt;0),(M225-L225)/L225,"")</f>
        <v/>
      </c>
      <c r="P225" s="3">
        <f>IF(O225="","",IF(O225&lt;-0.02,"🔴 Bán phá giá sàn",IF(O225&gt;0.05,"🔵 Bán cao hơn","🟢 Đúng giá sàn TMĐT")))</f>
        <v/>
      </c>
      <c r="Q225" s="3" t="n"/>
      <c r="R225" s="4" t="n"/>
      <c r="S225" s="4" t="n"/>
    </row>
    <row r="226">
      <c r="A226" s="3" t="n">
        <v>225</v>
      </c>
      <c r="B226" s="3" t="inlineStr">
        <is>
          <t>KH001</t>
        </is>
      </c>
      <c r="C226" s="4" t="inlineStr">
        <is>
          <t>Điện nước Nhật (Shop) HCM</t>
        </is>
      </c>
      <c r="D226" s="3" t="inlineStr">
        <is>
          <t>HCM</t>
        </is>
      </c>
      <c r="E226" s="3" t="inlineStr">
        <is>
          <t>BẢO TRÂM</t>
        </is>
      </c>
      <c r="F226" s="3" t="inlineStr">
        <is>
          <t>Shopee</t>
        </is>
      </c>
      <c r="G226" s="3" t="inlineStr">
        <is>
          <t>R2-40mm</t>
        </is>
      </c>
      <c r="H226" s="4" t="inlineStr">
        <is>
          <t>Mũi khoét kim loại KingBlue R2-40mm</t>
        </is>
      </c>
      <c r="I226" s="3" t="inlineStr">
        <is>
          <t>Cái</t>
        </is>
      </c>
      <c r="J226" s="5" t="n">
        <v>79000</v>
      </c>
      <c r="K226" s="5" t="n">
        <v>97000</v>
      </c>
      <c r="L226" s="6" t="n">
        <v>123000</v>
      </c>
      <c r="M226" s="5" t="n"/>
      <c r="N226" s="5">
        <f>IF(AND(ISNUMBER(M226),ISNUMBER(L226)),M226-L226,"")</f>
        <v/>
      </c>
      <c r="O226" s="7">
        <f>IF(AND(ISNUMBER(M226),ISNUMBER(L226),L226&gt;0),(M226-L226)/L226,"")</f>
        <v/>
      </c>
      <c r="P226" s="3">
        <f>IF(O226="","",IF(O226&lt;-0.02,"🔴 Bán phá giá sàn",IF(O226&gt;0.05,"🔵 Bán cao hơn","🟢 Đúng giá sàn TMĐT")))</f>
        <v/>
      </c>
      <c r="Q226" s="3" t="n"/>
      <c r="R226" s="4" t="n"/>
      <c r="S226" s="4" t="n"/>
    </row>
    <row r="227">
      <c r="A227" s="3" t="n">
        <v>226</v>
      </c>
      <c r="B227" s="3" t="inlineStr">
        <is>
          <t>KH001</t>
        </is>
      </c>
      <c r="C227" s="4" t="inlineStr">
        <is>
          <t>Điện nước Nhật (Shop) HCM</t>
        </is>
      </c>
      <c r="D227" s="3" t="inlineStr">
        <is>
          <t>HCM</t>
        </is>
      </c>
      <c r="E227" s="3" t="inlineStr">
        <is>
          <t>BẢO TRÂM</t>
        </is>
      </c>
      <c r="F227" s="3" t="inlineStr">
        <is>
          <t>Shopee</t>
        </is>
      </c>
      <c r="G227" s="3" t="inlineStr">
        <is>
          <t>R2-60mm</t>
        </is>
      </c>
      <c r="H227" s="4" t="inlineStr">
        <is>
          <t>Mũi khoét kim loại KingBlue R2-60mm</t>
        </is>
      </c>
      <c r="I227" s="3" t="inlineStr">
        <is>
          <t>Cái</t>
        </is>
      </c>
      <c r="J227" s="5" t="n">
        <v>124000</v>
      </c>
      <c r="K227" s="5" t="n">
        <v>151000</v>
      </c>
      <c r="L227" s="6" t="n">
        <v>192000</v>
      </c>
      <c r="M227" s="5" t="n"/>
      <c r="N227" s="5">
        <f>IF(AND(ISNUMBER(M227),ISNUMBER(L227)),M227-L227,"")</f>
        <v/>
      </c>
      <c r="O227" s="7">
        <f>IF(AND(ISNUMBER(M227),ISNUMBER(L227),L227&gt;0),(M227-L227)/L227,"")</f>
        <v/>
      </c>
      <c r="P227" s="3">
        <f>IF(O227="","",IF(O227&lt;-0.02,"🔴 Bán phá giá sàn",IF(O227&gt;0.05,"🔵 Bán cao hơn","🟢 Đúng giá sàn TMĐT")))</f>
        <v/>
      </c>
      <c r="Q227" s="3" t="n"/>
      <c r="R227" s="4" t="n"/>
      <c r="S227" s="4" t="n"/>
    </row>
    <row r="228">
      <c r="A228" s="3" t="n">
        <v>227</v>
      </c>
      <c r="B228" s="3" t="inlineStr">
        <is>
          <t>KH001</t>
        </is>
      </c>
      <c r="C228" s="4" t="inlineStr">
        <is>
          <t>Điện nước Nhật (Shop) HCM</t>
        </is>
      </c>
      <c r="D228" s="3" t="inlineStr">
        <is>
          <t>HCM</t>
        </is>
      </c>
      <c r="E228" s="3" t="inlineStr">
        <is>
          <t>BẢO TRÂM</t>
        </is>
      </c>
      <c r="F228" s="3" t="inlineStr">
        <is>
          <t>Shopee</t>
        </is>
      </c>
      <c r="G228" s="3" t="inlineStr">
        <is>
          <t>KB-HF01</t>
        </is>
      </c>
      <c r="H228" s="4" t="inlineStr">
        <is>
          <t>Quạt cầm tay mini (màu be) KB-HF01</t>
        </is>
      </c>
      <c r="I228" s="3" t="inlineStr">
        <is>
          <t>Cái</t>
        </is>
      </c>
      <c r="J228" s="5" t="n">
        <v>290000</v>
      </c>
      <c r="K228" s="5" t="n">
        <v>325000</v>
      </c>
      <c r="L228" s="6" t="n">
        <v>377000</v>
      </c>
      <c r="M228" s="5" t="n"/>
      <c r="N228" s="5">
        <f>IF(AND(ISNUMBER(M228),ISNUMBER(L228)),M228-L228,"")</f>
        <v/>
      </c>
      <c r="O228" s="7">
        <f>IF(AND(ISNUMBER(M228),ISNUMBER(L228),L228&gt;0),(M228-L228)/L228,"")</f>
        <v/>
      </c>
      <c r="P228" s="3">
        <f>IF(O228="","",IF(O228&lt;-0.02,"🔴 Bán phá giá sàn",IF(O228&gt;0.05,"🔵 Bán cao hơn","🟢 Đúng giá sàn TMĐT")))</f>
        <v/>
      </c>
      <c r="Q228" s="3" t="n"/>
      <c r="R228" s="4" t="n"/>
      <c r="S228" s="4" t="n"/>
    </row>
    <row r="229">
      <c r="A229" s="3" t="n">
        <v>228</v>
      </c>
      <c r="B229" s="3" t="inlineStr">
        <is>
          <t>KH001</t>
        </is>
      </c>
      <c r="C229" s="4" t="inlineStr">
        <is>
          <t>Điện nước Nhật (Shop) HCM</t>
        </is>
      </c>
      <c r="D229" s="3" t="inlineStr">
        <is>
          <t>HCM</t>
        </is>
      </c>
      <c r="E229" s="3" t="inlineStr">
        <is>
          <t>BẢO TRÂM</t>
        </is>
      </c>
      <c r="F229" s="3" t="inlineStr">
        <is>
          <t>Shopee</t>
        </is>
      </c>
      <c r="G229" s="3" t="inlineStr">
        <is>
          <t>KB-HF03</t>
        </is>
      </c>
      <c r="H229" s="4" t="inlineStr">
        <is>
          <t>Quạt cầm tay mini (màu hồng) KB-HF03</t>
        </is>
      </c>
      <c r="I229" s="3" t="inlineStr">
        <is>
          <t>Cái</t>
        </is>
      </c>
      <c r="J229" s="5" t="n">
        <v>290000</v>
      </c>
      <c r="K229" s="5" t="n">
        <v>325000</v>
      </c>
      <c r="L229" s="6" t="n">
        <v>377000</v>
      </c>
      <c r="M229" s="5" t="n"/>
      <c r="N229" s="5">
        <f>IF(AND(ISNUMBER(M229),ISNUMBER(L229)),M229-L229,"")</f>
        <v/>
      </c>
      <c r="O229" s="7">
        <f>IF(AND(ISNUMBER(M229),ISNUMBER(L229),L229&gt;0),(M229-L229)/L229,"")</f>
        <v/>
      </c>
      <c r="P229" s="3">
        <f>IF(O229="","",IF(O229&lt;-0.02,"🔴 Bán phá giá sàn",IF(O229&gt;0.05,"🔵 Bán cao hơn","🟢 Đúng giá sàn TMĐT")))</f>
        <v/>
      </c>
      <c r="Q229" s="3" t="n"/>
      <c r="R229" s="4" t="n"/>
      <c r="S229" s="4" t="n"/>
    </row>
    <row r="230">
      <c r="A230" s="3" t="n">
        <v>229</v>
      </c>
      <c r="B230" s="3" t="inlineStr">
        <is>
          <t>KH001</t>
        </is>
      </c>
      <c r="C230" s="4" t="inlineStr">
        <is>
          <t>Điện nước Nhật (Shop) HCM</t>
        </is>
      </c>
      <c r="D230" s="3" t="inlineStr">
        <is>
          <t>HCM</t>
        </is>
      </c>
      <c r="E230" s="3" t="inlineStr">
        <is>
          <t>BẢO TRÂM</t>
        </is>
      </c>
      <c r="F230" s="3" t="inlineStr">
        <is>
          <t>Shopee</t>
        </is>
      </c>
      <c r="G230" s="3" t="inlineStr">
        <is>
          <t>KB-HF02</t>
        </is>
      </c>
      <c r="H230" s="4" t="inlineStr">
        <is>
          <t>Quạt cầm tay mini (màu xám) KB-HF02</t>
        </is>
      </c>
      <c r="I230" s="3" t="inlineStr">
        <is>
          <t>Cái</t>
        </is>
      </c>
      <c r="J230" s="5" t="n">
        <v>290000</v>
      </c>
      <c r="K230" s="5" t="n">
        <v>325000</v>
      </c>
      <c r="L230" s="6" t="n">
        <v>377000</v>
      </c>
      <c r="M230" s="5" t="n"/>
      <c r="N230" s="5">
        <f>IF(AND(ISNUMBER(M230),ISNUMBER(L230)),M230-L230,"")</f>
        <v/>
      </c>
      <c r="O230" s="7">
        <f>IF(AND(ISNUMBER(M230),ISNUMBER(L230),L230&gt;0),(M230-L230)/L230,"")</f>
        <v/>
      </c>
      <c r="P230" s="3">
        <f>IF(O230="","",IF(O230&lt;-0.02,"🔴 Bán phá giá sàn",IF(O230&gt;0.05,"🔵 Bán cao hơn","🟢 Đúng giá sàn TMĐT")))</f>
        <v/>
      </c>
      <c r="Q230" s="3" t="n"/>
      <c r="R230" s="4" t="n"/>
      <c r="S230" s="4" t="n"/>
    </row>
    <row r="231">
      <c r="A231" s="3" t="n">
        <v>230</v>
      </c>
      <c r="B231" s="3" t="inlineStr">
        <is>
          <t>KH001</t>
        </is>
      </c>
      <c r="C231" s="4" t="inlineStr">
        <is>
          <t>Điện nước Nhật (Shop) HCM</t>
        </is>
      </c>
      <c r="D231" s="3" t="inlineStr">
        <is>
          <t>HCM</t>
        </is>
      </c>
      <c r="E231" s="3" t="inlineStr">
        <is>
          <t>BẢO TRÂM</t>
        </is>
      </c>
      <c r="F231" s="3" t="inlineStr">
        <is>
          <t>Shopee</t>
        </is>
      </c>
      <c r="G231" s="3" t="inlineStr">
        <is>
          <t>KB8*48G</t>
        </is>
      </c>
      <c r="H231" s="4" t="inlineStr">
        <is>
          <t>Siết tôn King Blue KB8*48G</t>
        </is>
      </c>
      <c r="I231" s="3" t="inlineStr">
        <is>
          <t>Cái</t>
        </is>
      </c>
      <c r="J231" s="5" t="n">
        <v>7500</v>
      </c>
      <c r="K231" s="5" t="n">
        <v>10000</v>
      </c>
      <c r="L231" s="6" t="n">
        <v>13000</v>
      </c>
      <c r="M231" s="5" t="n"/>
      <c r="N231" s="5">
        <f>IF(AND(ISNUMBER(M231),ISNUMBER(L231)),M231-L231,"")</f>
        <v/>
      </c>
      <c r="O231" s="7">
        <f>IF(AND(ISNUMBER(M231),ISNUMBER(L231),L231&gt;0),(M231-L231)/L231,"")</f>
        <v/>
      </c>
      <c r="P231" s="3">
        <f>IF(O231="","",IF(O231&lt;-0.02,"🔴 Bán phá giá sàn",IF(O231&gt;0.05,"🔵 Bán cao hơn","🟢 Đúng giá sàn TMĐT")))</f>
        <v/>
      </c>
      <c r="Q231" s="3" t="n"/>
      <c r="R231" s="4" t="n"/>
      <c r="S231" s="4" t="n"/>
    </row>
    <row r="232">
      <c r="A232" s="3" t="n">
        <v>231</v>
      </c>
      <c r="B232" s="3" t="inlineStr">
        <is>
          <t>KH001</t>
        </is>
      </c>
      <c r="C232" s="4" t="inlineStr">
        <is>
          <t>Điện nước Nhật (Shop) HCM</t>
        </is>
      </c>
      <c r="D232" s="3" t="inlineStr">
        <is>
          <t>HCM</t>
        </is>
      </c>
      <c r="E232" s="3" t="inlineStr">
        <is>
          <t>BẢO TRÂM</t>
        </is>
      </c>
      <c r="F232" s="3" t="inlineStr">
        <is>
          <t>Shopee</t>
        </is>
      </c>
      <c r="G232" s="3" t="inlineStr">
        <is>
          <t>ST08x42V</t>
        </is>
      </c>
      <c r="H232" s="4" t="inlineStr">
        <is>
          <t>Siết tôn King Blue ST08x42V</t>
        </is>
      </c>
      <c r="I232" s="3" t="inlineStr">
        <is>
          <t>Vỉ</t>
        </is>
      </c>
      <c r="J232" s="5" t="n">
        <v>22000</v>
      </c>
      <c r="K232" s="5" t="n">
        <v>28000</v>
      </c>
      <c r="L232" s="6" t="n">
        <v>36000</v>
      </c>
      <c r="M232" s="5" t="n"/>
      <c r="N232" s="5">
        <f>IF(AND(ISNUMBER(M232),ISNUMBER(L232)),M232-L232,"")</f>
        <v/>
      </c>
      <c r="O232" s="7">
        <f>IF(AND(ISNUMBER(M232),ISNUMBER(L232),L232&gt;0),(M232-L232)/L232,"")</f>
        <v/>
      </c>
      <c r="P232" s="3">
        <f>IF(O232="","",IF(O232&lt;-0.02,"🔴 Bán phá giá sàn",IF(O232&gt;0.05,"🔵 Bán cao hơn","🟢 Đúng giá sàn TMĐT")))</f>
        <v/>
      </c>
      <c r="Q232" s="3" t="n"/>
      <c r="R232" s="4" t="n"/>
      <c r="S232" s="4" t="n"/>
    </row>
    <row r="233">
      <c r="A233" s="3" t="n">
        <v>232</v>
      </c>
      <c r="B233" s="3" t="inlineStr">
        <is>
          <t>KH001</t>
        </is>
      </c>
      <c r="C233" s="4" t="inlineStr">
        <is>
          <t>Điện nước Nhật (Shop) HCM</t>
        </is>
      </c>
      <c r="D233" s="3" t="inlineStr">
        <is>
          <t>HCM</t>
        </is>
      </c>
      <c r="E233" s="3" t="inlineStr">
        <is>
          <t>BẢO TRÂM</t>
        </is>
      </c>
      <c r="F233" s="3" t="inlineStr">
        <is>
          <t>Shopee</t>
        </is>
      </c>
      <c r="G233" s="3" t="inlineStr">
        <is>
          <t>ST08x65G</t>
        </is>
      </c>
      <c r="H233" s="4" t="inlineStr">
        <is>
          <t>Siết tôn KingBlue ST08x65G</t>
        </is>
      </c>
      <c r="I233" s="3" t="inlineStr">
        <is>
          <t>Cái</t>
        </is>
      </c>
      <c r="J233" s="5" t="n">
        <v>8500</v>
      </c>
      <c r="K233" s="5" t="n">
        <v>11000</v>
      </c>
      <c r="L233" s="6" t="n">
        <v>14000</v>
      </c>
      <c r="M233" s="5" t="n"/>
      <c r="N233" s="5">
        <f>IF(AND(ISNUMBER(M233),ISNUMBER(L233)),M233-L233,"")</f>
        <v/>
      </c>
      <c r="O233" s="7">
        <f>IF(AND(ISNUMBER(M233),ISNUMBER(L233),L233&gt;0),(M233-L233)/L233,"")</f>
        <v/>
      </c>
      <c r="P233" s="3">
        <f>IF(O233="","",IF(O233&lt;-0.02,"🔴 Bán phá giá sàn",IF(O233&gt;0.05,"🔵 Bán cao hơn","🟢 Đúng giá sàn TMĐT")))</f>
        <v/>
      </c>
      <c r="Q233" s="3" t="n"/>
      <c r="R233" s="4" t="n"/>
      <c r="S233" s="4" t="n"/>
    </row>
    <row r="234">
      <c r="A234" s="3" t="n">
        <v>233</v>
      </c>
      <c r="B234" s="3" t="inlineStr">
        <is>
          <t>KH001</t>
        </is>
      </c>
      <c r="C234" s="4" t="inlineStr">
        <is>
          <t>Điện nước Nhật (Shop) HCM</t>
        </is>
      </c>
      <c r="D234" s="3" t="inlineStr">
        <is>
          <t>HCM</t>
        </is>
      </c>
      <c r="E234" s="3" t="inlineStr">
        <is>
          <t>BẢO TRÂM</t>
        </is>
      </c>
      <c r="F234" s="3" t="inlineStr">
        <is>
          <t>Shopee</t>
        </is>
      </c>
      <c r="G234" s="3" t="inlineStr">
        <is>
          <t>ST10x65G</t>
        </is>
      </c>
      <c r="H234" s="4" t="inlineStr">
        <is>
          <t>Siết tôn KingBlue ST10x65G</t>
        </is>
      </c>
      <c r="I234" s="3" t="inlineStr">
        <is>
          <t>Cái</t>
        </is>
      </c>
      <c r="J234" s="5" t="n">
        <v>9000</v>
      </c>
      <c r="K234" s="5" t="n">
        <v>11000</v>
      </c>
      <c r="L234" s="6" t="n">
        <v>15000</v>
      </c>
      <c r="M234" s="5" t="n"/>
      <c r="N234" s="5">
        <f>IF(AND(ISNUMBER(M234),ISNUMBER(L234)),M234-L234,"")</f>
        <v/>
      </c>
      <c r="O234" s="7">
        <f>IF(AND(ISNUMBER(M234),ISNUMBER(L234),L234&gt;0),(M234-L234)/L234,"")</f>
        <v/>
      </c>
      <c r="P234" s="3">
        <f>IF(O234="","",IF(O234&lt;-0.02,"🔴 Bán phá giá sàn",IF(O234&gt;0.05,"🔵 Bán cao hơn","🟢 Đúng giá sàn TMĐT")))</f>
        <v/>
      </c>
      <c r="Q234" s="3" t="n"/>
      <c r="R234" s="4" t="n"/>
      <c r="S234" s="4" t="n"/>
    </row>
    <row r="235">
      <c r="A235" s="3" t="n">
        <v>234</v>
      </c>
      <c r="B235" s="3" t="inlineStr">
        <is>
          <t>KH001</t>
        </is>
      </c>
      <c r="C235" s="4" t="inlineStr">
        <is>
          <t>Điện nước Nhật (Shop) HCM</t>
        </is>
      </c>
      <c r="D235" s="3" t="inlineStr">
        <is>
          <t>HCM</t>
        </is>
      </c>
      <c r="E235" s="3" t="inlineStr">
        <is>
          <t>BẢO TRÂM</t>
        </is>
      </c>
      <c r="F235" s="3" t="inlineStr">
        <is>
          <t>Shopee</t>
        </is>
      </c>
      <c r="G235" s="3" t="inlineStr">
        <is>
          <t>ST12x65G</t>
        </is>
      </c>
      <c r="H235" s="4" t="inlineStr">
        <is>
          <t>Siết tôn KingBlue ST12x65G</t>
        </is>
      </c>
      <c r="I235" s="3" t="inlineStr">
        <is>
          <t>Cái</t>
        </is>
      </c>
      <c r="J235" s="5" t="n">
        <v>11000</v>
      </c>
      <c r="K235" s="5" t="n">
        <v>14000</v>
      </c>
      <c r="L235" s="6" t="n">
        <v>18000</v>
      </c>
      <c r="M235" s="5" t="n"/>
      <c r="N235" s="5">
        <f>IF(AND(ISNUMBER(M235),ISNUMBER(L235)),M235-L235,"")</f>
        <v/>
      </c>
      <c r="O235" s="7">
        <f>IF(AND(ISNUMBER(M235),ISNUMBER(L235),L235&gt;0),(M235-L235)/L235,"")</f>
        <v/>
      </c>
      <c r="P235" s="3">
        <f>IF(O235="","",IF(O235&lt;-0.02,"🔴 Bán phá giá sàn",IF(O235&gt;0.05,"🔵 Bán cao hơn","🟢 Đúng giá sàn TMĐT")))</f>
        <v/>
      </c>
      <c r="Q235" s="3" t="n"/>
      <c r="R235" s="4" t="n"/>
      <c r="S235" s="4" t="n"/>
    </row>
    <row r="236">
      <c r="A236" s="3" t="n">
        <v>235</v>
      </c>
      <c r="B236" s="3" t="inlineStr">
        <is>
          <t>KH001</t>
        </is>
      </c>
      <c r="C236" s="4" t="inlineStr">
        <is>
          <t>Điện nước Nhật (Shop) HCM</t>
        </is>
      </c>
      <c r="D236" s="3" t="inlineStr">
        <is>
          <t>HCM</t>
        </is>
      </c>
      <c r="E236" s="3" t="inlineStr">
        <is>
          <t>BẢO TRÂM</t>
        </is>
      </c>
      <c r="F236" s="3" t="inlineStr">
        <is>
          <t>Shopee</t>
        </is>
      </c>
      <c r="G236" s="3" t="inlineStr">
        <is>
          <t>ST13x65G</t>
        </is>
      </c>
      <c r="H236" s="4" t="inlineStr">
        <is>
          <t>Siết tôn KingBlue ST13x65G</t>
        </is>
      </c>
      <c r="I236" s="3" t="inlineStr">
        <is>
          <t>Cái</t>
        </is>
      </c>
      <c r="J236" s="5" t="n">
        <v>13500</v>
      </c>
      <c r="K236" s="5" t="n">
        <v>17000</v>
      </c>
      <c r="L236" s="6" t="n">
        <v>22000</v>
      </c>
      <c r="M236" s="5" t="n"/>
      <c r="N236" s="5">
        <f>IF(AND(ISNUMBER(M236),ISNUMBER(L236)),M236-L236,"")</f>
        <v/>
      </c>
      <c r="O236" s="7">
        <f>IF(AND(ISNUMBER(M236),ISNUMBER(L236),L236&gt;0),(M236-L236)/L236,"")</f>
        <v/>
      </c>
      <c r="P236" s="3">
        <f>IF(O236="","",IF(O236&lt;-0.02,"🔴 Bán phá giá sàn",IF(O236&gt;0.05,"🔵 Bán cao hơn","🟢 Đúng giá sàn TMĐT")))</f>
        <v/>
      </c>
      <c r="Q236" s="3" t="n"/>
      <c r="R236" s="4" t="n"/>
      <c r="S236" s="4" t="n"/>
    </row>
    <row r="237">
      <c r="A237" s="3" t="n">
        <v>236</v>
      </c>
      <c r="B237" s="3" t="inlineStr">
        <is>
          <t>KH001</t>
        </is>
      </c>
      <c r="C237" s="4" t="inlineStr">
        <is>
          <t>Điện nước Nhật (Shop) HCM</t>
        </is>
      </c>
      <c r="D237" s="3" t="inlineStr">
        <is>
          <t>HCM</t>
        </is>
      </c>
      <c r="E237" s="3" t="inlineStr">
        <is>
          <t>BẢO TRÂM</t>
        </is>
      </c>
      <c r="F237" s="3" t="inlineStr">
        <is>
          <t>Shopee</t>
        </is>
      </c>
      <c r="G237" s="3" t="inlineStr">
        <is>
          <t>ST14x65G</t>
        </is>
      </c>
      <c r="H237" s="4" t="inlineStr">
        <is>
          <t>Siết tôn KingBlue ST14x65G</t>
        </is>
      </c>
      <c r="I237" s="3" t="inlineStr">
        <is>
          <t>Cái</t>
        </is>
      </c>
      <c r="J237" s="5" t="n">
        <v>13500</v>
      </c>
      <c r="K237" s="5" t="n">
        <v>17000</v>
      </c>
      <c r="L237" s="6" t="n">
        <v>22000</v>
      </c>
      <c r="M237" s="5" t="n"/>
      <c r="N237" s="5">
        <f>IF(AND(ISNUMBER(M237),ISNUMBER(L237)),M237-L237,"")</f>
        <v/>
      </c>
      <c r="O237" s="7">
        <f>IF(AND(ISNUMBER(M237),ISNUMBER(L237),L237&gt;0),(M237-L237)/L237,"")</f>
        <v/>
      </c>
      <c r="P237" s="3">
        <f>IF(O237="","",IF(O237&lt;-0.02,"🔴 Bán phá giá sàn",IF(O237&gt;0.05,"🔵 Bán cao hơn","🟢 Đúng giá sàn TMĐT")))</f>
        <v/>
      </c>
      <c r="Q237" s="3" t="n"/>
      <c r="R237" s="4" t="n"/>
      <c r="S237" s="4" t="n"/>
    </row>
    <row r="238">
      <c r="A238" s="3" t="n">
        <v>237</v>
      </c>
      <c r="B238" s="3" t="inlineStr">
        <is>
          <t>KH001</t>
        </is>
      </c>
      <c r="C238" s="4" t="inlineStr">
        <is>
          <t>Điện nước Nhật (Shop) HCM</t>
        </is>
      </c>
      <c r="D238" s="3" t="inlineStr">
        <is>
          <t>HCM</t>
        </is>
      </c>
      <c r="E238" s="3" t="inlineStr">
        <is>
          <t>BẢO TRÂM</t>
        </is>
      </c>
      <c r="F238" s="3" t="inlineStr">
        <is>
          <t>Shopee</t>
        </is>
      </c>
      <c r="G238" s="3" t="inlineStr">
        <is>
          <t>KBO-W71</t>
        </is>
      </c>
      <c r="H238" s="4" t="inlineStr">
        <is>
          <t>Súng phun sơn KBO-W71</t>
        </is>
      </c>
      <c r="I238" s="3" t="inlineStr">
        <is>
          <t>Cái</t>
        </is>
      </c>
      <c r="J238" s="5" t="n">
        <v>317000</v>
      </c>
      <c r="K238" s="5" t="n">
        <v>374000</v>
      </c>
      <c r="L238" s="6" t="n">
        <v>460000</v>
      </c>
      <c r="M238" s="5" t="n"/>
      <c r="N238" s="5">
        <f>IF(AND(ISNUMBER(M238),ISNUMBER(L238)),M238-L238,"")</f>
        <v/>
      </c>
      <c r="O238" s="7">
        <f>IF(AND(ISNUMBER(M238),ISNUMBER(L238),L238&gt;0),(M238-L238)/L238,"")</f>
        <v/>
      </c>
      <c r="P238" s="3">
        <f>IF(O238="","",IF(O238&lt;-0.02,"🔴 Bán phá giá sàn",IF(O238&gt;0.05,"🔵 Bán cao hơn","🟢 Đúng giá sàn TMĐT")))</f>
        <v/>
      </c>
      <c r="Q238" s="3" t="n"/>
      <c r="R238" s="4" t="n"/>
      <c r="S238" s="4" t="n"/>
    </row>
    <row r="239">
      <c r="A239" s="3" t="n">
        <v>238</v>
      </c>
      <c r="B239" s="3" t="inlineStr">
        <is>
          <t>KH001</t>
        </is>
      </c>
      <c r="C239" s="4" t="inlineStr">
        <is>
          <t>Điện nước Nhật (Shop) HCM</t>
        </is>
      </c>
      <c r="D239" s="3" t="inlineStr">
        <is>
          <t>HCM</t>
        </is>
      </c>
      <c r="E239" s="3" t="inlineStr">
        <is>
          <t>BẢO TRÂM</t>
        </is>
      </c>
      <c r="F239" s="3" t="inlineStr">
        <is>
          <t>Shopee</t>
        </is>
      </c>
      <c r="G239" s="3" t="inlineStr">
        <is>
          <t>KVS2-6*100</t>
        </is>
      </c>
      <c r="H239" s="4" t="inlineStr">
        <is>
          <t>Tuốc nơ vít 2 đầu KVS2-6*100</t>
        </is>
      </c>
      <c r="I239" s="3" t="inlineStr">
        <is>
          <t>Cái</t>
        </is>
      </c>
      <c r="J239" s="5" t="n">
        <v>33000</v>
      </c>
      <c r="K239" s="5" t="n">
        <v>39000</v>
      </c>
      <c r="L239" s="6" t="n">
        <v>48000</v>
      </c>
      <c r="M239" s="5" t="n"/>
      <c r="N239" s="5">
        <f>IF(AND(ISNUMBER(M239),ISNUMBER(L239)),M239-L239,"")</f>
        <v/>
      </c>
      <c r="O239" s="7">
        <f>IF(AND(ISNUMBER(M239),ISNUMBER(L239),L239&gt;0),(M239-L239)/L239,"")</f>
        <v/>
      </c>
      <c r="P239" s="3">
        <f>IF(O239="","",IF(O239&lt;-0.02,"🔴 Bán phá giá sàn",IF(O239&gt;0.05,"🔵 Bán cao hơn","🟢 Đúng giá sàn TMĐT")))</f>
        <v/>
      </c>
      <c r="Q239" s="3" t="n"/>
      <c r="R239" s="4" t="n"/>
      <c r="S239" s="4" t="n"/>
    </row>
    <row r="240">
      <c r="A240" s="3" t="n">
        <v>239</v>
      </c>
      <c r="B240" s="3" t="inlineStr">
        <is>
          <t>KH001</t>
        </is>
      </c>
      <c r="C240" s="4" t="inlineStr">
        <is>
          <t>Điện nước Nhật (Shop) HCM</t>
        </is>
      </c>
      <c r="D240" s="3" t="inlineStr">
        <is>
          <t>HCM</t>
        </is>
      </c>
      <c r="E240" s="3" t="inlineStr">
        <is>
          <t>BẢO TRÂM</t>
        </is>
      </c>
      <c r="F240" s="3" t="inlineStr">
        <is>
          <t>Shopee</t>
        </is>
      </c>
      <c r="G240" s="3" t="inlineStr">
        <is>
          <t>KVS2-6*150</t>
        </is>
      </c>
      <c r="H240" s="4" t="inlineStr">
        <is>
          <t>Tuốc nơ vít 2 đầu KVS2-6*150</t>
        </is>
      </c>
      <c r="I240" s="3" t="inlineStr">
        <is>
          <t>Cái</t>
        </is>
      </c>
      <c r="J240" s="5" t="n">
        <v>37000</v>
      </c>
      <c r="K240" s="5" t="n">
        <v>44000</v>
      </c>
      <c r="L240" s="6" t="n">
        <v>54000</v>
      </c>
      <c r="M240" s="5" t="n"/>
      <c r="N240" s="5">
        <f>IF(AND(ISNUMBER(M240),ISNUMBER(L240)),M240-L240,"")</f>
        <v/>
      </c>
      <c r="O240" s="7">
        <f>IF(AND(ISNUMBER(M240),ISNUMBER(L240),L240&gt;0),(M240-L240)/L240,"")</f>
        <v/>
      </c>
      <c r="P240" s="3">
        <f>IF(O240="","",IF(O240&lt;-0.02,"🔴 Bán phá giá sàn",IF(O240&gt;0.05,"🔵 Bán cao hơn","🟢 Đúng giá sàn TMĐT")))</f>
        <v/>
      </c>
      <c r="Q240" s="3" t="n"/>
      <c r="R240" s="4" t="n"/>
      <c r="S240" s="4" t="n"/>
    </row>
    <row r="241">
      <c r="A241" s="3" t="n">
        <v>240</v>
      </c>
      <c r="B241" s="3" t="inlineStr">
        <is>
          <t>KH001</t>
        </is>
      </c>
      <c r="C241" s="4" t="inlineStr">
        <is>
          <t>Điện nước Nhật (Shop) HCM</t>
        </is>
      </c>
      <c r="D241" s="3" t="inlineStr">
        <is>
          <t>HCM</t>
        </is>
      </c>
      <c r="E241" s="3" t="inlineStr">
        <is>
          <t>BẢO TRÂM</t>
        </is>
      </c>
      <c r="F241" s="3" t="inlineStr">
        <is>
          <t>Shopee</t>
        </is>
      </c>
      <c r="G241" s="3" t="inlineStr">
        <is>
          <t>KVS2-6*200</t>
        </is>
      </c>
      <c r="H241" s="4" t="inlineStr">
        <is>
          <t>Tuốc nơ vít 2 đầu KVS2-6*200</t>
        </is>
      </c>
      <c r="I241" s="3" t="inlineStr">
        <is>
          <t>Cái</t>
        </is>
      </c>
      <c r="J241" s="5" t="n">
        <v>44000</v>
      </c>
      <c r="K241" s="5" t="n">
        <v>52000</v>
      </c>
      <c r="L241" s="6" t="n">
        <v>64000</v>
      </c>
      <c r="M241" s="5" t="n"/>
      <c r="N241" s="5">
        <f>IF(AND(ISNUMBER(M241),ISNUMBER(L241)),M241-L241,"")</f>
        <v/>
      </c>
      <c r="O241" s="7">
        <f>IF(AND(ISNUMBER(M241),ISNUMBER(L241),L241&gt;0),(M241-L241)/L241,"")</f>
        <v/>
      </c>
      <c r="P241" s="3">
        <f>IF(O241="","",IF(O241&lt;-0.02,"🔴 Bán phá giá sàn",IF(O241&gt;0.05,"🔵 Bán cao hơn","🟢 Đúng giá sàn TMĐT")))</f>
        <v/>
      </c>
      <c r="Q241" s="3" t="n"/>
      <c r="R241" s="4" t="n"/>
      <c r="S241" s="4" t="n"/>
    </row>
    <row r="242">
      <c r="A242" s="3" t="n">
        <v>241</v>
      </c>
      <c r="B242" s="3" t="inlineStr">
        <is>
          <t>KH001</t>
        </is>
      </c>
      <c r="C242" s="4" t="inlineStr">
        <is>
          <t>Điện nước Nhật (Shop) HCM</t>
        </is>
      </c>
      <c r="D242" s="3" t="inlineStr">
        <is>
          <t>HCM</t>
        </is>
      </c>
      <c r="E242" s="3" t="inlineStr">
        <is>
          <t>BẢO TRÂM</t>
        </is>
      </c>
      <c r="F242" s="3" t="inlineStr">
        <is>
          <t>Shopee</t>
        </is>
      </c>
      <c r="G242" s="3" t="inlineStr">
        <is>
          <t>KV3-6*150</t>
        </is>
      </c>
      <c r="H242" s="4" t="inlineStr">
        <is>
          <t>Tuốc nơ vít 2 đầu tịnh tiến KV3-6*150</t>
        </is>
      </c>
      <c r="I242" s="3" t="inlineStr">
        <is>
          <t>Cái</t>
        </is>
      </c>
      <c r="J242" s="5" t="n">
        <v>51000</v>
      </c>
      <c r="K242" s="5" t="n">
        <v>60000</v>
      </c>
      <c r="L242" s="6" t="n">
        <v>74000</v>
      </c>
      <c r="M242" s="5" t="n"/>
      <c r="N242" s="5">
        <f>IF(AND(ISNUMBER(M242),ISNUMBER(L242)),M242-L242,"")</f>
        <v/>
      </c>
      <c r="O242" s="7">
        <f>IF(AND(ISNUMBER(M242),ISNUMBER(L242),L242&gt;0),(M242-L242)/L242,"")</f>
        <v/>
      </c>
      <c r="P242" s="3">
        <f>IF(O242="","",IF(O242&lt;-0.02,"🔴 Bán phá giá sàn",IF(O242&gt;0.05,"🔵 Bán cao hơn","🟢 Đúng giá sàn TMĐT")))</f>
        <v/>
      </c>
      <c r="Q242" s="3" t="n"/>
      <c r="R242" s="4" t="n"/>
      <c r="S242" s="4" t="n"/>
    </row>
    <row r="243">
      <c r="A243" s="3" t="n">
        <v>242</v>
      </c>
      <c r="B243" s="3" t="inlineStr">
        <is>
          <t>KH001</t>
        </is>
      </c>
      <c r="C243" s="4" t="inlineStr">
        <is>
          <t>Điện nước Nhật (Shop) HCM</t>
        </is>
      </c>
      <c r="D243" s="3" t="inlineStr">
        <is>
          <t>HCM</t>
        </is>
      </c>
      <c r="E243" s="3" t="inlineStr">
        <is>
          <t>BẢO TRÂM</t>
        </is>
      </c>
      <c r="F243" s="3" t="inlineStr">
        <is>
          <t>Shopee</t>
        </is>
      </c>
      <c r="G243" s="3" t="inlineStr">
        <is>
          <t>KV4-6*38</t>
        </is>
      </c>
      <c r="H243" s="4" t="inlineStr">
        <is>
          <t>Tuốc nơ vít tự động 3 chức năng S2 KV4-6*38</t>
        </is>
      </c>
      <c r="I243" s="3" t="inlineStr">
        <is>
          <t>Cái</t>
        </is>
      </c>
      <c r="J243" s="5" t="n">
        <v>68000</v>
      </c>
      <c r="K243" s="5" t="n">
        <v>80000</v>
      </c>
      <c r="L243" s="6" t="n">
        <v>99000</v>
      </c>
      <c r="M243" s="5" t="n"/>
      <c r="N243" s="5">
        <f>IF(AND(ISNUMBER(M243),ISNUMBER(L243)),M243-L243,"")</f>
        <v/>
      </c>
      <c r="O243" s="7">
        <f>IF(AND(ISNUMBER(M243),ISNUMBER(L243),L243&gt;0),(M243-L243)/L243,"")</f>
        <v/>
      </c>
      <c r="P243" s="3">
        <f>IF(O243="","",IF(O243&lt;-0.02,"🔴 Bán phá giá sàn",IF(O243&gt;0.05,"🔵 Bán cao hơn","🟢 Đúng giá sàn TMĐT")))</f>
        <v/>
      </c>
      <c r="Q243" s="3" t="n"/>
      <c r="R243" s="4" t="n"/>
      <c r="S243" s="4" t="n"/>
    </row>
    <row r="244">
      <c r="A244" s="3" t="n">
        <v>243</v>
      </c>
      <c r="B244" s="3" t="inlineStr">
        <is>
          <t>KH001</t>
        </is>
      </c>
      <c r="C244" s="4" t="inlineStr">
        <is>
          <t>Điện nước Nhật (Shop) HCM</t>
        </is>
      </c>
      <c r="D244" s="3" t="inlineStr">
        <is>
          <t>HCM</t>
        </is>
      </c>
      <c r="E244" s="3" t="inlineStr">
        <is>
          <t>BẢO TRÂM</t>
        </is>
      </c>
      <c r="F244" s="3" t="inlineStr">
        <is>
          <t>Shopee</t>
        </is>
      </c>
      <c r="G244" s="3" t="inlineStr">
        <is>
          <t>KHD4212</t>
        </is>
      </c>
      <c r="H244" s="4" t="inlineStr">
        <is>
          <t>Thùng đựng đồ nghề kèm phụ kiện KHD4212 NEW</t>
        </is>
      </c>
      <c r="I244" s="3" t="inlineStr">
        <is>
          <t>Cái</t>
        </is>
      </c>
      <c r="J244" s="5" t="n">
        <v>1996</v>
      </c>
      <c r="K244" s="5" t="n">
        <v>539000</v>
      </c>
      <c r="L244" s="6" t="n">
        <v>615000</v>
      </c>
      <c r="M244" s="5" t="n"/>
      <c r="N244" s="5">
        <f>IF(AND(ISNUMBER(M244),ISNUMBER(L244)),M244-L244,"")</f>
        <v/>
      </c>
      <c r="O244" s="7">
        <f>IF(AND(ISNUMBER(M244),ISNUMBER(L244),L244&gt;0),(M244-L244)/L244,"")</f>
        <v/>
      </c>
      <c r="P244" s="3">
        <f>IF(O244="","",IF(O244&lt;-0.02,"🔴 Bán phá giá sàn",IF(O244&gt;0.05,"🔵 Bán cao hơn","🟢 Đúng giá sàn TMĐT")))</f>
        <v/>
      </c>
      <c r="Q244" s="3" t="n"/>
      <c r="R244" s="4" t="n"/>
      <c r="S244" s="4" t="n"/>
    </row>
    <row r="245">
      <c r="A245" s="3" t="n">
        <v>244</v>
      </c>
      <c r="B245" s="3" t="inlineStr">
        <is>
          <t>KH001</t>
        </is>
      </c>
      <c r="C245" s="4" t="inlineStr">
        <is>
          <t>Điện nước Nhật (Shop) HCM</t>
        </is>
      </c>
      <c r="D245" s="3" t="inlineStr">
        <is>
          <t>HCM</t>
        </is>
      </c>
      <c r="E245" s="3" t="inlineStr">
        <is>
          <t>BẢO TRÂM</t>
        </is>
      </c>
      <c r="F245" s="3" t="inlineStr">
        <is>
          <t>Shopee</t>
        </is>
      </c>
      <c r="G245" s="3" t="inlineStr">
        <is>
          <t>KHD20</t>
        </is>
      </c>
      <c r="H245" s="4" t="inlineStr">
        <is>
          <t>Thùng đựng đồ nghề KHD20</t>
        </is>
      </c>
      <c r="I245" s="3" t="inlineStr">
        <is>
          <t>Cái</t>
        </is>
      </c>
      <c r="J245" s="5" t="n">
        <v>396000</v>
      </c>
      <c r="K245" s="5" t="n">
        <v>452000</v>
      </c>
      <c r="L245" s="6" t="n">
        <v>535000</v>
      </c>
      <c r="M245" s="5" t="n"/>
      <c r="N245" s="5">
        <f>IF(AND(ISNUMBER(M245),ISNUMBER(L245)),M245-L245,"")</f>
        <v/>
      </c>
      <c r="O245" s="7">
        <f>IF(AND(ISNUMBER(M245),ISNUMBER(L245),L245&gt;0),(M245-L245)/L245,"")</f>
        <v/>
      </c>
      <c r="P245" s="3">
        <f>IF(O245="","",IF(O245&lt;-0.02,"🔴 Bán phá giá sàn",IF(O245&gt;0.05,"🔵 Bán cao hơn","🟢 Đúng giá sàn TMĐT")))</f>
        <v/>
      </c>
      <c r="Q245" s="3" t="n"/>
      <c r="R245" s="4" t="n"/>
      <c r="S245" s="4" t="n"/>
    </row>
    <row r="246">
      <c r="A246" s="3" t="n">
        <v>245</v>
      </c>
      <c r="B246" s="3" t="inlineStr">
        <is>
          <t>KH001</t>
        </is>
      </c>
      <c r="C246" s="4" t="inlineStr">
        <is>
          <t>Điện nước Nhật (Shop) HCM</t>
        </is>
      </c>
      <c r="D246" s="3" t="inlineStr">
        <is>
          <t>HCM</t>
        </is>
      </c>
      <c r="E246" s="3" t="inlineStr">
        <is>
          <t>BẢO TRÂM</t>
        </is>
      </c>
      <c r="F246" s="3" t="inlineStr">
        <is>
          <t>Shopee</t>
        </is>
      </c>
      <c r="G246" s="3" t="inlineStr">
        <is>
          <t>KHD4216</t>
        </is>
      </c>
      <c r="H246" s="4" t="inlineStr">
        <is>
          <t>Thùng đựng đồ nghề KHD4216</t>
        </is>
      </c>
      <c r="I246" s="3" t="inlineStr">
        <is>
          <t>Cái</t>
        </is>
      </c>
      <c r="J246" s="5" t="n">
        <v>2065</v>
      </c>
      <c r="K246" s="5" t="n">
        <v>484000</v>
      </c>
      <c r="L246" s="6" t="n">
        <v>552000</v>
      </c>
      <c r="M246" s="5" t="n"/>
      <c r="N246" s="5">
        <f>IF(AND(ISNUMBER(M246),ISNUMBER(L246)),M246-L246,"")</f>
        <v/>
      </c>
      <c r="O246" s="7">
        <f>IF(AND(ISNUMBER(M246),ISNUMBER(L246),L246&gt;0),(M246-L246)/L246,"")</f>
        <v/>
      </c>
      <c r="P246" s="3">
        <f>IF(O246="","",IF(O246&lt;-0.02,"🔴 Bán phá giá sàn",IF(O246&gt;0.05,"🔵 Bán cao hơn","🟢 Đúng giá sàn TMĐT")))</f>
        <v/>
      </c>
      <c r="Q246" s="3" t="n"/>
      <c r="R246" s="4" t="n"/>
      <c r="S246" s="4" t="n"/>
    </row>
    <row r="247">
      <c r="A247" s="3" t="n">
        <v>246</v>
      </c>
      <c r="B247" s="3" t="inlineStr">
        <is>
          <t>KH001</t>
        </is>
      </c>
      <c r="C247" s="4" t="inlineStr">
        <is>
          <t>Điện nước Nhật (Shop) HCM</t>
        </is>
      </c>
      <c r="D247" s="3" t="inlineStr">
        <is>
          <t>HCM</t>
        </is>
      </c>
      <c r="E247" s="3" t="inlineStr">
        <is>
          <t>BẢO TRÂM</t>
        </is>
      </c>
      <c r="F247" s="3" t="inlineStr">
        <is>
          <t>Shopee</t>
        </is>
      </c>
      <c r="G247" s="3" t="inlineStr">
        <is>
          <t>KHD4233</t>
        </is>
      </c>
      <c r="H247" s="4" t="inlineStr">
        <is>
          <t>Thùng đựng đồ nghề KHD4233</t>
        </is>
      </c>
      <c r="I247" s="3" t="inlineStr">
        <is>
          <t>Cái</t>
        </is>
      </c>
      <c r="J247" s="5" t="n">
        <v>269000</v>
      </c>
      <c r="K247" s="5" t="n">
        <v>317000</v>
      </c>
      <c r="L247" s="6" t="n">
        <v>390000</v>
      </c>
      <c r="M247" s="5" t="n"/>
      <c r="N247" s="5">
        <f>IF(AND(ISNUMBER(M247),ISNUMBER(L247)),M247-L247,"")</f>
        <v/>
      </c>
      <c r="O247" s="7">
        <f>IF(AND(ISNUMBER(M247),ISNUMBER(L247),L247&gt;0),(M247-L247)/L247,"")</f>
        <v/>
      </c>
      <c r="P247" s="3">
        <f>IF(O247="","",IF(O247&lt;-0.02,"🔴 Bán phá giá sàn",IF(O247&gt;0.05,"🔵 Bán cao hơn","🟢 Đúng giá sàn TMĐT")))</f>
        <v/>
      </c>
      <c r="Q247" s="3" t="n"/>
      <c r="R247" s="4" t="n"/>
      <c r="S247" s="4" t="n"/>
    </row>
    <row r="248">
      <c r="A248" s="3" t="n">
        <v>247</v>
      </c>
      <c r="B248" s="3" t="inlineStr">
        <is>
          <t>KH001</t>
        </is>
      </c>
      <c r="C248" s="4" t="inlineStr">
        <is>
          <t>Điện nước Nhật (Shop) HCM</t>
        </is>
      </c>
      <c r="D248" s="3" t="inlineStr">
        <is>
          <t>HCM</t>
        </is>
      </c>
      <c r="E248" s="3" t="inlineStr">
        <is>
          <t>BẢO TRÂM</t>
        </is>
      </c>
      <c r="F248" s="3" t="inlineStr">
        <is>
          <t>Shopee</t>
        </is>
      </c>
      <c r="G248" s="3" t="inlineStr">
        <is>
          <t>MC-30.16</t>
        </is>
      </c>
      <c r="H248" s="4" t="inlineStr">
        <is>
          <t>Thước Cuộn MC-30.16</t>
        </is>
      </c>
      <c r="I248" s="3" t="inlineStr">
        <is>
          <t>Cái</t>
        </is>
      </c>
      <c r="J248" s="5" t="n">
        <v>37000</v>
      </c>
      <c r="K248" s="5" t="n">
        <v>44000</v>
      </c>
      <c r="L248" s="6" t="n">
        <v>54000</v>
      </c>
      <c r="M248" s="5" t="n"/>
      <c r="N248" s="5">
        <f>IF(AND(ISNUMBER(M248),ISNUMBER(L248)),M248-L248,"")</f>
        <v/>
      </c>
      <c r="O248" s="7">
        <f>IF(AND(ISNUMBER(M248),ISNUMBER(L248),L248&gt;0),(M248-L248)/L248,"")</f>
        <v/>
      </c>
      <c r="P248" s="3">
        <f>IF(O248="","",IF(O248&lt;-0.02,"🔴 Bán phá giá sàn",IF(O248&gt;0.05,"🔵 Bán cao hơn","🟢 Đúng giá sàn TMĐT")))</f>
        <v/>
      </c>
      <c r="Q248" s="3" t="n"/>
      <c r="R248" s="4" t="n"/>
      <c r="S248" s="4" t="n"/>
    </row>
    <row r="249">
      <c r="A249" s="3" t="n">
        <v>248</v>
      </c>
      <c r="B249" s="3" t="inlineStr">
        <is>
          <t>KH001</t>
        </is>
      </c>
      <c r="C249" s="4" t="inlineStr">
        <is>
          <t>Điện nước Nhật (Shop) HCM</t>
        </is>
      </c>
      <c r="D249" s="3" t="inlineStr">
        <is>
          <t>HCM</t>
        </is>
      </c>
      <c r="E249" s="3" t="inlineStr">
        <is>
          <t>BẢO TRÂM</t>
        </is>
      </c>
      <c r="F249" s="3" t="inlineStr">
        <is>
          <t>Shopee</t>
        </is>
      </c>
      <c r="G249" s="3" t="inlineStr">
        <is>
          <t>MD-50.25</t>
        </is>
      </c>
      <c r="H249" s="4" t="inlineStr">
        <is>
          <t>Thước Cuộn tự hãm MD-50.25</t>
        </is>
      </c>
      <c r="I249" s="3" t="inlineStr">
        <is>
          <t>Cái</t>
        </is>
      </c>
      <c r="J249" s="5" t="n">
        <v>64000</v>
      </c>
      <c r="K249" s="5" t="n">
        <v>76000</v>
      </c>
      <c r="L249" s="6" t="n">
        <v>93000</v>
      </c>
      <c r="M249" s="5" t="n"/>
      <c r="N249" s="5">
        <f>IF(AND(ISNUMBER(M249),ISNUMBER(L249)),M249-L249,"")</f>
        <v/>
      </c>
      <c r="O249" s="7">
        <f>IF(AND(ISNUMBER(M249),ISNUMBER(L249),L249&gt;0),(M249-L249)/L249,"")</f>
        <v/>
      </c>
      <c r="P249" s="3">
        <f>IF(O249="","",IF(O249&lt;-0.02,"🔴 Bán phá giá sàn",IF(O249&gt;0.05,"🔵 Bán cao hơn","🟢 Đúng giá sàn TMĐT")))</f>
        <v/>
      </c>
      <c r="Q249" s="3" t="n"/>
      <c r="R249" s="4" t="n"/>
      <c r="S249" s="4" t="n"/>
    </row>
    <row r="250">
      <c r="A250" s="3" t="n">
        <v>249</v>
      </c>
      <c r="B250" s="3" t="inlineStr">
        <is>
          <t>KH001</t>
        </is>
      </c>
      <c r="C250" s="4" t="inlineStr">
        <is>
          <t>Điện nước Nhật (Shop) HCM</t>
        </is>
      </c>
      <c r="D250" s="3" t="inlineStr">
        <is>
          <t>HCM</t>
        </is>
      </c>
      <c r="E250" s="3" t="inlineStr">
        <is>
          <t>BẢO TRÂM</t>
        </is>
      </c>
      <c r="F250" s="3" t="inlineStr">
        <is>
          <t>Shopee</t>
        </is>
      </c>
      <c r="G250" s="3" t="inlineStr">
        <is>
          <t>MD-80.25</t>
        </is>
      </c>
      <c r="H250" s="4" t="inlineStr">
        <is>
          <t>Thước Cuộn tự hãm MD-80.25</t>
        </is>
      </c>
      <c r="I250" s="3" t="inlineStr">
        <is>
          <t>Cái</t>
        </is>
      </c>
      <c r="J250" s="5" t="n">
        <v>81000</v>
      </c>
      <c r="K250" s="5" t="n">
        <v>96000</v>
      </c>
      <c r="L250" s="6" t="n">
        <v>118000</v>
      </c>
      <c r="M250" s="5" t="n"/>
      <c r="N250" s="5">
        <f>IF(AND(ISNUMBER(M250),ISNUMBER(L250)),M250-L250,"")</f>
        <v/>
      </c>
      <c r="O250" s="7">
        <f>IF(AND(ISNUMBER(M250),ISNUMBER(L250),L250&gt;0),(M250-L250)/L250,"")</f>
        <v/>
      </c>
      <c r="P250" s="3">
        <f>IF(O250="","",IF(O250&lt;-0.02,"🔴 Bán phá giá sàn",IF(O250&gt;0.05,"🔵 Bán cao hơn","🟢 Đúng giá sàn TMĐT")))</f>
        <v/>
      </c>
      <c r="Q250" s="3" t="n"/>
      <c r="R250" s="4" t="n"/>
      <c r="S250" s="4" t="n"/>
    </row>
    <row r="251">
      <c r="A251" s="3" t="n">
        <v>250</v>
      </c>
      <c r="B251" s="3" t="inlineStr">
        <is>
          <t>KH001</t>
        </is>
      </c>
      <c r="C251" s="4" t="inlineStr">
        <is>
          <t>Điện nước Nhật (Shop) HCM</t>
        </is>
      </c>
      <c r="D251" s="3" t="inlineStr">
        <is>
          <t>HCM</t>
        </is>
      </c>
      <c r="E251" s="3" t="inlineStr">
        <is>
          <t>BẢO TRÂM</t>
        </is>
      </c>
      <c r="F251" s="3" t="inlineStr">
        <is>
          <t>Shopee</t>
        </is>
      </c>
      <c r="G251" s="3" t="inlineStr">
        <is>
          <t>LA-50.19</t>
        </is>
      </c>
      <c r="H251" s="4" t="inlineStr">
        <is>
          <t>Thước kéo LA-50.19 (new)</t>
        </is>
      </c>
      <c r="I251" s="3" t="inlineStr">
        <is>
          <t>Cái</t>
        </is>
      </c>
      <c r="J251" s="5" t="n">
        <v>29000</v>
      </c>
      <c r="K251" s="5" t="n">
        <v>34000</v>
      </c>
      <c r="L251" s="6" t="n">
        <v>42000</v>
      </c>
      <c r="M251" s="5" t="n"/>
      <c r="N251" s="5">
        <f>IF(AND(ISNUMBER(M251),ISNUMBER(L251)),M251-L251,"")</f>
        <v/>
      </c>
      <c r="O251" s="7">
        <f>IF(AND(ISNUMBER(M251),ISNUMBER(L251),L251&gt;0),(M251-L251)/L251,"")</f>
        <v/>
      </c>
      <c r="P251" s="3">
        <f>IF(O251="","",IF(O251&lt;-0.02,"🔴 Bán phá giá sàn",IF(O251&gt;0.05,"🔵 Bán cao hơn","🟢 Đúng giá sàn TMĐT")))</f>
        <v/>
      </c>
      <c r="Q251" s="3" t="n"/>
      <c r="R251" s="4" t="n"/>
      <c r="S251" s="4" t="n"/>
    </row>
    <row r="252">
      <c r="A252" s="3" t="n">
        <v>251</v>
      </c>
      <c r="B252" s="3" t="inlineStr">
        <is>
          <t>KH001</t>
        </is>
      </c>
      <c r="C252" s="4" t="inlineStr">
        <is>
          <t>Điện nước Nhật (Shop) HCM</t>
        </is>
      </c>
      <c r="D252" s="3" t="inlineStr">
        <is>
          <t>HCM</t>
        </is>
      </c>
      <c r="E252" s="3" t="inlineStr">
        <is>
          <t>BẢO TRÂM</t>
        </is>
      </c>
      <c r="F252" s="3" t="inlineStr">
        <is>
          <t>Shopee</t>
        </is>
      </c>
      <c r="G252" s="3" t="inlineStr">
        <is>
          <t>LC-20.13</t>
        </is>
      </c>
      <c r="H252" s="4" t="inlineStr">
        <is>
          <t>Thước kéo LC-20.13</t>
        </is>
      </c>
      <c r="I252" s="3" t="inlineStr">
        <is>
          <t>Cái</t>
        </is>
      </c>
      <c r="J252" s="5" t="n">
        <v>25000</v>
      </c>
      <c r="K252" s="5" t="n">
        <v>29000</v>
      </c>
      <c r="L252" s="6" t="n">
        <v>36000</v>
      </c>
      <c r="M252" s="5" t="n"/>
      <c r="N252" s="5">
        <f>IF(AND(ISNUMBER(M252),ISNUMBER(L252)),M252-L252,"")</f>
        <v/>
      </c>
      <c r="O252" s="7">
        <f>IF(AND(ISNUMBER(M252),ISNUMBER(L252),L252&gt;0),(M252-L252)/L252,"")</f>
        <v/>
      </c>
      <c r="P252" s="3">
        <f>IF(O252="","",IF(O252&lt;-0.02,"🔴 Bán phá giá sàn",IF(O252&gt;0.05,"🔵 Bán cao hơn","🟢 Đúng giá sàn TMĐT")))</f>
        <v/>
      </c>
      <c r="Q252" s="3" t="n"/>
      <c r="R252" s="4" t="n"/>
      <c r="S252" s="4" t="n"/>
    </row>
    <row r="253">
      <c r="A253" s="3" t="n">
        <v>252</v>
      </c>
      <c r="B253" s="3" t="inlineStr">
        <is>
          <t>KH001</t>
        </is>
      </c>
      <c r="C253" s="4" t="inlineStr">
        <is>
          <t>Điện nước Nhật (Shop) HCM</t>
        </is>
      </c>
      <c r="D253" s="3" t="inlineStr">
        <is>
          <t>HCM</t>
        </is>
      </c>
      <c r="E253" s="3" t="inlineStr">
        <is>
          <t>BẢO TRÂM</t>
        </is>
      </c>
      <c r="F253" s="3" t="inlineStr">
        <is>
          <t>Shopee</t>
        </is>
      </c>
      <c r="G253" s="3" t="inlineStr">
        <is>
          <t>KTT-25A</t>
        </is>
      </c>
      <c r="H253" s="4" t="inlineStr">
        <is>
          <t>Thước thủy KTT-25A</t>
        </is>
      </c>
      <c r="I253" s="3" t="inlineStr">
        <is>
          <t>Cái</t>
        </is>
      </c>
      <c r="J253" s="5" t="n">
        <v>35000</v>
      </c>
      <c r="K253" s="5" t="n">
        <v>41000</v>
      </c>
      <c r="L253" s="6" t="n">
        <v>51000</v>
      </c>
      <c r="M253" s="5" t="n"/>
      <c r="N253" s="5">
        <f>IF(AND(ISNUMBER(M253),ISNUMBER(L253)),M253-L253,"")</f>
        <v/>
      </c>
      <c r="O253" s="7">
        <f>IF(AND(ISNUMBER(M253),ISNUMBER(L253),L253&gt;0),(M253-L253)/L253,"")</f>
        <v/>
      </c>
      <c r="P253" s="3">
        <f>IF(O253="","",IF(O253&lt;-0.02,"🔴 Bán phá giá sàn",IF(O253&gt;0.05,"🔵 Bán cao hơn","🟢 Đúng giá sàn TMĐT")))</f>
        <v/>
      </c>
      <c r="Q253" s="3" t="n"/>
      <c r="R253" s="4" t="n"/>
      <c r="S253" s="4" t="n"/>
    </row>
    <row r="254">
      <c r="A254" s="3" t="n">
        <v>253</v>
      </c>
      <c r="B254" s="3" t="inlineStr">
        <is>
          <t>KH001</t>
        </is>
      </c>
      <c r="C254" s="4" t="inlineStr">
        <is>
          <t>Điện nước Nhật (Shop) HCM</t>
        </is>
      </c>
      <c r="D254" s="3" t="inlineStr">
        <is>
          <t>HCM</t>
        </is>
      </c>
      <c r="E254" s="3" t="inlineStr">
        <is>
          <t>BẢO TRÂM</t>
        </is>
      </c>
      <c r="F254" s="3" t="inlineStr">
        <is>
          <t>Shopee</t>
        </is>
      </c>
      <c r="G254" s="3" t="inlineStr">
        <is>
          <t>KFJ-432</t>
        </is>
      </c>
      <c r="H254" s="4" t="inlineStr">
        <is>
          <t>Vít bê tông không dùng tắc kê KFJ-432</t>
        </is>
      </c>
      <c r="I254" s="3" t="inlineStr">
        <is>
          <t>Hộp</t>
        </is>
      </c>
      <c r="J254" s="5" t="n">
        <v>81000</v>
      </c>
      <c r="K254" s="5" t="n">
        <v>101000</v>
      </c>
      <c r="L254" s="6" t="n">
        <v>130000</v>
      </c>
      <c r="M254" s="5" t="n"/>
      <c r="N254" s="5">
        <f>IF(AND(ISNUMBER(M254),ISNUMBER(L254)),M254-L254,"")</f>
        <v/>
      </c>
      <c r="O254" s="7">
        <f>IF(AND(ISNUMBER(M254),ISNUMBER(L254),L254&gt;0),(M254-L254)/L254,"")</f>
        <v/>
      </c>
      <c r="P254" s="3">
        <f>IF(O254="","",IF(O254&lt;-0.02,"🔴 Bán phá giá sàn",IF(O254&gt;0.05,"🔵 Bán cao hơn","🟢 Đúng giá sàn TMĐT")))</f>
        <v/>
      </c>
      <c r="Q254" s="3" t="n"/>
      <c r="R254" s="4" t="n"/>
      <c r="S254" s="4" t="n"/>
    </row>
    <row r="255">
      <c r="A255" s="3" t="n">
        <v>254</v>
      </c>
      <c r="B255" s="3" t="inlineStr">
        <is>
          <t>KH001</t>
        </is>
      </c>
      <c r="C255" s="4" t="inlineStr">
        <is>
          <t>Điện nước Nhật (Shop) HCM</t>
        </is>
      </c>
      <c r="D255" s="3" t="inlineStr">
        <is>
          <t>HCM</t>
        </is>
      </c>
      <c r="E255" s="3" t="inlineStr">
        <is>
          <t>BẢO TRÂM</t>
        </is>
      </c>
      <c r="F255" s="3" t="inlineStr">
        <is>
          <t>Shopee</t>
        </is>
      </c>
      <c r="G255" s="3" t="inlineStr">
        <is>
          <t>KFJ-438</t>
        </is>
      </c>
      <c r="H255" s="4" t="inlineStr">
        <is>
          <t>Vít bê tông không dùng tắc kê KFJ-438</t>
        </is>
      </c>
      <c r="I255" s="3" t="inlineStr">
        <is>
          <t>Hộp</t>
        </is>
      </c>
      <c r="J255" s="5" t="n">
        <v>81000</v>
      </c>
      <c r="K255" s="5" t="n">
        <v>101000</v>
      </c>
      <c r="L255" s="6" t="n">
        <v>130000</v>
      </c>
      <c r="M255" s="5" t="n"/>
      <c r="N255" s="5">
        <f>IF(AND(ISNUMBER(M255),ISNUMBER(L255)),M255-L255,"")</f>
        <v/>
      </c>
      <c r="O255" s="7">
        <f>IF(AND(ISNUMBER(M255),ISNUMBER(L255),L255&gt;0),(M255-L255)/L255,"")</f>
        <v/>
      </c>
      <c r="P255" s="3">
        <f>IF(O255="","",IF(O255&lt;-0.02,"🔴 Bán phá giá sàn",IF(O255&gt;0.05,"🔵 Bán cao hơn","🟢 Đúng giá sàn TMĐT")))</f>
        <v/>
      </c>
      <c r="Q255" s="3" t="n"/>
      <c r="R255" s="4" t="n"/>
      <c r="S255" s="4" t="n"/>
    </row>
    <row r="256">
      <c r="A256" s="3" t="n">
        <v>255</v>
      </c>
      <c r="B256" s="3" t="inlineStr">
        <is>
          <t>KH001</t>
        </is>
      </c>
      <c r="C256" s="4" t="inlineStr">
        <is>
          <t>Điện nước Nhật (Shop) HCM</t>
        </is>
      </c>
      <c r="D256" s="3" t="inlineStr">
        <is>
          <t>HCM</t>
        </is>
      </c>
      <c r="E256" s="3" t="inlineStr">
        <is>
          <t>BẢO TRÂM</t>
        </is>
      </c>
      <c r="F256" s="3" t="inlineStr">
        <is>
          <t>Shopee</t>
        </is>
      </c>
      <c r="G256" s="3" t="inlineStr">
        <is>
          <t>KFJ-445</t>
        </is>
      </c>
      <c r="H256" s="4" t="inlineStr">
        <is>
          <t>Vít bê tông không dùng tắc kê KFJ-445</t>
        </is>
      </c>
      <c r="I256" s="3" t="inlineStr">
        <is>
          <t>Hộp</t>
        </is>
      </c>
      <c r="J256" s="5" t="n">
        <v>81000</v>
      </c>
      <c r="K256" s="5" t="n">
        <v>101000</v>
      </c>
      <c r="L256" s="6" t="n">
        <v>130000</v>
      </c>
      <c r="M256" s="5" t="n"/>
      <c r="N256" s="5">
        <f>IF(AND(ISNUMBER(M256),ISNUMBER(L256)),M256-L256,"")</f>
        <v/>
      </c>
      <c r="O256" s="7">
        <f>IF(AND(ISNUMBER(M256),ISNUMBER(L256),L256&gt;0),(M256-L256)/L256,"")</f>
        <v/>
      </c>
      <c r="P256" s="3">
        <f>IF(O256="","",IF(O256&lt;-0.02,"🔴 Bán phá giá sàn",IF(O256&gt;0.05,"🔵 Bán cao hơn","🟢 Đúng giá sàn TMĐT")))</f>
        <v/>
      </c>
      <c r="Q256" s="3" t="n"/>
      <c r="R256" s="4" t="n"/>
      <c r="S256" s="4" t="n"/>
    </row>
    <row r="257">
      <c r="A257" s="3" t="n">
        <v>256</v>
      </c>
      <c r="B257" s="3" t="inlineStr">
        <is>
          <t>KH001</t>
        </is>
      </c>
      <c r="C257" s="4" t="inlineStr">
        <is>
          <t>Điện nước Nhật (Shop) HCM</t>
        </is>
      </c>
      <c r="D257" s="3" t="inlineStr">
        <is>
          <t>HCM</t>
        </is>
      </c>
      <c r="E257" s="3" t="inlineStr">
        <is>
          <t>BẢO TRÂM</t>
        </is>
      </c>
      <c r="F257" s="3" t="inlineStr">
        <is>
          <t>Shopee</t>
        </is>
      </c>
      <c r="G257" s="3" t="inlineStr">
        <is>
          <t>KFJ-535</t>
        </is>
      </c>
      <c r="H257" s="4" t="inlineStr">
        <is>
          <t>Vít bê tông không dùng tắc kê KFJ-535</t>
        </is>
      </c>
      <c r="I257" s="3" t="inlineStr">
        <is>
          <t>Hộp</t>
        </is>
      </c>
      <c r="J257" s="5" t="n">
        <v>81000</v>
      </c>
      <c r="K257" s="5" t="n">
        <v>101000</v>
      </c>
      <c r="L257" s="6" t="n">
        <v>130000</v>
      </c>
      <c r="M257" s="5" t="n"/>
      <c r="N257" s="5">
        <f>IF(AND(ISNUMBER(M257),ISNUMBER(L257)),M257-L257,"")</f>
        <v/>
      </c>
      <c r="O257" s="7">
        <f>IF(AND(ISNUMBER(M257),ISNUMBER(L257),L257&gt;0),(M257-L257)/L257,"")</f>
        <v/>
      </c>
      <c r="P257" s="3">
        <f>IF(O257="","",IF(O257&lt;-0.02,"🔴 Bán phá giá sàn",IF(O257&gt;0.05,"🔵 Bán cao hơn","🟢 Đúng giá sàn TMĐT")))</f>
        <v/>
      </c>
      <c r="Q257" s="3" t="n"/>
      <c r="R257" s="4" t="n"/>
      <c r="S257" s="4" t="n"/>
    </row>
    <row r="258">
      <c r="A258" s="3" t="n">
        <v>257</v>
      </c>
      <c r="B258" s="3" t="inlineStr">
        <is>
          <t>KH001</t>
        </is>
      </c>
      <c r="C258" s="4" t="inlineStr">
        <is>
          <t>Điện nước Nhật (Shop) HCM</t>
        </is>
      </c>
      <c r="D258" s="3" t="inlineStr">
        <is>
          <t>HCM</t>
        </is>
      </c>
      <c r="E258" s="3" t="inlineStr">
        <is>
          <t>BẢO TRÂM</t>
        </is>
      </c>
      <c r="F258" s="3" t="inlineStr">
        <is>
          <t>Shopee</t>
        </is>
      </c>
      <c r="G258" s="3" t="inlineStr">
        <is>
          <t>KFJ-545</t>
        </is>
      </c>
      <c r="H258" s="4" t="inlineStr">
        <is>
          <t>Vít bê tông không dùng tắc kê KFJ-545</t>
        </is>
      </c>
      <c r="I258" s="3" t="inlineStr">
        <is>
          <t>Hộp</t>
        </is>
      </c>
      <c r="J258" s="5" t="n">
        <v>81000</v>
      </c>
      <c r="K258" s="5" t="n">
        <v>101000</v>
      </c>
      <c r="L258" s="6" t="n">
        <v>130000</v>
      </c>
      <c r="M258" s="5" t="n"/>
      <c r="N258" s="5">
        <f>IF(AND(ISNUMBER(M258),ISNUMBER(L258)),M258-L258,"")</f>
        <v/>
      </c>
      <c r="O258" s="7">
        <f>IF(AND(ISNUMBER(M258),ISNUMBER(L258),L258&gt;0),(M258-L258)/L258,"")</f>
        <v/>
      </c>
      <c r="P258" s="3">
        <f>IF(O258="","",IF(O258&lt;-0.02,"🔴 Bán phá giá sàn",IF(O258&gt;0.05,"🔵 Bán cao hơn","🟢 Đúng giá sàn TMĐT")))</f>
        <v/>
      </c>
      <c r="Q258" s="3" t="n"/>
      <c r="R258" s="4" t="n"/>
      <c r="S258" s="4" t="n"/>
    </row>
    <row r="259">
      <c r="A259" s="3" t="n">
        <v>258</v>
      </c>
      <c r="B259" s="3" t="inlineStr">
        <is>
          <t>KH002</t>
        </is>
      </c>
      <c r="C259" s="4" t="inlineStr">
        <is>
          <t>Nguyễn Hoàng Phú</t>
        </is>
      </c>
      <c r="D259" s="3" t="inlineStr">
        <is>
          <t>HCM</t>
        </is>
      </c>
      <c r="E259" s="3" t="inlineStr">
        <is>
          <t>BẢO TRÂM</t>
        </is>
      </c>
      <c r="F259" s="3" t="inlineStr">
        <is>
          <t>Shopee</t>
        </is>
      </c>
      <c r="G259" s="3" t="inlineStr">
        <is>
          <t>T9100E</t>
        </is>
      </c>
      <c r="H259" s="4" t="inlineStr">
        <is>
          <t>Bộ đầu hoa thị T9100E</t>
        </is>
      </c>
      <c r="I259" s="3" t="inlineStr">
        <is>
          <t>Bộ</t>
        </is>
      </c>
      <c r="J259" s="5" t="n">
        <v>86000</v>
      </c>
      <c r="K259" s="5" t="n">
        <v>108000</v>
      </c>
      <c r="L259" s="6" t="n">
        <v>142000</v>
      </c>
      <c r="M259" s="5" t="n"/>
      <c r="N259" s="5">
        <f>IF(AND(ISNUMBER(M259),ISNUMBER(L259)),M259-L259,"")</f>
        <v/>
      </c>
      <c r="O259" s="7">
        <f>IF(AND(ISNUMBER(M259),ISNUMBER(L259),L259&gt;0),(M259-L259)/L259,"")</f>
        <v/>
      </c>
      <c r="P259" s="3">
        <f>IF(O259="","",IF(O259&lt;-0.02,"🔴 Bán phá giá sàn",IF(O259&gt;0.05,"🔵 Bán cao hơn","🟢 Đúng giá sàn TMĐT")))</f>
        <v/>
      </c>
      <c r="Q259" s="3" t="n"/>
      <c r="R259" s="4" t="n"/>
      <c r="S259" s="4" t="n"/>
    </row>
    <row r="260">
      <c r="A260" s="3" t="n">
        <v>259</v>
      </c>
      <c r="B260" s="3" t="inlineStr">
        <is>
          <t>KH002</t>
        </is>
      </c>
      <c r="C260" s="4" t="inlineStr">
        <is>
          <t>Nguyễn Hoàng Phú</t>
        </is>
      </c>
      <c r="D260" s="3" t="inlineStr">
        <is>
          <t>HCM</t>
        </is>
      </c>
      <c r="E260" s="3" t="inlineStr">
        <is>
          <t>BẢO TRÂM</t>
        </is>
      </c>
      <c r="F260" s="3" t="inlineStr">
        <is>
          <t>Shopee</t>
        </is>
      </c>
      <c r="G260" s="3" t="inlineStr">
        <is>
          <t>L8100E</t>
        </is>
      </c>
      <c r="H260" s="4" t="inlineStr">
        <is>
          <t>Bộ đầu lục giác L8100E</t>
        </is>
      </c>
      <c r="I260" s="3" t="inlineStr">
        <is>
          <t>Bộ</t>
        </is>
      </c>
      <c r="J260" s="5" t="n">
        <v>86000</v>
      </c>
      <c r="K260" s="5" t="n">
        <v>108000</v>
      </c>
      <c r="L260" s="6" t="n">
        <v>142000</v>
      </c>
      <c r="M260" s="5" t="n"/>
      <c r="N260" s="5">
        <f>IF(AND(ISNUMBER(M260),ISNUMBER(L260)),M260-L260,"")</f>
        <v/>
      </c>
      <c r="O260" s="7">
        <f>IF(AND(ISNUMBER(M260),ISNUMBER(L260),L260&gt;0),(M260-L260)/L260,"")</f>
        <v/>
      </c>
      <c r="P260" s="3">
        <f>IF(O260="","",IF(O260&lt;-0.02,"🔴 Bán phá giá sàn",IF(O260&gt;0.05,"🔵 Bán cao hơn","🟢 Đúng giá sàn TMĐT")))</f>
        <v/>
      </c>
      <c r="Q260" s="3" t="n"/>
      <c r="R260" s="4" t="n"/>
      <c r="S260" s="4" t="n"/>
    </row>
    <row r="261">
      <c r="A261" s="3" t="n">
        <v>260</v>
      </c>
      <c r="B261" s="3" t="inlineStr">
        <is>
          <t>KH002</t>
        </is>
      </c>
      <c r="C261" s="4" t="inlineStr">
        <is>
          <t>Nguyễn Hoàng Phú</t>
        </is>
      </c>
      <c r="D261" s="3" t="inlineStr">
        <is>
          <t>HCM</t>
        </is>
      </c>
      <c r="E261" s="3" t="inlineStr">
        <is>
          <t>BẢO TRÂM</t>
        </is>
      </c>
      <c r="F261" s="3" t="inlineStr">
        <is>
          <t>Shopee</t>
        </is>
      </c>
      <c r="G261" s="3" t="inlineStr">
        <is>
          <t>KBYT6</t>
        </is>
      </c>
      <c r="H261" s="4" t="inlineStr">
        <is>
          <t>Bộ lấy ốc gãy KingBlue KBYT6</t>
        </is>
      </c>
      <c r="I261" s="3" t="inlineStr">
        <is>
          <t>Bộ</t>
        </is>
      </c>
      <c r="J261" s="5" t="n">
        <v>68000</v>
      </c>
      <c r="K261" s="5" t="n">
        <v>80000</v>
      </c>
      <c r="L261" s="6" t="n">
        <v>99000</v>
      </c>
      <c r="M261" s="5" t="n"/>
      <c r="N261" s="5">
        <f>IF(AND(ISNUMBER(M261),ISNUMBER(L261)),M261-L261,"")</f>
        <v/>
      </c>
      <c r="O261" s="7">
        <f>IF(AND(ISNUMBER(M261),ISNUMBER(L261),L261&gt;0),(M261-L261)/L261,"")</f>
        <v/>
      </c>
      <c r="P261" s="3">
        <f>IF(O261="","",IF(O261&lt;-0.02,"🔴 Bán phá giá sàn",IF(O261&gt;0.05,"🔵 Bán cao hơn","🟢 Đúng giá sàn TMĐT")))</f>
        <v/>
      </c>
      <c r="Q261" s="3" t="n"/>
      <c r="R261" s="4" t="n"/>
      <c r="S261" s="4" t="n"/>
    </row>
    <row r="262">
      <c r="A262" s="3" t="n">
        <v>261</v>
      </c>
      <c r="B262" s="3" t="inlineStr">
        <is>
          <t>KH002</t>
        </is>
      </c>
      <c r="C262" s="4" t="inlineStr">
        <is>
          <t>Nguyễn Hoàng Phú</t>
        </is>
      </c>
      <c r="D262" s="3" t="inlineStr">
        <is>
          <t>HCM</t>
        </is>
      </c>
      <c r="E262" s="3" t="inlineStr">
        <is>
          <t>BẢO TRÂM</t>
        </is>
      </c>
      <c r="F262" s="3" t="inlineStr">
        <is>
          <t>Shopee</t>
        </is>
      </c>
      <c r="G262" s="3" t="inlineStr">
        <is>
          <t>KL-008</t>
        </is>
      </c>
      <c r="H262" s="4" t="inlineStr">
        <is>
          <t>Bộ lục giác gập KL-008</t>
        </is>
      </c>
      <c r="I262" s="3" t="inlineStr">
        <is>
          <t>Cái</t>
        </is>
      </c>
      <c r="J262" s="5" t="n">
        <v>269000</v>
      </c>
      <c r="K262" s="5" t="n">
        <v>317000</v>
      </c>
      <c r="L262" s="6" t="n">
        <v>390000</v>
      </c>
      <c r="M262" s="5" t="n"/>
      <c r="N262" s="5">
        <f>IF(AND(ISNUMBER(M262),ISNUMBER(L262)),M262-L262,"")</f>
        <v/>
      </c>
      <c r="O262" s="7">
        <f>IF(AND(ISNUMBER(M262),ISNUMBER(L262),L262&gt;0),(M262-L262)/L262,"")</f>
        <v/>
      </c>
      <c r="P262" s="3">
        <f>IF(O262="","",IF(O262&lt;-0.02,"🔴 Bán phá giá sàn",IF(O262&gt;0.05,"🔵 Bán cao hơn","🟢 Đúng giá sàn TMĐT")))</f>
        <v/>
      </c>
      <c r="Q262" s="3" t="n"/>
      <c r="R262" s="4" t="n"/>
      <c r="S262" s="4" t="n"/>
    </row>
    <row r="263">
      <c r="A263" s="3" t="n">
        <v>262</v>
      </c>
      <c r="B263" s="3" t="inlineStr">
        <is>
          <t>KH002</t>
        </is>
      </c>
      <c r="C263" s="4" t="inlineStr">
        <is>
          <t>Nguyễn Hoàng Phú</t>
        </is>
      </c>
      <c r="D263" s="3" t="inlineStr">
        <is>
          <t>HCM</t>
        </is>
      </c>
      <c r="E263" s="3" t="inlineStr">
        <is>
          <t>BẢO TRÂM</t>
        </is>
      </c>
      <c r="F263" s="3" t="inlineStr">
        <is>
          <t>Shopee</t>
        </is>
      </c>
      <c r="G263" s="3" t="inlineStr">
        <is>
          <t>KL018</t>
        </is>
      </c>
      <c r="H263" s="4" t="inlineStr">
        <is>
          <t>Bộ lục giác KL018</t>
        </is>
      </c>
      <c r="I263" s="3" t="inlineStr">
        <is>
          <t>Cái</t>
        </is>
      </c>
      <c r="J263" s="5" t="n">
        <v>269000</v>
      </c>
      <c r="K263" s="5" t="n">
        <v>317000</v>
      </c>
      <c r="L263" s="6" t="n">
        <v>390000</v>
      </c>
      <c r="M263" s="5" t="n"/>
      <c r="N263" s="5">
        <f>IF(AND(ISNUMBER(M263),ISNUMBER(L263)),M263-L263,"")</f>
        <v/>
      </c>
      <c r="O263" s="7">
        <f>IF(AND(ISNUMBER(M263),ISNUMBER(L263),L263&gt;0),(M263-L263)/L263,"")</f>
        <v/>
      </c>
      <c r="P263" s="3">
        <f>IF(O263="","",IF(O263&lt;-0.02,"🔴 Bán phá giá sàn",IF(O263&gt;0.05,"🔵 Bán cao hơn","🟢 Đúng giá sàn TMĐT")))</f>
        <v/>
      </c>
      <c r="Q263" s="3" t="n"/>
      <c r="R263" s="4" t="n"/>
      <c r="S263" s="4" t="n"/>
    </row>
    <row r="264">
      <c r="A264" s="3" t="n">
        <v>263</v>
      </c>
      <c r="B264" s="3" t="inlineStr">
        <is>
          <t>KH002</t>
        </is>
      </c>
      <c r="C264" s="4" t="inlineStr">
        <is>
          <t>Nguyễn Hoàng Phú</t>
        </is>
      </c>
      <c r="D264" s="3" t="inlineStr">
        <is>
          <t>HCM</t>
        </is>
      </c>
      <c r="E264" s="3" t="inlineStr">
        <is>
          <t>BẢO TRÂM</t>
        </is>
      </c>
      <c r="F264" s="3" t="inlineStr">
        <is>
          <t>Shopee</t>
        </is>
      </c>
      <c r="G264" s="3" t="inlineStr">
        <is>
          <t>KL5-09</t>
        </is>
      </c>
      <c r="H264" s="4" t="inlineStr">
        <is>
          <t>Bộ lục giác KL5-09 ( đầu bi)</t>
        </is>
      </c>
      <c r="I264" s="3" t="inlineStr">
        <is>
          <t>Cái</t>
        </is>
      </c>
      <c r="J264" s="5" t="n">
        <v>269000</v>
      </c>
      <c r="K264" s="5" t="n">
        <v>317000</v>
      </c>
      <c r="L264" s="6" t="n">
        <v>390000</v>
      </c>
      <c r="M264" s="5" t="n"/>
      <c r="N264" s="5">
        <f>IF(AND(ISNUMBER(M264),ISNUMBER(L264)),M264-L264,"")</f>
        <v/>
      </c>
      <c r="O264" s="7">
        <f>IF(AND(ISNUMBER(M264),ISNUMBER(L264),L264&gt;0),(M264-L264)/L264,"")</f>
        <v/>
      </c>
      <c r="P264" s="3">
        <f>IF(O264="","",IF(O264&lt;-0.02,"🔴 Bán phá giá sàn",IF(O264&gt;0.05,"🔵 Bán cao hơn","🟢 Đúng giá sàn TMĐT")))</f>
        <v/>
      </c>
      <c r="Q264" s="3" t="n"/>
      <c r="R264" s="4" t="n"/>
      <c r="S264" s="4" t="n"/>
    </row>
    <row r="265">
      <c r="A265" s="3" t="n">
        <v>264</v>
      </c>
      <c r="B265" s="3" t="inlineStr">
        <is>
          <t>KH002</t>
        </is>
      </c>
      <c r="C265" s="4" t="inlineStr">
        <is>
          <t>Nguyễn Hoàng Phú</t>
        </is>
      </c>
      <c r="D265" s="3" t="inlineStr">
        <is>
          <t>HCM</t>
        </is>
      </c>
      <c r="E265" s="3" t="inlineStr">
        <is>
          <t>BẢO TRÂM</t>
        </is>
      </c>
      <c r="F265" s="3" t="inlineStr">
        <is>
          <t>Shopee</t>
        </is>
      </c>
      <c r="G265" s="3" t="inlineStr">
        <is>
          <t>KB20QE1</t>
        </is>
      </c>
      <c r="H265" s="4" t="inlineStr">
        <is>
          <t>Bộ Máy Khoan 3 Chức Năng 20V KB20QE1</t>
        </is>
      </c>
      <c r="I265" s="3" t="inlineStr">
        <is>
          <t>Bộ</t>
        </is>
      </c>
      <c r="J265" s="5" t="n">
        <v>3060000</v>
      </c>
      <c r="K265" s="5" t="n">
        <v>3360000</v>
      </c>
      <c r="L265" s="6" t="n">
        <v>3820000</v>
      </c>
      <c r="M265" s="5" t="n"/>
      <c r="N265" s="5">
        <f>IF(AND(ISNUMBER(M265),ISNUMBER(L265)),M265-L265,"")</f>
        <v/>
      </c>
      <c r="O265" s="7">
        <f>IF(AND(ISNUMBER(M265),ISNUMBER(L265),L265&gt;0),(M265-L265)/L265,"")</f>
        <v/>
      </c>
      <c r="P265" s="3">
        <f>IF(O265="","",IF(O265&lt;-0.02,"🔴 Bán phá giá sàn",IF(O265&gt;0.05,"🔵 Bán cao hơn","🟢 Đúng giá sàn TMĐT")))</f>
        <v/>
      </c>
      <c r="Q265" s="3" t="n"/>
      <c r="R265" s="4" t="n"/>
      <c r="S265" s="4" t="n"/>
    </row>
    <row r="266">
      <c r="A266" s="3" t="n">
        <v>265</v>
      </c>
      <c r="B266" s="3" t="inlineStr">
        <is>
          <t>KH002</t>
        </is>
      </c>
      <c r="C266" s="4" t="inlineStr">
        <is>
          <t>Nguyễn Hoàng Phú</t>
        </is>
      </c>
      <c r="D266" s="3" t="inlineStr">
        <is>
          <t>HCM</t>
        </is>
      </c>
      <c r="E266" s="3" t="inlineStr">
        <is>
          <t>BẢO TRÂM</t>
        </is>
      </c>
      <c r="F266" s="3" t="inlineStr">
        <is>
          <t>Shopee</t>
        </is>
      </c>
      <c r="G266" s="3" t="inlineStr">
        <is>
          <t>KBY2-B10</t>
        </is>
      </c>
      <c r="H266" s="4" t="inlineStr">
        <is>
          <t>Bộ mũi khoan inox Kingblue KBY2-B10</t>
        </is>
      </c>
      <c r="I266" s="3" t="inlineStr">
        <is>
          <t>Bộ</t>
        </is>
      </c>
      <c r="J266" s="5" t="n">
        <v>329000</v>
      </c>
      <c r="K266" s="5" t="n">
        <v>408000</v>
      </c>
      <c r="L266" s="6" t="n">
        <v>526000</v>
      </c>
      <c r="M266" s="5" t="n"/>
      <c r="N266" s="5">
        <f>IF(AND(ISNUMBER(M266),ISNUMBER(L266)),M266-L266,"")</f>
        <v/>
      </c>
      <c r="O266" s="7">
        <f>IF(AND(ISNUMBER(M266),ISNUMBER(L266),L266&gt;0),(M266-L266)/L266,"")</f>
        <v/>
      </c>
      <c r="P266" s="3">
        <f>IF(O266="","",IF(O266&lt;-0.02,"🔴 Bán phá giá sàn",IF(O266&gt;0.05,"🔵 Bán cao hơn","🟢 Đúng giá sàn TMĐT")))</f>
        <v/>
      </c>
      <c r="Q266" s="3" t="n"/>
      <c r="R266" s="4" t="n"/>
      <c r="S266" s="4" t="n"/>
    </row>
    <row r="267">
      <c r="A267" s="3" t="n">
        <v>266</v>
      </c>
      <c r="B267" s="3" t="inlineStr">
        <is>
          <t>KH002</t>
        </is>
      </c>
      <c r="C267" s="4" t="inlineStr">
        <is>
          <t>Nguyễn Hoàng Phú</t>
        </is>
      </c>
      <c r="D267" s="3" t="inlineStr">
        <is>
          <t>HCM</t>
        </is>
      </c>
      <c r="E267" s="3" t="inlineStr">
        <is>
          <t>BẢO TRÂM</t>
        </is>
      </c>
      <c r="F267" s="3" t="inlineStr">
        <is>
          <t>Shopee</t>
        </is>
      </c>
      <c r="G267" s="3" t="inlineStr">
        <is>
          <t>KBY1-B13</t>
        </is>
      </c>
      <c r="H267" s="4" t="inlineStr">
        <is>
          <t>Bộ mũi khoan thép Kingblue KBY1-B13</t>
        </is>
      </c>
      <c r="I267" s="3" t="inlineStr">
        <is>
          <t>Bộ</t>
        </is>
      </c>
      <c r="J267" s="5" t="n">
        <v>199000</v>
      </c>
      <c r="K267" s="5" t="n">
        <v>247000</v>
      </c>
      <c r="L267" s="6" t="n">
        <v>318000</v>
      </c>
      <c r="M267" s="5" t="n"/>
      <c r="N267" s="5">
        <f>IF(AND(ISNUMBER(M267),ISNUMBER(L267)),M267-L267,"")</f>
        <v/>
      </c>
      <c r="O267" s="7">
        <f>IF(AND(ISNUMBER(M267),ISNUMBER(L267),L267&gt;0),(M267-L267)/L267,"")</f>
        <v/>
      </c>
      <c r="P267" s="3">
        <f>IF(O267="","",IF(O267&lt;-0.02,"🔴 Bán phá giá sàn",IF(O267&gt;0.05,"🔵 Bán cao hơn","🟢 Đúng giá sàn TMĐT")))</f>
        <v/>
      </c>
      <c r="Q267" s="3" t="n"/>
      <c r="R267" s="4" t="n"/>
      <c r="S267" s="4" t="n"/>
    </row>
    <row r="268">
      <c r="A268" s="3" t="n">
        <v>267</v>
      </c>
      <c r="B268" s="3" t="inlineStr">
        <is>
          <t>KH002</t>
        </is>
      </c>
      <c r="C268" s="4" t="inlineStr">
        <is>
          <t>Nguyễn Hoàng Phú</t>
        </is>
      </c>
      <c r="D268" s="3" t="inlineStr">
        <is>
          <t>HCM</t>
        </is>
      </c>
      <c r="E268" s="3" t="inlineStr">
        <is>
          <t>BẢO TRÂM</t>
        </is>
      </c>
      <c r="F268" s="3" t="inlineStr">
        <is>
          <t>Shopee</t>
        </is>
      </c>
      <c r="G268" s="3" t="inlineStr">
        <is>
          <t>KIC140</t>
        </is>
      </c>
      <c r="H268" s="4" t="inlineStr">
        <is>
          <t>Bút thử điện KIC140</t>
        </is>
      </c>
      <c r="I268" s="3" t="inlineStr">
        <is>
          <t>Cái</t>
        </is>
      </c>
      <c r="J268" s="5" t="n">
        <v>14000</v>
      </c>
      <c r="K268" s="5" t="n">
        <v>16000</v>
      </c>
      <c r="L268" s="6" t="n">
        <v>20000</v>
      </c>
      <c r="M268" s="5" t="n"/>
      <c r="N268" s="5">
        <f>IF(AND(ISNUMBER(M268),ISNUMBER(L268)),M268-L268,"")</f>
        <v/>
      </c>
      <c r="O268" s="7">
        <f>IF(AND(ISNUMBER(M268),ISNUMBER(L268),L268&gt;0),(M268-L268)/L268,"")</f>
        <v/>
      </c>
      <c r="P268" s="3">
        <f>IF(O268="","",IF(O268&lt;-0.02,"🔴 Bán phá giá sàn",IF(O268&gt;0.05,"🔵 Bán cao hơn","🟢 Đúng giá sàn TMĐT")))</f>
        <v/>
      </c>
      <c r="Q268" s="3" t="n"/>
      <c r="R268" s="4" t="n"/>
      <c r="S268" s="4" t="n"/>
    </row>
    <row r="269">
      <c r="A269" s="3" t="n">
        <v>268</v>
      </c>
      <c r="B269" s="3" t="inlineStr">
        <is>
          <t>KH002</t>
        </is>
      </c>
      <c r="C269" s="4" t="inlineStr">
        <is>
          <t>Nguyễn Hoàng Phú</t>
        </is>
      </c>
      <c r="D269" s="3" t="inlineStr">
        <is>
          <t>HCM</t>
        </is>
      </c>
      <c r="E269" s="3" t="inlineStr">
        <is>
          <t>BẢO TRÂM</t>
        </is>
      </c>
      <c r="F269" s="3" t="inlineStr">
        <is>
          <t>Shopee</t>
        </is>
      </c>
      <c r="G269" s="3" t="inlineStr">
        <is>
          <t>KB-ST18</t>
        </is>
      </c>
      <c r="H269" s="4" t="inlineStr">
        <is>
          <t>Công cụ đóng đinh bán tự động KB-ST18</t>
        </is>
      </c>
      <c r="I269" s="3" t="inlineStr">
        <is>
          <t>Cái</t>
        </is>
      </c>
      <c r="J269" s="5" t="n">
        <v>242000</v>
      </c>
      <c r="K269" s="5" t="n">
        <v>286000</v>
      </c>
      <c r="L269" s="6" t="n">
        <v>351000</v>
      </c>
      <c r="M269" s="5" t="n"/>
      <c r="N269" s="5">
        <f>IF(AND(ISNUMBER(M269),ISNUMBER(L269)),M269-L269,"")</f>
        <v/>
      </c>
      <c r="O269" s="7">
        <f>IF(AND(ISNUMBER(M269),ISNUMBER(L269),L269&gt;0),(M269-L269)/L269,"")</f>
        <v/>
      </c>
      <c r="P269" s="3">
        <f>IF(O269="","",IF(O269&lt;-0.02,"🔴 Bán phá giá sàn",IF(O269&gt;0.05,"🔵 Bán cao hơn","🟢 Đúng giá sàn TMĐT")))</f>
        <v/>
      </c>
      <c r="Q269" s="3" t="n"/>
      <c r="R269" s="4" t="n"/>
      <c r="S269" s="4" t="n"/>
    </row>
    <row r="270">
      <c r="A270" s="3" t="n">
        <v>269</v>
      </c>
      <c r="B270" s="3" t="inlineStr">
        <is>
          <t>KH002</t>
        </is>
      </c>
      <c r="C270" s="4" t="inlineStr">
        <is>
          <t>Nguyễn Hoàng Phú</t>
        </is>
      </c>
      <c r="D270" s="3" t="inlineStr">
        <is>
          <t>HCM</t>
        </is>
      </c>
      <c r="E270" s="3" t="inlineStr">
        <is>
          <t>BẢO TRÂM</t>
        </is>
      </c>
      <c r="F270" s="3" t="inlineStr">
        <is>
          <t>Shopee</t>
        </is>
      </c>
      <c r="G270" s="3" t="inlineStr">
        <is>
          <t>KH2-08</t>
        </is>
      </c>
      <c r="H270" s="4" t="inlineStr">
        <is>
          <t>Cờ lê vòng miệng thép KH2-08</t>
        </is>
      </c>
      <c r="I270" s="3" t="inlineStr">
        <is>
          <t>Cái</t>
        </is>
      </c>
      <c r="J270" s="5" t="n">
        <v>26000</v>
      </c>
      <c r="K270" s="5" t="n">
        <v>31000</v>
      </c>
      <c r="L270" s="6" t="n">
        <v>38000</v>
      </c>
      <c r="M270" s="5" t="n"/>
      <c r="N270" s="5">
        <f>IF(AND(ISNUMBER(M270),ISNUMBER(L270)),M270-L270,"")</f>
        <v/>
      </c>
      <c r="O270" s="7">
        <f>IF(AND(ISNUMBER(M270),ISNUMBER(L270),L270&gt;0),(M270-L270)/L270,"")</f>
        <v/>
      </c>
      <c r="P270" s="3">
        <f>IF(O270="","",IF(O270&lt;-0.02,"🔴 Bán phá giá sàn",IF(O270&gt;0.05,"🔵 Bán cao hơn","🟢 Đúng giá sàn TMĐT")))</f>
        <v/>
      </c>
      <c r="Q270" s="3" t="n"/>
      <c r="R270" s="4" t="n"/>
      <c r="S270" s="4" t="n"/>
    </row>
    <row r="271">
      <c r="A271" s="3" t="n">
        <v>270</v>
      </c>
      <c r="B271" s="3" t="inlineStr">
        <is>
          <t>KH002</t>
        </is>
      </c>
      <c r="C271" s="4" t="inlineStr">
        <is>
          <t>Nguyễn Hoàng Phú</t>
        </is>
      </c>
      <c r="D271" s="3" t="inlineStr">
        <is>
          <t>HCM</t>
        </is>
      </c>
      <c r="E271" s="3" t="inlineStr">
        <is>
          <t>BẢO TRÂM</t>
        </is>
      </c>
      <c r="F271" s="3" t="inlineStr">
        <is>
          <t>Shopee</t>
        </is>
      </c>
      <c r="G271" s="3" t="inlineStr">
        <is>
          <t>KH2-10</t>
        </is>
      </c>
      <c r="H271" s="4" t="inlineStr">
        <is>
          <t>Cờ lê vòng miệng thép KH2-10</t>
        </is>
      </c>
      <c r="I271" s="3" t="inlineStr">
        <is>
          <t>Cái</t>
        </is>
      </c>
      <c r="J271" s="5" t="n">
        <v>30000</v>
      </c>
      <c r="K271" s="5" t="n">
        <v>36000</v>
      </c>
      <c r="L271" s="6" t="n">
        <v>44000</v>
      </c>
      <c r="M271" s="5" t="n"/>
      <c r="N271" s="5">
        <f>IF(AND(ISNUMBER(M271),ISNUMBER(L271)),M271-L271,"")</f>
        <v/>
      </c>
      <c r="O271" s="7">
        <f>IF(AND(ISNUMBER(M271),ISNUMBER(L271),L271&gt;0),(M271-L271)/L271,"")</f>
        <v/>
      </c>
      <c r="P271" s="3">
        <f>IF(O271="","",IF(O271&lt;-0.02,"🔴 Bán phá giá sàn",IF(O271&gt;0.05,"🔵 Bán cao hơn","🟢 Đúng giá sàn TMĐT")))</f>
        <v/>
      </c>
      <c r="Q271" s="3" t="n"/>
      <c r="R271" s="4" t="n"/>
      <c r="S271" s="4" t="n"/>
    </row>
    <row r="272">
      <c r="A272" s="3" t="n">
        <v>271</v>
      </c>
      <c r="B272" s="3" t="inlineStr">
        <is>
          <t>KH002</t>
        </is>
      </c>
      <c r="C272" s="4" t="inlineStr">
        <is>
          <t>Nguyễn Hoàng Phú</t>
        </is>
      </c>
      <c r="D272" s="3" t="inlineStr">
        <is>
          <t>HCM</t>
        </is>
      </c>
      <c r="E272" s="3" t="inlineStr">
        <is>
          <t>BẢO TRÂM</t>
        </is>
      </c>
      <c r="F272" s="3" t="inlineStr">
        <is>
          <t>Shopee</t>
        </is>
      </c>
      <c r="G272" s="3" t="inlineStr">
        <is>
          <t>KH2-12</t>
        </is>
      </c>
      <c r="H272" s="4" t="inlineStr">
        <is>
          <t>Cờ lê vòng miệng thép KH2-12</t>
        </is>
      </c>
      <c r="I272" s="3" t="inlineStr">
        <is>
          <t>Cái</t>
        </is>
      </c>
      <c r="J272" s="5" t="n">
        <v>34000</v>
      </c>
      <c r="K272" s="5" t="n">
        <v>40000</v>
      </c>
      <c r="L272" s="6" t="n">
        <v>49000</v>
      </c>
      <c r="M272" s="5" t="n"/>
      <c r="N272" s="5">
        <f>IF(AND(ISNUMBER(M272),ISNUMBER(L272)),M272-L272,"")</f>
        <v/>
      </c>
      <c r="O272" s="7">
        <f>IF(AND(ISNUMBER(M272),ISNUMBER(L272),L272&gt;0),(M272-L272)/L272,"")</f>
        <v/>
      </c>
      <c r="P272" s="3">
        <f>IF(O272="","",IF(O272&lt;-0.02,"🔴 Bán phá giá sàn",IF(O272&gt;0.05,"🔵 Bán cao hơn","🟢 Đúng giá sàn TMĐT")))</f>
        <v/>
      </c>
      <c r="Q272" s="3" t="n"/>
      <c r="R272" s="4" t="n"/>
      <c r="S272" s="4" t="n"/>
    </row>
    <row r="273">
      <c r="A273" s="3" t="n">
        <v>272</v>
      </c>
      <c r="B273" s="3" t="inlineStr">
        <is>
          <t>KH002</t>
        </is>
      </c>
      <c r="C273" s="4" t="inlineStr">
        <is>
          <t>Nguyễn Hoàng Phú</t>
        </is>
      </c>
      <c r="D273" s="3" t="inlineStr">
        <is>
          <t>HCM</t>
        </is>
      </c>
      <c r="E273" s="3" t="inlineStr">
        <is>
          <t>BẢO TRÂM</t>
        </is>
      </c>
      <c r="F273" s="3" t="inlineStr">
        <is>
          <t>Shopee</t>
        </is>
      </c>
      <c r="G273" s="3" t="inlineStr">
        <is>
          <t>KH2-13</t>
        </is>
      </c>
      <c r="H273" s="4" t="inlineStr">
        <is>
          <t>Cờ lê vòng miệng thép KH2-13</t>
        </is>
      </c>
      <c r="I273" s="3" t="inlineStr">
        <is>
          <t>Cái</t>
        </is>
      </c>
      <c r="J273" s="5" t="n">
        <v>35000</v>
      </c>
      <c r="K273" s="5" t="n">
        <v>41000</v>
      </c>
      <c r="L273" s="6" t="n">
        <v>51000</v>
      </c>
      <c r="M273" s="5" t="n"/>
      <c r="N273" s="5">
        <f>IF(AND(ISNUMBER(M273),ISNUMBER(L273)),M273-L273,"")</f>
        <v/>
      </c>
      <c r="O273" s="7">
        <f>IF(AND(ISNUMBER(M273),ISNUMBER(L273),L273&gt;0),(M273-L273)/L273,"")</f>
        <v/>
      </c>
      <c r="P273" s="3">
        <f>IF(O273="","",IF(O273&lt;-0.02,"🔴 Bán phá giá sàn",IF(O273&gt;0.05,"🔵 Bán cao hơn","🟢 Đúng giá sàn TMĐT")))</f>
        <v/>
      </c>
      <c r="Q273" s="3" t="n"/>
      <c r="R273" s="4" t="n"/>
      <c r="S273" s="4" t="n"/>
    </row>
    <row r="274">
      <c r="A274" s="3" t="n">
        <v>273</v>
      </c>
      <c r="B274" s="3" t="inlineStr">
        <is>
          <t>KH002</t>
        </is>
      </c>
      <c r="C274" s="4" t="inlineStr">
        <is>
          <t>Nguyễn Hoàng Phú</t>
        </is>
      </c>
      <c r="D274" s="3" t="inlineStr">
        <is>
          <t>HCM</t>
        </is>
      </c>
      <c r="E274" s="3" t="inlineStr">
        <is>
          <t>BẢO TRÂM</t>
        </is>
      </c>
      <c r="F274" s="3" t="inlineStr">
        <is>
          <t>Shopee</t>
        </is>
      </c>
      <c r="G274" s="3" t="inlineStr">
        <is>
          <t>KH2-14</t>
        </is>
      </c>
      <c r="H274" s="4" t="inlineStr">
        <is>
          <t>Cờ lê vòng miệng thép KH2-14</t>
        </is>
      </c>
      <c r="I274" s="3" t="inlineStr">
        <is>
          <t>Cái</t>
        </is>
      </c>
      <c r="J274" s="5" t="n">
        <v>42000</v>
      </c>
      <c r="K274" s="5" t="n">
        <v>50000</v>
      </c>
      <c r="L274" s="6" t="n">
        <v>61000</v>
      </c>
      <c r="M274" s="5" t="n"/>
      <c r="N274" s="5">
        <f>IF(AND(ISNUMBER(M274),ISNUMBER(L274)),M274-L274,"")</f>
        <v/>
      </c>
      <c r="O274" s="7">
        <f>IF(AND(ISNUMBER(M274),ISNUMBER(L274),L274&gt;0),(M274-L274)/L274,"")</f>
        <v/>
      </c>
      <c r="P274" s="3">
        <f>IF(O274="","",IF(O274&lt;-0.02,"🔴 Bán phá giá sàn",IF(O274&gt;0.05,"🔵 Bán cao hơn","🟢 Đúng giá sàn TMĐT")))</f>
        <v/>
      </c>
      <c r="Q274" s="3" t="n"/>
      <c r="R274" s="4" t="n"/>
      <c r="S274" s="4" t="n"/>
    </row>
    <row r="275">
      <c r="A275" s="3" t="n">
        <v>274</v>
      </c>
      <c r="B275" s="3" t="inlineStr">
        <is>
          <t>KH002</t>
        </is>
      </c>
      <c r="C275" s="4" t="inlineStr">
        <is>
          <t>Nguyễn Hoàng Phú</t>
        </is>
      </c>
      <c r="D275" s="3" t="inlineStr">
        <is>
          <t>HCM</t>
        </is>
      </c>
      <c r="E275" s="3" t="inlineStr">
        <is>
          <t>BẢO TRÂM</t>
        </is>
      </c>
      <c r="F275" s="3" t="inlineStr">
        <is>
          <t>Shopee</t>
        </is>
      </c>
      <c r="G275" s="3" t="inlineStr">
        <is>
          <t>KH2-17</t>
        </is>
      </c>
      <c r="H275" s="4" t="inlineStr">
        <is>
          <t>Cờ lê vòng miệng thép KH2-17</t>
        </is>
      </c>
      <c r="I275" s="3" t="inlineStr">
        <is>
          <t>Cái</t>
        </is>
      </c>
      <c r="J275" s="5" t="n">
        <v>48000</v>
      </c>
      <c r="K275" s="5" t="n">
        <v>57000</v>
      </c>
      <c r="L275" s="6" t="n">
        <v>70000</v>
      </c>
      <c r="M275" s="5" t="n"/>
      <c r="N275" s="5">
        <f>IF(AND(ISNUMBER(M275),ISNUMBER(L275)),M275-L275,"")</f>
        <v/>
      </c>
      <c r="O275" s="7">
        <f>IF(AND(ISNUMBER(M275),ISNUMBER(L275),L275&gt;0),(M275-L275)/L275,"")</f>
        <v/>
      </c>
      <c r="P275" s="3">
        <f>IF(O275="","",IF(O275&lt;-0.02,"🔴 Bán phá giá sàn",IF(O275&gt;0.05,"🔵 Bán cao hơn","🟢 Đúng giá sàn TMĐT")))</f>
        <v/>
      </c>
      <c r="Q275" s="3" t="n"/>
      <c r="R275" s="4" t="n"/>
      <c r="S275" s="4" t="n"/>
    </row>
    <row r="276">
      <c r="A276" s="3" t="n">
        <v>275</v>
      </c>
      <c r="B276" s="3" t="inlineStr">
        <is>
          <t>KH002</t>
        </is>
      </c>
      <c r="C276" s="4" t="inlineStr">
        <is>
          <t>Nguyễn Hoàng Phú</t>
        </is>
      </c>
      <c r="D276" s="3" t="inlineStr">
        <is>
          <t>HCM</t>
        </is>
      </c>
      <c r="E276" s="3" t="inlineStr">
        <is>
          <t>BẢO TRÂM</t>
        </is>
      </c>
      <c r="F276" s="3" t="inlineStr">
        <is>
          <t>Shopee</t>
        </is>
      </c>
      <c r="G276" s="3" t="inlineStr">
        <is>
          <t>ES250</t>
        </is>
      </c>
      <c r="H276" s="4" t="inlineStr">
        <is>
          <t>Cưa gấp KingBlue ES250</t>
        </is>
      </c>
      <c r="I276" s="3" t="inlineStr">
        <is>
          <t>Cái</t>
        </is>
      </c>
      <c r="J276" s="5" t="n">
        <v>185000</v>
      </c>
      <c r="K276" s="5" t="n">
        <v>218000</v>
      </c>
      <c r="L276" s="6" t="n">
        <v>268000</v>
      </c>
      <c r="M276" s="5" t="n"/>
      <c r="N276" s="5">
        <f>IF(AND(ISNUMBER(M276),ISNUMBER(L276)),M276-L276,"")</f>
        <v/>
      </c>
      <c r="O276" s="7">
        <f>IF(AND(ISNUMBER(M276),ISNUMBER(L276),L276&gt;0),(M276-L276)/L276,"")</f>
        <v/>
      </c>
      <c r="P276" s="3">
        <f>IF(O276="","",IF(O276&lt;-0.02,"🔴 Bán phá giá sàn",IF(O276&gt;0.05,"🔵 Bán cao hơn","🟢 Đúng giá sàn TMĐT")))</f>
        <v/>
      </c>
      <c r="Q276" s="3" t="n"/>
      <c r="R276" s="4" t="n"/>
      <c r="S276" s="4" t="n"/>
    </row>
    <row r="277">
      <c r="A277" s="3" t="n">
        <v>276</v>
      </c>
      <c r="B277" s="3" t="inlineStr">
        <is>
          <t>KH002</t>
        </is>
      </c>
      <c r="C277" s="4" t="inlineStr">
        <is>
          <t>Nguyễn Hoàng Phú</t>
        </is>
      </c>
      <c r="D277" s="3" t="inlineStr">
        <is>
          <t>HCM</t>
        </is>
      </c>
      <c r="E277" s="3" t="inlineStr">
        <is>
          <t>BẢO TRÂM</t>
        </is>
      </c>
      <c r="F277" s="3" t="inlineStr">
        <is>
          <t>Shopee</t>
        </is>
      </c>
      <c r="G277" s="3" t="inlineStr">
        <is>
          <t>M1-110x5R</t>
        </is>
      </c>
      <c r="H277" s="4" t="inlineStr">
        <is>
          <t>Chén mài Kingblue M1-110x5R (vàng)</t>
        </is>
      </c>
      <c r="I277" s="3" t="inlineStr">
        <is>
          <t>Cái</t>
        </is>
      </c>
      <c r="J277" s="5" t="n">
        <v>77000</v>
      </c>
      <c r="K277" s="5" t="n">
        <v>91000</v>
      </c>
      <c r="L277" s="6" t="n">
        <v>112000</v>
      </c>
      <c r="M277" s="5" t="n"/>
      <c r="N277" s="5">
        <f>IF(AND(ISNUMBER(M277),ISNUMBER(L277)),M277-L277,"")</f>
        <v/>
      </c>
      <c r="O277" s="7">
        <f>IF(AND(ISNUMBER(M277),ISNUMBER(L277),L277&gt;0),(M277-L277)/L277,"")</f>
        <v/>
      </c>
      <c r="P277" s="3">
        <f>IF(O277="","",IF(O277&lt;-0.02,"🔴 Bán phá giá sàn",IF(O277&gt;0.05,"🔵 Bán cao hơn","🟢 Đúng giá sàn TMĐT")))</f>
        <v/>
      </c>
      <c r="Q277" s="3" t="n"/>
      <c r="R277" s="4" t="n"/>
      <c r="S277" s="4" t="n"/>
    </row>
    <row r="278">
      <c r="A278" s="3" t="n">
        <v>277</v>
      </c>
      <c r="B278" s="3" t="inlineStr">
        <is>
          <t>KH002</t>
        </is>
      </c>
      <c r="C278" s="4" t="inlineStr">
        <is>
          <t>Nguyễn Hoàng Phú</t>
        </is>
      </c>
      <c r="D278" s="3" t="inlineStr">
        <is>
          <t>HCM</t>
        </is>
      </c>
      <c r="E278" s="3" t="inlineStr">
        <is>
          <t>BẢO TRÂM</t>
        </is>
      </c>
      <c r="F278" s="3" t="inlineStr">
        <is>
          <t>Shopee</t>
        </is>
      </c>
      <c r="G278" s="3" t="inlineStr">
        <is>
          <t>KJH-04</t>
        </is>
      </c>
      <c r="H278" s="4" t="inlineStr">
        <is>
          <t>Dao rọc cáp đa năng KJH-04</t>
        </is>
      </c>
      <c r="I278" s="3" t="inlineStr">
        <is>
          <t>Cái</t>
        </is>
      </c>
      <c r="J278" s="5" t="n">
        <v>121000</v>
      </c>
      <c r="K278" s="5" t="n">
        <v>143000</v>
      </c>
      <c r="L278" s="6" t="n">
        <v>176000</v>
      </c>
      <c r="M278" s="5" t="n"/>
      <c r="N278" s="5">
        <f>IF(AND(ISNUMBER(M278),ISNUMBER(L278)),M278-L278,"")</f>
        <v/>
      </c>
      <c r="O278" s="7">
        <f>IF(AND(ISNUMBER(M278),ISNUMBER(L278),L278&gt;0),(M278-L278)/L278,"")</f>
        <v/>
      </c>
      <c r="P278" s="3">
        <f>IF(O278="","",IF(O278&lt;-0.02,"🔴 Bán phá giá sàn",IF(O278&gt;0.05,"🔵 Bán cao hơn","🟢 Đúng giá sàn TMĐT")))</f>
        <v/>
      </c>
      <c r="Q278" s="3" t="n"/>
      <c r="R278" s="4" t="n"/>
      <c r="S278" s="4" t="n"/>
    </row>
    <row r="279">
      <c r="A279" s="3" t="n">
        <v>278</v>
      </c>
      <c r="B279" s="3" t="inlineStr">
        <is>
          <t>KH002</t>
        </is>
      </c>
      <c r="C279" s="4" t="inlineStr">
        <is>
          <t>Nguyễn Hoàng Phú</t>
        </is>
      </c>
      <c r="D279" s="3" t="inlineStr">
        <is>
          <t>HCM</t>
        </is>
      </c>
      <c r="E279" s="3" t="inlineStr">
        <is>
          <t>BẢO TRÂM</t>
        </is>
      </c>
      <c r="F279" s="3" t="inlineStr">
        <is>
          <t>Shopee</t>
        </is>
      </c>
      <c r="G279" s="3" t="inlineStr">
        <is>
          <t>K54M</t>
        </is>
      </c>
      <c r="H279" s="4" t="inlineStr">
        <is>
          <t>Dụng cụ khò gas mini K54M</t>
        </is>
      </c>
      <c r="I279" s="3" t="inlineStr">
        <is>
          <t>Cái</t>
        </is>
      </c>
      <c r="J279" s="5" t="n">
        <v>209000</v>
      </c>
      <c r="K279" s="5" t="n">
        <v>247000</v>
      </c>
      <c r="L279" s="6" t="n">
        <v>303000</v>
      </c>
      <c r="M279" s="5" t="n"/>
      <c r="N279" s="5">
        <f>IF(AND(ISNUMBER(M279),ISNUMBER(L279)),M279-L279,"")</f>
        <v/>
      </c>
      <c r="O279" s="7">
        <f>IF(AND(ISNUMBER(M279),ISNUMBER(L279),L279&gt;0),(M279-L279)/L279,"")</f>
        <v/>
      </c>
      <c r="P279" s="3">
        <f>IF(O279="","",IF(O279&lt;-0.02,"🔴 Bán phá giá sàn",IF(O279&gt;0.05,"🔵 Bán cao hơn","🟢 Đúng giá sàn TMĐT")))</f>
        <v/>
      </c>
      <c r="Q279" s="3" t="n"/>
      <c r="R279" s="4" t="n"/>
      <c r="S279" s="4" t="n"/>
    </row>
    <row r="280">
      <c r="A280" s="3" t="n">
        <v>279</v>
      </c>
      <c r="B280" s="3" t="inlineStr">
        <is>
          <t>KH002</t>
        </is>
      </c>
      <c r="C280" s="4" t="inlineStr">
        <is>
          <t>Nguyễn Hoàng Phú</t>
        </is>
      </c>
      <c r="D280" s="3" t="inlineStr">
        <is>
          <t>HCM</t>
        </is>
      </c>
      <c r="E280" s="3" t="inlineStr">
        <is>
          <t>BẢO TRÂM</t>
        </is>
      </c>
      <c r="F280" s="3" t="inlineStr">
        <is>
          <t>Shopee</t>
        </is>
      </c>
      <c r="G280" s="3" t="inlineStr">
        <is>
          <t>D3-107x1.2</t>
        </is>
      </c>
      <c r="H280" s="4" t="inlineStr">
        <is>
          <t>Đá cắt sắt, inox KingBlue D3-107x1.2 xanh ( hộp sắt)</t>
        </is>
      </c>
      <c r="I280" s="3" t="inlineStr">
        <is>
          <t>Viên</t>
        </is>
      </c>
      <c r="J280" s="5" t="n">
        <v>4600</v>
      </c>
      <c r="K280" s="5" t="n">
        <v>5800</v>
      </c>
      <c r="L280" s="6" t="n">
        <v>7500</v>
      </c>
      <c r="M280" s="5" t="n"/>
      <c r="N280" s="5">
        <f>IF(AND(ISNUMBER(M280),ISNUMBER(L280)),M280-L280,"")</f>
        <v/>
      </c>
      <c r="O280" s="7">
        <f>IF(AND(ISNUMBER(M280),ISNUMBER(L280),L280&gt;0),(M280-L280)/L280,"")</f>
        <v/>
      </c>
      <c r="P280" s="3">
        <f>IF(O280="","",IF(O280&lt;-0.02,"🔴 Bán phá giá sàn",IF(O280&gt;0.05,"🔵 Bán cao hơn","🟢 Đúng giá sàn TMĐT")))</f>
        <v/>
      </c>
      <c r="Q280" s="3" t="n"/>
      <c r="R280" s="4" t="n"/>
      <c r="S280" s="4" t="n"/>
    </row>
    <row r="281">
      <c r="A281" s="3" t="n">
        <v>280</v>
      </c>
      <c r="B281" s="3" t="inlineStr">
        <is>
          <t>KH002</t>
        </is>
      </c>
      <c r="C281" s="4" t="inlineStr">
        <is>
          <t>Nguyễn Hoàng Phú</t>
        </is>
      </c>
      <c r="D281" s="3" t="inlineStr">
        <is>
          <t>HCM</t>
        </is>
      </c>
      <c r="E281" s="3" t="inlineStr">
        <is>
          <t>BẢO TRÂM</t>
        </is>
      </c>
      <c r="F281" s="3" t="inlineStr">
        <is>
          <t>Shopee</t>
        </is>
      </c>
      <c r="G281" s="3" t="inlineStr">
        <is>
          <t>D4-107x1.2</t>
        </is>
      </c>
      <c r="H281" s="4" t="inlineStr">
        <is>
          <t>Đá cắt sắt, inox Kingblue D4-107x1.2 đỏ</t>
        </is>
      </c>
      <c r="I281" s="3" t="inlineStr">
        <is>
          <t>Viên</t>
        </is>
      </c>
      <c r="J281" s="5" t="n">
        <v>4200</v>
      </c>
      <c r="K281" s="5" t="n">
        <v>5300</v>
      </c>
      <c r="L281" s="6" t="n">
        <v>6900</v>
      </c>
      <c r="M281" s="5" t="n"/>
      <c r="N281" s="5">
        <f>IF(AND(ISNUMBER(M281),ISNUMBER(L281)),M281-L281,"")</f>
        <v/>
      </c>
      <c r="O281" s="7">
        <f>IF(AND(ISNUMBER(M281),ISNUMBER(L281),L281&gt;0),(M281-L281)/L281,"")</f>
        <v/>
      </c>
      <c r="P281" s="3">
        <f>IF(O281="","",IF(O281&lt;-0.02,"🔴 Bán phá giá sàn",IF(O281&gt;0.05,"🔵 Bán cao hơn","🟢 Đúng giá sàn TMĐT")))</f>
        <v/>
      </c>
      <c r="Q281" s="3" t="n"/>
      <c r="R281" s="4" t="n"/>
      <c r="S281" s="4" t="n"/>
    </row>
    <row r="282">
      <c r="A282" s="3" t="n">
        <v>281</v>
      </c>
      <c r="B282" s="3" t="inlineStr">
        <is>
          <t>KH002</t>
        </is>
      </c>
      <c r="C282" s="4" t="inlineStr">
        <is>
          <t>Nguyễn Hoàng Phú</t>
        </is>
      </c>
      <c r="D282" s="3" t="inlineStr">
        <is>
          <t>HCM</t>
        </is>
      </c>
      <c r="E282" s="3" t="inlineStr">
        <is>
          <t>BẢO TRÂM</t>
        </is>
      </c>
      <c r="F282" s="3" t="inlineStr">
        <is>
          <t>Shopee</t>
        </is>
      </c>
      <c r="G282" s="3" t="inlineStr">
        <is>
          <t>D3-103x2.8</t>
        </is>
      </c>
      <c r="H282" s="4" t="inlineStr">
        <is>
          <t>Đá mài sắt, inox KingBlue D3-103x2.8</t>
        </is>
      </c>
      <c r="I282" s="3" t="inlineStr">
        <is>
          <t>Cái</t>
        </is>
      </c>
      <c r="J282" s="5" t="n">
        <v>9100</v>
      </c>
      <c r="K282" s="5" t="n">
        <v>11300</v>
      </c>
      <c r="L282" s="6" t="n">
        <v>14500</v>
      </c>
      <c r="M282" s="5" t="n"/>
      <c r="N282" s="5">
        <f>IF(AND(ISNUMBER(M282),ISNUMBER(L282)),M282-L282,"")</f>
        <v/>
      </c>
      <c r="O282" s="7">
        <f>IF(AND(ISNUMBER(M282),ISNUMBER(L282),L282&gt;0),(M282-L282)/L282,"")</f>
        <v/>
      </c>
      <c r="P282" s="3">
        <f>IF(O282="","",IF(O282&lt;-0.02,"🔴 Bán phá giá sàn",IF(O282&gt;0.05,"🔵 Bán cao hơn","🟢 Đúng giá sàn TMĐT")))</f>
        <v/>
      </c>
      <c r="Q282" s="3" t="n"/>
      <c r="R282" s="4" t="n"/>
      <c r="S282" s="4" t="n"/>
    </row>
    <row r="283">
      <c r="A283" s="3" t="n">
        <v>282</v>
      </c>
      <c r="B283" s="3" t="inlineStr">
        <is>
          <t>KH002</t>
        </is>
      </c>
      <c r="C283" s="4" t="inlineStr">
        <is>
          <t>Nguyễn Hoàng Phú</t>
        </is>
      </c>
      <c r="D283" s="3" t="inlineStr">
        <is>
          <t>HCM</t>
        </is>
      </c>
      <c r="E283" s="3" t="inlineStr">
        <is>
          <t>BẢO TRÂM</t>
        </is>
      </c>
      <c r="F283" s="3" t="inlineStr">
        <is>
          <t>Shopee</t>
        </is>
      </c>
      <c r="G283" s="3" t="inlineStr">
        <is>
          <t>CM07</t>
        </is>
      </c>
      <c r="H283" s="4" t="inlineStr">
        <is>
          <t>Đầu chụp bulon KingBlue CM07</t>
        </is>
      </c>
      <c r="I283" s="3" t="inlineStr">
        <is>
          <t>Hộp</t>
        </is>
      </c>
      <c r="J283" s="5" t="n">
        <v>143000</v>
      </c>
      <c r="K283" s="5" t="n">
        <v>180000</v>
      </c>
      <c r="L283" s="6" t="n">
        <v>236000</v>
      </c>
      <c r="M283" s="5" t="n"/>
      <c r="N283" s="5">
        <f>IF(AND(ISNUMBER(M283),ISNUMBER(L283)),M283-L283,"")</f>
        <v/>
      </c>
      <c r="O283" s="7">
        <f>IF(AND(ISNUMBER(M283),ISNUMBER(L283),L283&gt;0),(M283-L283)/L283,"")</f>
        <v/>
      </c>
      <c r="P283" s="3">
        <f>IF(O283="","",IF(O283&lt;-0.02,"🔴 Bán phá giá sàn",IF(O283&gt;0.05,"🔵 Bán cao hơn","🟢 Đúng giá sàn TMĐT")))</f>
        <v/>
      </c>
      <c r="Q283" s="3" t="n"/>
      <c r="R283" s="4" t="n"/>
      <c r="S283" s="4" t="n"/>
    </row>
    <row r="284">
      <c r="A284" s="3" t="n">
        <v>283</v>
      </c>
      <c r="B284" s="3" t="inlineStr">
        <is>
          <t>KH002</t>
        </is>
      </c>
      <c r="C284" s="4" t="inlineStr">
        <is>
          <t>Nguyễn Hoàng Phú</t>
        </is>
      </c>
      <c r="D284" s="3" t="inlineStr">
        <is>
          <t>HCM</t>
        </is>
      </c>
      <c r="E284" s="3" t="inlineStr">
        <is>
          <t>BẢO TRÂM</t>
        </is>
      </c>
      <c r="F284" s="3" t="inlineStr">
        <is>
          <t>Shopee</t>
        </is>
      </c>
      <c r="G284" s="3" t="inlineStr">
        <is>
          <t>CM08</t>
        </is>
      </c>
      <c r="H284" s="4" t="inlineStr">
        <is>
          <t>Đầu chụp bulon KingBlue CM08</t>
        </is>
      </c>
      <c r="I284" s="3" t="inlineStr">
        <is>
          <t>Hộp</t>
        </is>
      </c>
      <c r="J284" s="5" t="n">
        <v>154000</v>
      </c>
      <c r="K284" s="5" t="n">
        <v>194000</v>
      </c>
      <c r="L284" s="6" t="n">
        <v>254000</v>
      </c>
      <c r="M284" s="5" t="n"/>
      <c r="N284" s="5">
        <f>IF(AND(ISNUMBER(M284),ISNUMBER(L284)),M284-L284,"")</f>
        <v/>
      </c>
      <c r="O284" s="7">
        <f>IF(AND(ISNUMBER(M284),ISNUMBER(L284),L284&gt;0),(M284-L284)/L284,"")</f>
        <v/>
      </c>
      <c r="P284" s="3">
        <f>IF(O284="","",IF(O284&lt;-0.02,"🔴 Bán phá giá sàn",IF(O284&gt;0.05,"🔵 Bán cao hơn","🟢 Đúng giá sàn TMĐT")))</f>
        <v/>
      </c>
      <c r="Q284" s="3" t="n"/>
      <c r="R284" s="4" t="n"/>
      <c r="S284" s="4" t="n"/>
    </row>
    <row r="285">
      <c r="A285" s="3" t="n">
        <v>284</v>
      </c>
      <c r="B285" s="3" t="inlineStr">
        <is>
          <t>KH002</t>
        </is>
      </c>
      <c r="C285" s="4" t="inlineStr">
        <is>
          <t>Nguyễn Hoàng Phú</t>
        </is>
      </c>
      <c r="D285" s="3" t="inlineStr">
        <is>
          <t>HCM</t>
        </is>
      </c>
      <c r="E285" s="3" t="inlineStr">
        <is>
          <t>BẢO TRÂM</t>
        </is>
      </c>
      <c r="F285" s="3" t="inlineStr">
        <is>
          <t>Shopee</t>
        </is>
      </c>
      <c r="G285" s="3" t="inlineStr">
        <is>
          <t>CM10</t>
        </is>
      </c>
      <c r="H285" s="4" t="inlineStr">
        <is>
          <t>Đầu chụp bulon KingBlue CM10</t>
        </is>
      </c>
      <c r="I285" s="3" t="inlineStr">
        <is>
          <t>Hộp</t>
        </is>
      </c>
      <c r="J285" s="5" t="n">
        <v>176000</v>
      </c>
      <c r="K285" s="5" t="n">
        <v>222000</v>
      </c>
      <c r="L285" s="6" t="n">
        <v>290000</v>
      </c>
      <c r="M285" s="5" t="n"/>
      <c r="N285" s="5">
        <f>IF(AND(ISNUMBER(M285),ISNUMBER(L285)),M285-L285,"")</f>
        <v/>
      </c>
      <c r="O285" s="7">
        <f>IF(AND(ISNUMBER(M285),ISNUMBER(L285),L285&gt;0),(M285-L285)/L285,"")</f>
        <v/>
      </c>
      <c r="P285" s="3">
        <f>IF(O285="","",IF(O285&lt;-0.02,"🔴 Bán phá giá sàn",IF(O285&gt;0.05,"🔵 Bán cao hơn","🟢 Đúng giá sàn TMĐT")))</f>
        <v/>
      </c>
      <c r="Q285" s="3" t="n"/>
      <c r="R285" s="4" t="n"/>
      <c r="S285" s="4" t="n"/>
    </row>
    <row r="286">
      <c r="A286" s="3" t="n">
        <v>285</v>
      </c>
      <c r="B286" s="3" t="inlineStr">
        <is>
          <t>KH002</t>
        </is>
      </c>
      <c r="C286" s="4" t="inlineStr">
        <is>
          <t>Nguyễn Hoàng Phú</t>
        </is>
      </c>
      <c r="D286" s="3" t="inlineStr">
        <is>
          <t>HCM</t>
        </is>
      </c>
      <c r="E286" s="3" t="inlineStr">
        <is>
          <t>BẢO TRÂM</t>
        </is>
      </c>
      <c r="F286" s="3" t="inlineStr">
        <is>
          <t>Shopee</t>
        </is>
      </c>
      <c r="G286" s="3" t="inlineStr">
        <is>
          <t>CM12</t>
        </is>
      </c>
      <c r="H286" s="4" t="inlineStr">
        <is>
          <t>Đầu chụp bulon KingBlue CM12</t>
        </is>
      </c>
      <c r="I286" s="3" t="inlineStr">
        <is>
          <t>Hộp</t>
        </is>
      </c>
      <c r="J286" s="5" t="n">
        <v>99000</v>
      </c>
      <c r="K286" s="5" t="n">
        <v>125000</v>
      </c>
      <c r="L286" s="6" t="n">
        <v>163000</v>
      </c>
      <c r="M286" s="5" t="n"/>
      <c r="N286" s="5">
        <f>IF(AND(ISNUMBER(M286),ISNUMBER(L286)),M286-L286,"")</f>
        <v/>
      </c>
      <c r="O286" s="7">
        <f>IF(AND(ISNUMBER(M286),ISNUMBER(L286),L286&gt;0),(M286-L286)/L286,"")</f>
        <v/>
      </c>
      <c r="P286" s="3">
        <f>IF(O286="","",IF(O286&lt;-0.02,"🔴 Bán phá giá sàn",IF(O286&gt;0.05,"🔵 Bán cao hơn","🟢 Đúng giá sàn TMĐT")))</f>
        <v/>
      </c>
      <c r="Q286" s="3" t="n"/>
      <c r="R286" s="4" t="n"/>
      <c r="S286" s="4" t="n"/>
    </row>
    <row r="287">
      <c r="A287" s="3" t="n">
        <v>286</v>
      </c>
      <c r="B287" s="3" t="inlineStr">
        <is>
          <t>KH002</t>
        </is>
      </c>
      <c r="C287" s="4" t="inlineStr">
        <is>
          <t>Nguyễn Hoàng Phú</t>
        </is>
      </c>
      <c r="D287" s="3" t="inlineStr">
        <is>
          <t>HCM</t>
        </is>
      </c>
      <c r="E287" s="3" t="inlineStr">
        <is>
          <t>BẢO TRÂM</t>
        </is>
      </c>
      <c r="F287" s="3" t="inlineStr">
        <is>
          <t>Shopee</t>
        </is>
      </c>
      <c r="G287" s="3" t="inlineStr">
        <is>
          <t>CM13</t>
        </is>
      </c>
      <c r="H287" s="4" t="inlineStr">
        <is>
          <t>Đầu chụp bulon KingBlue CM13</t>
        </is>
      </c>
      <c r="I287" s="3" t="inlineStr">
        <is>
          <t>Hộp</t>
        </is>
      </c>
      <c r="J287" s="5" t="n">
        <v>105000</v>
      </c>
      <c r="K287" s="5" t="n">
        <v>132000</v>
      </c>
      <c r="L287" s="6" t="n">
        <v>173000</v>
      </c>
      <c r="M287" s="5" t="n"/>
      <c r="N287" s="5">
        <f>IF(AND(ISNUMBER(M287),ISNUMBER(L287)),M287-L287,"")</f>
        <v/>
      </c>
      <c r="O287" s="7">
        <f>IF(AND(ISNUMBER(M287),ISNUMBER(L287),L287&gt;0),(M287-L287)/L287,"")</f>
        <v/>
      </c>
      <c r="P287" s="3">
        <f>IF(O287="","",IF(O287&lt;-0.02,"🔴 Bán phá giá sàn",IF(O287&gt;0.05,"🔵 Bán cao hơn","🟢 Đúng giá sàn TMĐT")))</f>
        <v/>
      </c>
      <c r="Q287" s="3" t="n"/>
      <c r="R287" s="4" t="n"/>
      <c r="S287" s="4" t="n"/>
    </row>
    <row r="288">
      <c r="A288" s="3" t="n">
        <v>287</v>
      </c>
      <c r="B288" s="3" t="inlineStr">
        <is>
          <t>KH002</t>
        </is>
      </c>
      <c r="C288" s="4" t="inlineStr">
        <is>
          <t>Nguyễn Hoàng Phú</t>
        </is>
      </c>
      <c r="D288" s="3" t="inlineStr">
        <is>
          <t>HCM</t>
        </is>
      </c>
      <c r="E288" s="3" t="inlineStr">
        <is>
          <t>BẢO TRÂM</t>
        </is>
      </c>
      <c r="F288" s="3" t="inlineStr">
        <is>
          <t>Shopee</t>
        </is>
      </c>
      <c r="G288" s="3" t="inlineStr">
        <is>
          <t>CM14</t>
        </is>
      </c>
      <c r="H288" s="4" t="inlineStr">
        <is>
          <t>Đầu chụp bulon KingBlue CM14</t>
        </is>
      </c>
      <c r="I288" s="3" t="inlineStr">
        <is>
          <t>Hộp</t>
        </is>
      </c>
      <c r="J288" s="5" t="n">
        <v>105000</v>
      </c>
      <c r="K288" s="5" t="n">
        <v>132000</v>
      </c>
      <c r="L288" s="6" t="n">
        <v>173000</v>
      </c>
      <c r="M288" s="5" t="n"/>
      <c r="N288" s="5">
        <f>IF(AND(ISNUMBER(M288),ISNUMBER(L288)),M288-L288,"")</f>
        <v/>
      </c>
      <c r="O288" s="7">
        <f>IF(AND(ISNUMBER(M288),ISNUMBER(L288),L288&gt;0),(M288-L288)/L288,"")</f>
        <v/>
      </c>
      <c r="P288" s="3">
        <f>IF(O288="","",IF(O288&lt;-0.02,"🔴 Bán phá giá sàn",IF(O288&gt;0.05,"🔵 Bán cao hơn","🟢 Đúng giá sàn TMĐT")))</f>
        <v/>
      </c>
      <c r="Q288" s="3" t="n"/>
      <c r="R288" s="4" t="n"/>
      <c r="S288" s="4" t="n"/>
    </row>
    <row r="289">
      <c r="A289" s="3" t="n">
        <v>288</v>
      </c>
      <c r="B289" s="3" t="inlineStr">
        <is>
          <t>KH002</t>
        </is>
      </c>
      <c r="C289" s="4" t="inlineStr">
        <is>
          <t>Nguyễn Hoàng Phú</t>
        </is>
      </c>
      <c r="D289" s="3" t="inlineStr">
        <is>
          <t>HCM</t>
        </is>
      </c>
      <c r="E289" s="3" t="inlineStr">
        <is>
          <t>BẢO TRÂM</t>
        </is>
      </c>
      <c r="F289" s="3" t="inlineStr">
        <is>
          <t>Shopee</t>
        </is>
      </c>
      <c r="G289" s="3" t="inlineStr">
        <is>
          <t>CM17</t>
        </is>
      </c>
      <c r="H289" s="4" t="inlineStr">
        <is>
          <t>Đầu chụp bulon KingBlue CM17</t>
        </is>
      </c>
      <c r="I289" s="3" t="inlineStr">
        <is>
          <t>Hộp</t>
        </is>
      </c>
      <c r="J289" s="5" t="n">
        <v>110000</v>
      </c>
      <c r="K289" s="5" t="n">
        <v>139000</v>
      </c>
      <c r="L289" s="6" t="n">
        <v>182000</v>
      </c>
      <c r="M289" s="5" t="n"/>
      <c r="N289" s="5">
        <f>IF(AND(ISNUMBER(M289),ISNUMBER(L289)),M289-L289,"")</f>
        <v/>
      </c>
      <c r="O289" s="7">
        <f>IF(AND(ISNUMBER(M289),ISNUMBER(L289),L289&gt;0),(M289-L289)/L289,"")</f>
        <v/>
      </c>
      <c r="P289" s="3">
        <f>IF(O289="","",IF(O289&lt;-0.02,"🔴 Bán phá giá sàn",IF(O289&gt;0.05,"🔵 Bán cao hơn","🟢 Đúng giá sàn TMĐT")))</f>
        <v/>
      </c>
      <c r="Q289" s="3" t="n"/>
      <c r="R289" s="4" t="n"/>
      <c r="S289" s="4" t="n"/>
    </row>
    <row r="290">
      <c r="A290" s="3" t="n">
        <v>289</v>
      </c>
      <c r="B290" s="3" t="inlineStr">
        <is>
          <t>KH002</t>
        </is>
      </c>
      <c r="C290" s="4" t="inlineStr">
        <is>
          <t>Nguyễn Hoàng Phú</t>
        </is>
      </c>
      <c r="D290" s="3" t="inlineStr">
        <is>
          <t>HCM</t>
        </is>
      </c>
      <c r="E290" s="3" t="inlineStr">
        <is>
          <t>BẢO TRÂM</t>
        </is>
      </c>
      <c r="F290" s="3" t="inlineStr">
        <is>
          <t>Shopee</t>
        </is>
      </c>
      <c r="G290" s="3" t="inlineStr">
        <is>
          <t>CM19</t>
        </is>
      </c>
      <c r="H290" s="4" t="inlineStr">
        <is>
          <t>Đầu chụp bulon KingBlue CM19</t>
        </is>
      </c>
      <c r="I290" s="3" t="inlineStr">
        <is>
          <t>Hộp</t>
        </is>
      </c>
      <c r="J290" s="5" t="n">
        <v>86000</v>
      </c>
      <c r="K290" s="5" t="n">
        <v>108000</v>
      </c>
      <c r="L290" s="6" t="n">
        <v>142000</v>
      </c>
      <c r="M290" s="5" t="n"/>
      <c r="N290" s="5">
        <f>IF(AND(ISNUMBER(M290),ISNUMBER(L290)),M290-L290,"")</f>
        <v/>
      </c>
      <c r="O290" s="7">
        <f>IF(AND(ISNUMBER(M290),ISNUMBER(L290),L290&gt;0),(M290-L290)/L290,"")</f>
        <v/>
      </c>
      <c r="P290" s="3">
        <f>IF(O290="","",IF(O290&lt;-0.02,"🔴 Bán phá giá sàn",IF(O290&gt;0.05,"🔵 Bán cao hơn","🟢 Đúng giá sàn TMĐT")))</f>
        <v/>
      </c>
      <c r="Q290" s="3" t="n"/>
      <c r="R290" s="4" t="n"/>
      <c r="S290" s="4" t="n"/>
    </row>
    <row r="291">
      <c r="A291" s="3" t="n">
        <v>290</v>
      </c>
      <c r="B291" s="3" t="inlineStr">
        <is>
          <t>KH002</t>
        </is>
      </c>
      <c r="C291" s="4" t="inlineStr">
        <is>
          <t>Nguyễn Hoàng Phú</t>
        </is>
      </c>
      <c r="D291" s="3" t="inlineStr">
        <is>
          <t>HCM</t>
        </is>
      </c>
      <c r="E291" s="3" t="inlineStr">
        <is>
          <t>BẢO TRÂM</t>
        </is>
      </c>
      <c r="F291" s="3" t="inlineStr">
        <is>
          <t>Shopee</t>
        </is>
      </c>
      <c r="G291" s="3" t="inlineStr">
        <is>
          <t>K45M</t>
        </is>
      </c>
      <c r="H291" s="4" t="inlineStr">
        <is>
          <t>Đầu khò gas K45M</t>
        </is>
      </c>
      <c r="I291" s="3" t="inlineStr">
        <is>
          <t>Cái</t>
        </is>
      </c>
      <c r="J291" s="5" t="n">
        <v>269000</v>
      </c>
      <c r="K291" s="5" t="n">
        <v>317000</v>
      </c>
      <c r="L291" s="6" t="n">
        <v>390000</v>
      </c>
      <c r="M291" s="5" t="n"/>
      <c r="N291" s="5">
        <f>IF(AND(ISNUMBER(M291),ISNUMBER(L291)),M291-L291,"")</f>
        <v/>
      </c>
      <c r="O291" s="7">
        <f>IF(AND(ISNUMBER(M291),ISNUMBER(L291),L291&gt;0),(M291-L291)/L291,"")</f>
        <v/>
      </c>
      <c r="P291" s="3">
        <f>IF(O291="","",IF(O291&lt;-0.02,"🔴 Bán phá giá sàn",IF(O291&gt;0.05,"🔵 Bán cao hơn","🟢 Đúng giá sàn TMĐT")))</f>
        <v/>
      </c>
      <c r="Q291" s="3" t="n"/>
      <c r="R291" s="4" t="n"/>
      <c r="S291" s="4" t="n"/>
    </row>
    <row r="292">
      <c r="A292" s="3" t="n">
        <v>291</v>
      </c>
      <c r="B292" s="3" t="inlineStr">
        <is>
          <t>KH002</t>
        </is>
      </c>
      <c r="C292" s="4" t="inlineStr">
        <is>
          <t>Nguyễn Hoàng Phú</t>
        </is>
      </c>
      <c r="D292" s="3" t="inlineStr">
        <is>
          <t>HCM</t>
        </is>
      </c>
      <c r="E292" s="3" t="inlineStr">
        <is>
          <t>BẢO TRÂM</t>
        </is>
      </c>
      <c r="F292" s="3" t="inlineStr">
        <is>
          <t>Shopee</t>
        </is>
      </c>
      <c r="G292" s="3" t="inlineStr">
        <is>
          <t>K49M</t>
        </is>
      </c>
      <c r="H292" s="4" t="inlineStr">
        <is>
          <t>Đầu khò gas K49M</t>
        </is>
      </c>
      <c r="I292" s="3" t="inlineStr">
        <is>
          <t>Cái</t>
        </is>
      </c>
      <c r="J292" s="5" t="n">
        <v>269000</v>
      </c>
      <c r="K292" s="5" t="n">
        <v>317000</v>
      </c>
      <c r="L292" s="6" t="n">
        <v>390000</v>
      </c>
      <c r="M292" s="5" t="n"/>
      <c r="N292" s="5">
        <f>IF(AND(ISNUMBER(M292),ISNUMBER(L292)),M292-L292,"")</f>
        <v/>
      </c>
      <c r="O292" s="7">
        <f>IF(AND(ISNUMBER(M292),ISNUMBER(L292),L292&gt;0),(M292-L292)/L292,"")</f>
        <v/>
      </c>
      <c r="P292" s="3">
        <f>IF(O292="","",IF(O292&lt;-0.02,"🔴 Bán phá giá sàn",IF(O292&gt;0.05,"🔵 Bán cao hơn","🟢 Đúng giá sàn TMĐT")))</f>
        <v/>
      </c>
      <c r="Q292" s="3" t="n"/>
      <c r="R292" s="4" t="n"/>
      <c r="S292" s="4" t="n"/>
    </row>
    <row r="293">
      <c r="A293" s="3" t="n">
        <v>292</v>
      </c>
      <c r="B293" s="3" t="inlineStr">
        <is>
          <t>KH002</t>
        </is>
      </c>
      <c r="C293" s="4" t="inlineStr">
        <is>
          <t>Nguyễn Hoàng Phú</t>
        </is>
      </c>
      <c r="D293" s="3" t="inlineStr">
        <is>
          <t>HCM</t>
        </is>
      </c>
      <c r="E293" s="3" t="inlineStr">
        <is>
          <t>BẢO TRÂM</t>
        </is>
      </c>
      <c r="F293" s="3" t="inlineStr">
        <is>
          <t>Shopee</t>
        </is>
      </c>
      <c r="G293" s="3" t="inlineStr"/>
      <c r="H293" s="4" t="inlineStr">
        <is>
          <t>Đầu nạp gas</t>
        </is>
      </c>
      <c r="I293" s="3" t="inlineStr">
        <is>
          <t>Cái</t>
        </is>
      </c>
      <c r="J293" s="5" t="n">
        <v>269000</v>
      </c>
      <c r="K293" s="5" t="n">
        <v>317000</v>
      </c>
      <c r="L293" s="6" t="n">
        <v>390000</v>
      </c>
      <c r="M293" s="5" t="n"/>
      <c r="N293" s="5">
        <f>IF(AND(ISNUMBER(M293),ISNUMBER(L293)),M293-L293,"")</f>
        <v/>
      </c>
      <c r="O293" s="7">
        <f>IF(AND(ISNUMBER(M293),ISNUMBER(L293),L293&gt;0),(M293-L293)/L293,"")</f>
        <v/>
      </c>
      <c r="P293" s="3">
        <f>IF(O293="","",IF(O293&lt;-0.02,"🔴 Bán phá giá sàn",IF(O293&gt;0.05,"🔵 Bán cao hơn","🟢 Đúng giá sàn TMĐT")))</f>
        <v/>
      </c>
      <c r="Q293" s="3" t="n"/>
      <c r="R293" s="4" t="n"/>
      <c r="S293" s="4" t="n"/>
    </row>
    <row r="294">
      <c r="A294" s="3" t="n">
        <v>293</v>
      </c>
      <c r="B294" s="3" t="inlineStr">
        <is>
          <t>KH002</t>
        </is>
      </c>
      <c r="C294" s="4" t="inlineStr">
        <is>
          <t>Nguyễn Hoàng Phú</t>
        </is>
      </c>
      <c r="D294" s="3" t="inlineStr">
        <is>
          <t>HCM</t>
        </is>
      </c>
      <c r="E294" s="3" t="inlineStr">
        <is>
          <t>BẢO TRÂM</t>
        </is>
      </c>
      <c r="F294" s="3" t="inlineStr">
        <is>
          <t>Shopee</t>
        </is>
      </c>
      <c r="G294" s="3" t="inlineStr">
        <is>
          <t>QC3</t>
        </is>
      </c>
      <c r="H294" s="4" t="inlineStr">
        <is>
          <t>Kéo cắt đa năng QC3</t>
        </is>
      </c>
      <c r="I294" s="3" t="inlineStr">
        <is>
          <t>Cái</t>
        </is>
      </c>
      <c r="J294" s="5" t="n">
        <v>80000</v>
      </c>
      <c r="K294" s="5" t="n">
        <v>94000</v>
      </c>
      <c r="L294" s="6" t="n">
        <v>116000</v>
      </c>
      <c r="M294" s="5" t="n"/>
      <c r="N294" s="5">
        <f>IF(AND(ISNUMBER(M294),ISNUMBER(L294)),M294-L294,"")</f>
        <v/>
      </c>
      <c r="O294" s="7">
        <f>IF(AND(ISNUMBER(M294),ISNUMBER(L294),L294&gt;0),(M294-L294)/L294,"")</f>
        <v/>
      </c>
      <c r="P294" s="3">
        <f>IF(O294="","",IF(O294&lt;-0.02,"🔴 Bán phá giá sàn",IF(O294&gt;0.05,"🔵 Bán cao hơn","🟢 Đúng giá sàn TMĐT")))</f>
        <v/>
      </c>
      <c r="Q294" s="3" t="n"/>
      <c r="R294" s="4" t="n"/>
      <c r="S294" s="4" t="n"/>
    </row>
    <row r="295">
      <c r="A295" s="3" t="n">
        <v>294</v>
      </c>
      <c r="B295" s="3" t="inlineStr">
        <is>
          <t>KH002</t>
        </is>
      </c>
      <c r="C295" s="4" t="inlineStr">
        <is>
          <t>Nguyễn Hoàng Phú</t>
        </is>
      </c>
      <c r="D295" s="3" t="inlineStr">
        <is>
          <t>HCM</t>
        </is>
      </c>
      <c r="E295" s="3" t="inlineStr">
        <is>
          <t>BẢO TRÂM</t>
        </is>
      </c>
      <c r="F295" s="3" t="inlineStr">
        <is>
          <t>Shopee</t>
        </is>
      </c>
      <c r="G295" s="3" t="inlineStr">
        <is>
          <t>KPC-164</t>
        </is>
      </c>
      <c r="H295" s="4" t="inlineStr">
        <is>
          <t>Kéo cắt ống KPC-164</t>
        </is>
      </c>
      <c r="I295" s="3" t="inlineStr">
        <is>
          <t>Cái</t>
        </is>
      </c>
      <c r="J295" s="5" t="n">
        <v>262000</v>
      </c>
      <c r="K295" s="5" t="n">
        <v>309000</v>
      </c>
      <c r="L295" s="6" t="n">
        <v>380000</v>
      </c>
      <c r="M295" s="5" t="n"/>
      <c r="N295" s="5">
        <f>IF(AND(ISNUMBER(M295),ISNUMBER(L295)),M295-L295,"")</f>
        <v/>
      </c>
      <c r="O295" s="7">
        <f>IF(AND(ISNUMBER(M295),ISNUMBER(L295),L295&gt;0),(M295-L295)/L295,"")</f>
        <v/>
      </c>
      <c r="P295" s="3">
        <f>IF(O295="","",IF(O295&lt;-0.02,"🔴 Bán phá giá sàn",IF(O295&gt;0.05,"🔵 Bán cao hơn","🟢 Đúng giá sàn TMĐT")))</f>
        <v/>
      </c>
      <c r="Q295" s="3" t="n"/>
      <c r="R295" s="4" t="n"/>
      <c r="S295" s="4" t="n"/>
    </row>
    <row r="296">
      <c r="A296" s="3" t="n">
        <v>295</v>
      </c>
      <c r="B296" s="3" t="inlineStr">
        <is>
          <t>KH002</t>
        </is>
      </c>
      <c r="C296" s="4" t="inlineStr">
        <is>
          <t>Nguyễn Hoàng Phú</t>
        </is>
      </c>
      <c r="D296" s="3" t="inlineStr">
        <is>
          <t>HCM</t>
        </is>
      </c>
      <c r="E296" s="3" t="inlineStr">
        <is>
          <t>BẢO TRÂM</t>
        </is>
      </c>
      <c r="F296" s="3" t="inlineStr">
        <is>
          <t>Shopee</t>
        </is>
      </c>
      <c r="G296" s="3" t="inlineStr">
        <is>
          <t>KPC-242</t>
        </is>
      </c>
      <c r="H296" s="4" t="inlineStr">
        <is>
          <t>Kéo cắt ống KPC-242</t>
        </is>
      </c>
      <c r="I296" s="3" t="inlineStr">
        <is>
          <t>Cái</t>
        </is>
      </c>
      <c r="J296" s="5" t="n">
        <v>172000</v>
      </c>
      <c r="K296" s="5" t="n">
        <v>203000</v>
      </c>
      <c r="L296" s="6" t="n">
        <v>249000</v>
      </c>
      <c r="M296" s="5" t="n"/>
      <c r="N296" s="5">
        <f>IF(AND(ISNUMBER(M296),ISNUMBER(L296)),M296-L296,"")</f>
        <v/>
      </c>
      <c r="O296" s="7">
        <f>IF(AND(ISNUMBER(M296),ISNUMBER(L296),L296&gt;0),(M296-L296)/L296,"")</f>
        <v/>
      </c>
      <c r="P296" s="3">
        <f>IF(O296="","",IF(O296&lt;-0.02,"🔴 Bán phá giá sàn",IF(O296&gt;0.05,"🔵 Bán cao hơn","🟢 Đúng giá sàn TMĐT")))</f>
        <v/>
      </c>
      <c r="Q296" s="3" t="n"/>
      <c r="R296" s="4" t="n"/>
      <c r="S296" s="4" t="n"/>
    </row>
    <row r="297">
      <c r="A297" s="3" t="n">
        <v>296</v>
      </c>
      <c r="B297" s="3" t="inlineStr">
        <is>
          <t>KH002</t>
        </is>
      </c>
      <c r="C297" s="4" t="inlineStr">
        <is>
          <t>Nguyễn Hoàng Phú</t>
        </is>
      </c>
      <c r="D297" s="3" t="inlineStr">
        <is>
          <t>HCM</t>
        </is>
      </c>
      <c r="E297" s="3" t="inlineStr">
        <is>
          <t>BẢO TRÂM</t>
        </is>
      </c>
      <c r="F297" s="3" t="inlineStr">
        <is>
          <t>Shopee</t>
        </is>
      </c>
      <c r="G297" s="3" t="inlineStr">
        <is>
          <t>KDT-250</t>
        </is>
      </c>
      <c r="H297" s="4" t="inlineStr">
        <is>
          <t>Kéo cắt tole KDT-250</t>
        </is>
      </c>
      <c r="I297" s="3" t="inlineStr">
        <is>
          <t>Cái</t>
        </is>
      </c>
      <c r="J297" s="5" t="n">
        <v>116000</v>
      </c>
      <c r="K297" s="5" t="n">
        <v>137000</v>
      </c>
      <c r="L297" s="6" t="n">
        <v>168000</v>
      </c>
      <c r="M297" s="5" t="n"/>
      <c r="N297" s="5">
        <f>IF(AND(ISNUMBER(M297),ISNUMBER(L297)),M297-L297,"")</f>
        <v/>
      </c>
      <c r="O297" s="7">
        <f>IF(AND(ISNUMBER(M297),ISNUMBER(L297),L297&gt;0),(M297-L297)/L297,"")</f>
        <v/>
      </c>
      <c r="P297" s="3">
        <f>IF(O297="","",IF(O297&lt;-0.02,"🔴 Bán phá giá sàn",IF(O297&gt;0.05,"🔵 Bán cao hơn","🟢 Đúng giá sàn TMĐT")))</f>
        <v/>
      </c>
      <c r="Q297" s="3" t="n"/>
      <c r="R297" s="4" t="n"/>
      <c r="S297" s="4" t="n"/>
    </row>
    <row r="298">
      <c r="A298" s="3" t="n">
        <v>297</v>
      </c>
      <c r="B298" s="3" t="inlineStr">
        <is>
          <t>KH002</t>
        </is>
      </c>
      <c r="C298" s="4" t="inlineStr">
        <is>
          <t>Nguyễn Hoàng Phú</t>
        </is>
      </c>
      <c r="D298" s="3" t="inlineStr">
        <is>
          <t>HCM</t>
        </is>
      </c>
      <c r="E298" s="3" t="inlineStr">
        <is>
          <t>BẢO TRÂM</t>
        </is>
      </c>
      <c r="F298" s="3" t="inlineStr">
        <is>
          <t>Shopee</t>
        </is>
      </c>
      <c r="G298" s="3" t="inlineStr">
        <is>
          <t>KCT-250</t>
        </is>
      </c>
      <c r="H298" s="4" t="inlineStr">
        <is>
          <t>Kéo cắt thạch cao (tole) KCT-250</t>
        </is>
      </c>
      <c r="I298" s="3" t="inlineStr">
        <is>
          <t>Cái</t>
        </is>
      </c>
      <c r="J298" s="5" t="n">
        <v>105000</v>
      </c>
      <c r="K298" s="5" t="n">
        <v>124000</v>
      </c>
      <c r="L298" s="6" t="n">
        <v>152000</v>
      </c>
      <c r="M298" s="5" t="n"/>
      <c r="N298" s="5">
        <f>IF(AND(ISNUMBER(M298),ISNUMBER(L298)),M298-L298,"")</f>
        <v/>
      </c>
      <c r="O298" s="7">
        <f>IF(AND(ISNUMBER(M298),ISNUMBER(L298),L298&gt;0),(M298-L298)/L298,"")</f>
        <v/>
      </c>
      <c r="P298" s="3">
        <f>IF(O298="","",IF(O298&lt;-0.02,"🔴 Bán phá giá sàn",IF(O298&gt;0.05,"🔵 Bán cao hơn","🟢 Đúng giá sàn TMĐT")))</f>
        <v/>
      </c>
      <c r="Q298" s="3" t="n"/>
      <c r="R298" s="4" t="n"/>
      <c r="S298" s="4" t="n"/>
    </row>
    <row r="299">
      <c r="A299" s="3" t="n">
        <v>298</v>
      </c>
      <c r="B299" s="3" t="inlineStr">
        <is>
          <t>KH002</t>
        </is>
      </c>
      <c r="C299" s="4" t="inlineStr">
        <is>
          <t>Nguyễn Hoàng Phú</t>
        </is>
      </c>
      <c r="D299" s="3" t="inlineStr">
        <is>
          <t>HCM</t>
        </is>
      </c>
      <c r="E299" s="3" t="inlineStr">
        <is>
          <t>BẢO TRÂM</t>
        </is>
      </c>
      <c r="F299" s="3" t="inlineStr">
        <is>
          <t>Shopee</t>
        </is>
      </c>
      <c r="G299" s="3" t="inlineStr">
        <is>
          <t>QC1</t>
        </is>
      </c>
      <c r="H299" s="4" t="inlineStr">
        <is>
          <t>Kéo cắt trái cây QC1</t>
        </is>
      </c>
      <c r="I299" s="3" t="inlineStr">
        <is>
          <t>Cái</t>
        </is>
      </c>
      <c r="J299" s="5" t="n">
        <v>38000</v>
      </c>
      <c r="K299" s="5" t="n">
        <v>45000</v>
      </c>
      <c r="L299" s="6" t="n">
        <v>55000</v>
      </c>
      <c r="M299" s="5" t="n"/>
      <c r="N299" s="5">
        <f>IF(AND(ISNUMBER(M299),ISNUMBER(L299)),M299-L299,"")</f>
        <v/>
      </c>
      <c r="O299" s="7">
        <f>IF(AND(ISNUMBER(M299),ISNUMBER(L299),L299&gt;0),(M299-L299)/L299,"")</f>
        <v/>
      </c>
      <c r="P299" s="3">
        <f>IF(O299="","",IF(O299&lt;-0.02,"🔴 Bán phá giá sàn",IF(O299&gt;0.05,"🔵 Bán cao hơn","🟢 Đúng giá sàn TMĐT")))</f>
        <v/>
      </c>
      <c r="Q299" s="3" t="n"/>
      <c r="R299" s="4" t="n"/>
      <c r="S299" s="4" t="n"/>
    </row>
    <row r="300">
      <c r="A300" s="3" t="n">
        <v>299</v>
      </c>
      <c r="B300" s="3" t="inlineStr">
        <is>
          <t>KH002</t>
        </is>
      </c>
      <c r="C300" s="4" t="inlineStr">
        <is>
          <t>Nguyễn Hoàng Phú</t>
        </is>
      </c>
      <c r="D300" s="3" t="inlineStr">
        <is>
          <t>HCM</t>
        </is>
      </c>
      <c r="E300" s="3" t="inlineStr">
        <is>
          <t>BẢO TRÂM</t>
        </is>
      </c>
      <c r="F300" s="3" t="inlineStr">
        <is>
          <t>Shopee</t>
        </is>
      </c>
      <c r="G300" s="3" t="inlineStr">
        <is>
          <t>KB001-Q1</t>
        </is>
      </c>
      <c r="H300" s="4" t="inlineStr">
        <is>
          <t>Kéo KB001-Q1</t>
        </is>
      </c>
      <c r="I300" s="3" t="inlineStr">
        <is>
          <t>Cái</t>
        </is>
      </c>
      <c r="J300" s="5" t="n">
        <v>79000</v>
      </c>
      <c r="K300" s="5" t="n">
        <v>93000</v>
      </c>
      <c r="L300" s="6" t="n">
        <v>115000</v>
      </c>
      <c r="M300" s="5" t="n"/>
      <c r="N300" s="5">
        <f>IF(AND(ISNUMBER(M300),ISNUMBER(L300)),M300-L300,"")</f>
        <v/>
      </c>
      <c r="O300" s="7">
        <f>IF(AND(ISNUMBER(M300),ISNUMBER(L300),L300&gt;0),(M300-L300)/L300,"")</f>
        <v/>
      </c>
      <c r="P300" s="3">
        <f>IF(O300="","",IF(O300&lt;-0.02,"🔴 Bán phá giá sàn",IF(O300&gt;0.05,"🔵 Bán cao hơn","🟢 Đúng giá sàn TMĐT")))</f>
        <v/>
      </c>
      <c r="Q300" s="3" t="n"/>
      <c r="R300" s="4" t="n"/>
      <c r="S300" s="4" t="n"/>
    </row>
    <row r="301">
      <c r="A301" s="3" t="n">
        <v>300</v>
      </c>
      <c r="B301" s="3" t="inlineStr">
        <is>
          <t>KH002</t>
        </is>
      </c>
      <c r="C301" s="4" t="inlineStr">
        <is>
          <t>Nguyễn Hoàng Phú</t>
        </is>
      </c>
      <c r="D301" s="3" t="inlineStr">
        <is>
          <t>HCM</t>
        </is>
      </c>
      <c r="E301" s="3" t="inlineStr">
        <is>
          <t>BẢO TRÂM</t>
        </is>
      </c>
      <c r="F301" s="3" t="inlineStr">
        <is>
          <t>Shopee</t>
        </is>
      </c>
      <c r="G301" s="3" t="inlineStr">
        <is>
          <t>NG107</t>
        </is>
      </c>
      <c r="H301" s="4" t="inlineStr">
        <is>
          <t>Kích nâng gạch NG107</t>
        </is>
      </c>
      <c r="I301" s="3" t="inlineStr">
        <is>
          <t>Cái</t>
        </is>
      </c>
      <c r="J301" s="5" t="n">
        <v>105000</v>
      </c>
      <c r="K301" s="5" t="n">
        <v>124000</v>
      </c>
      <c r="L301" s="6" t="n">
        <v>152000</v>
      </c>
      <c r="M301" s="5" t="n"/>
      <c r="N301" s="5">
        <f>IF(AND(ISNUMBER(M301),ISNUMBER(L301)),M301-L301,"")</f>
        <v/>
      </c>
      <c r="O301" s="7">
        <f>IF(AND(ISNUMBER(M301),ISNUMBER(L301),L301&gt;0),(M301-L301)/L301,"")</f>
        <v/>
      </c>
      <c r="P301" s="3">
        <f>IF(O301="","",IF(O301&lt;-0.02,"🔴 Bán phá giá sàn",IF(O301&gt;0.05,"🔵 Bán cao hơn","🟢 Đúng giá sàn TMĐT")))</f>
        <v/>
      </c>
      <c r="Q301" s="3" t="n"/>
      <c r="R301" s="4" t="n"/>
      <c r="S301" s="4" t="n"/>
    </row>
    <row r="302">
      <c r="A302" s="3" t="n">
        <v>301</v>
      </c>
      <c r="B302" s="3" t="inlineStr">
        <is>
          <t>KH002</t>
        </is>
      </c>
      <c r="C302" s="4" t="inlineStr">
        <is>
          <t>Nguyễn Hoàng Phú</t>
        </is>
      </c>
      <c r="D302" s="3" t="inlineStr">
        <is>
          <t>HCM</t>
        </is>
      </c>
      <c r="E302" s="3" t="inlineStr">
        <is>
          <t>BẢO TRÂM</t>
        </is>
      </c>
      <c r="F302" s="3" t="inlineStr">
        <is>
          <t>Shopee</t>
        </is>
      </c>
      <c r="G302" s="3" t="inlineStr">
        <is>
          <t>KND150</t>
        </is>
      </c>
      <c r="H302" s="4" t="inlineStr">
        <is>
          <t>Kìm cắt chân mạch đa năng KND150</t>
        </is>
      </c>
      <c r="I302" s="3" t="inlineStr">
        <is>
          <t>Cái</t>
        </is>
      </c>
      <c r="J302" s="5" t="n">
        <v>64000</v>
      </c>
      <c r="K302" s="5" t="n">
        <v>76000</v>
      </c>
      <c r="L302" s="6" t="n">
        <v>93000</v>
      </c>
      <c r="M302" s="5" t="n"/>
      <c r="N302" s="5">
        <f>IF(AND(ISNUMBER(M302),ISNUMBER(L302)),M302-L302,"")</f>
        <v/>
      </c>
      <c r="O302" s="7">
        <f>IF(AND(ISNUMBER(M302),ISNUMBER(L302),L302&gt;0),(M302-L302)/L302,"")</f>
        <v/>
      </c>
      <c r="P302" s="3">
        <f>IF(O302="","",IF(O302&lt;-0.02,"🔴 Bán phá giá sàn",IF(O302&gt;0.05,"🔵 Bán cao hơn","🟢 Đúng giá sàn TMĐT")))</f>
        <v/>
      </c>
      <c r="Q302" s="3" t="n"/>
      <c r="R302" s="4" t="n"/>
      <c r="S302" s="4" t="n"/>
    </row>
    <row r="303">
      <c r="A303" s="3" t="n">
        <v>302</v>
      </c>
      <c r="B303" s="3" t="inlineStr">
        <is>
          <t>KH002</t>
        </is>
      </c>
      <c r="C303" s="4" t="inlineStr">
        <is>
          <t>Nguyễn Hoàng Phú</t>
        </is>
      </c>
      <c r="D303" s="3" t="inlineStr">
        <is>
          <t>HCM</t>
        </is>
      </c>
      <c r="E303" s="3" t="inlineStr">
        <is>
          <t>BẢO TRÂM</t>
        </is>
      </c>
      <c r="F303" s="3" t="inlineStr">
        <is>
          <t>Shopee</t>
        </is>
      </c>
      <c r="G303" s="3" t="inlineStr">
        <is>
          <t>KND200</t>
        </is>
      </c>
      <c r="H303" s="4" t="inlineStr">
        <is>
          <t>Kìm cắt tuốt đa năng 5 in1 KND200</t>
        </is>
      </c>
      <c r="I303" s="3" t="inlineStr">
        <is>
          <t>Cái</t>
        </is>
      </c>
      <c r="J303" s="5" t="n">
        <v>72000</v>
      </c>
      <c r="K303" s="5" t="n">
        <v>85000</v>
      </c>
      <c r="L303" s="6" t="n">
        <v>104000</v>
      </c>
      <c r="M303" s="5" t="n"/>
      <c r="N303" s="5">
        <f>IF(AND(ISNUMBER(M303),ISNUMBER(L303)),M303-L303,"")</f>
        <v/>
      </c>
      <c r="O303" s="7">
        <f>IF(AND(ISNUMBER(M303),ISNUMBER(L303),L303&gt;0),(M303-L303)/L303,"")</f>
        <v/>
      </c>
      <c r="P303" s="3">
        <f>IF(O303="","",IF(O303&lt;-0.02,"🔴 Bán phá giá sàn",IF(O303&gt;0.05,"🔵 Bán cao hơn","🟢 Đúng giá sàn TMĐT")))</f>
        <v/>
      </c>
      <c r="Q303" s="3" t="n"/>
      <c r="R303" s="4" t="n"/>
      <c r="S303" s="4" t="n"/>
    </row>
    <row r="304">
      <c r="A304" s="3" t="n">
        <v>303</v>
      </c>
      <c r="B304" s="3" t="inlineStr">
        <is>
          <t>KH002</t>
        </is>
      </c>
      <c r="C304" s="4" t="inlineStr">
        <is>
          <t>Nguyễn Hoàng Phú</t>
        </is>
      </c>
      <c r="D304" s="3" t="inlineStr">
        <is>
          <t>HCM</t>
        </is>
      </c>
      <c r="E304" s="3" t="inlineStr">
        <is>
          <t>BẢO TRÂM</t>
        </is>
      </c>
      <c r="F304" s="3" t="inlineStr">
        <is>
          <t>Shopee</t>
        </is>
      </c>
      <c r="G304" s="3" t="inlineStr">
        <is>
          <t>KS1-250</t>
        </is>
      </c>
      <c r="H304" s="4" t="inlineStr">
        <is>
          <t>Kìm chết KS1-250</t>
        </is>
      </c>
      <c r="I304" s="3" t="inlineStr">
        <is>
          <t>Cái</t>
        </is>
      </c>
      <c r="J304" s="5" t="n">
        <v>132000</v>
      </c>
      <c r="K304" s="5" t="n">
        <v>156000</v>
      </c>
      <c r="L304" s="6" t="n">
        <v>191000</v>
      </c>
      <c r="M304" s="5" t="n"/>
      <c r="N304" s="5">
        <f>IF(AND(ISNUMBER(M304),ISNUMBER(L304)),M304-L304,"")</f>
        <v/>
      </c>
      <c r="O304" s="7">
        <f>IF(AND(ISNUMBER(M304),ISNUMBER(L304),L304&gt;0),(M304-L304)/L304,"")</f>
        <v/>
      </c>
      <c r="P304" s="3">
        <f>IF(O304="","",IF(O304&lt;-0.02,"🔴 Bán phá giá sàn",IF(O304&gt;0.05,"🔵 Bán cao hơn","🟢 Đúng giá sàn TMĐT")))</f>
        <v/>
      </c>
      <c r="Q304" s="3" t="n"/>
      <c r="R304" s="4" t="n"/>
      <c r="S304" s="4" t="n"/>
    </row>
    <row r="305">
      <c r="A305" s="3" t="n">
        <v>304</v>
      </c>
      <c r="B305" s="3" t="inlineStr">
        <is>
          <t>KH002</t>
        </is>
      </c>
      <c r="C305" s="4" t="inlineStr">
        <is>
          <t>Nguyễn Hoàng Phú</t>
        </is>
      </c>
      <c r="D305" s="3" t="inlineStr">
        <is>
          <t>HCM</t>
        </is>
      </c>
      <c r="E305" s="3" t="inlineStr">
        <is>
          <t>BẢO TRÂM</t>
        </is>
      </c>
      <c r="F305" s="3" t="inlineStr">
        <is>
          <t>Shopee</t>
        </is>
      </c>
      <c r="G305" s="3" t="inlineStr">
        <is>
          <t>KS2-250</t>
        </is>
      </c>
      <c r="H305" s="4" t="inlineStr">
        <is>
          <t>Kìm chết KS2-250</t>
        </is>
      </c>
      <c r="I305" s="3" t="inlineStr">
        <is>
          <t>Cái</t>
        </is>
      </c>
      <c r="J305" s="5" t="n">
        <v>149000</v>
      </c>
      <c r="K305" s="5" t="n">
        <v>176000</v>
      </c>
      <c r="L305" s="6" t="n">
        <v>216000</v>
      </c>
      <c r="M305" s="5" t="n"/>
      <c r="N305" s="5">
        <f>IF(AND(ISNUMBER(M305),ISNUMBER(L305)),M305-L305,"")</f>
        <v/>
      </c>
      <c r="O305" s="7">
        <f>IF(AND(ISNUMBER(M305),ISNUMBER(L305),L305&gt;0),(M305-L305)/L305,"")</f>
        <v/>
      </c>
      <c r="P305" s="3">
        <f>IF(O305="","",IF(O305&lt;-0.02,"🔴 Bán phá giá sàn",IF(O305&gt;0.05,"🔵 Bán cao hơn","🟢 Đúng giá sàn TMĐT")))</f>
        <v/>
      </c>
      <c r="Q305" s="3" t="n"/>
      <c r="R305" s="4" t="n"/>
      <c r="S305" s="4" t="n"/>
    </row>
    <row r="306">
      <c r="A306" s="3" t="n">
        <v>305</v>
      </c>
      <c r="B306" s="3" t="inlineStr">
        <is>
          <t>KH002</t>
        </is>
      </c>
      <c r="C306" s="4" t="inlineStr">
        <is>
          <t>Nguyễn Hoàng Phú</t>
        </is>
      </c>
      <c r="D306" s="3" t="inlineStr">
        <is>
          <t>HCM</t>
        </is>
      </c>
      <c r="E306" s="3" t="inlineStr">
        <is>
          <t>BẢO TRÂM</t>
        </is>
      </c>
      <c r="F306" s="3" t="inlineStr">
        <is>
          <t>Shopee</t>
        </is>
      </c>
      <c r="G306" s="3" t="inlineStr">
        <is>
          <t>KS5-254</t>
        </is>
      </c>
      <c r="H306" s="4" t="inlineStr">
        <is>
          <t>Kìm chết mỏ dẹt KS5-254</t>
        </is>
      </c>
      <c r="I306" s="3" t="inlineStr">
        <is>
          <t>Cái</t>
        </is>
      </c>
      <c r="J306" s="5" t="n">
        <v>176000</v>
      </c>
      <c r="K306" s="5" t="n">
        <v>208000</v>
      </c>
      <c r="L306" s="6" t="n">
        <v>255000</v>
      </c>
      <c r="M306" s="5" t="n"/>
      <c r="N306" s="5">
        <f>IF(AND(ISNUMBER(M306),ISNUMBER(L306)),M306-L306,"")</f>
        <v/>
      </c>
      <c r="O306" s="7">
        <f>IF(AND(ISNUMBER(M306),ISNUMBER(L306),L306&gt;0),(M306-L306)/L306,"")</f>
        <v/>
      </c>
      <c r="P306" s="3">
        <f>IF(O306="","",IF(O306&lt;-0.02,"🔴 Bán phá giá sàn",IF(O306&gt;0.05,"🔵 Bán cao hơn","🟢 Đúng giá sàn TMĐT")))</f>
        <v/>
      </c>
      <c r="Q306" s="3" t="n"/>
      <c r="R306" s="4" t="n"/>
      <c r="S306" s="4" t="n"/>
    </row>
    <row r="307">
      <c r="A307" s="3" t="n">
        <v>306</v>
      </c>
      <c r="B307" s="3" t="inlineStr">
        <is>
          <t>KH002</t>
        </is>
      </c>
      <c r="C307" s="4" t="inlineStr">
        <is>
          <t>Nguyễn Hoàng Phú</t>
        </is>
      </c>
      <c r="D307" s="3" t="inlineStr">
        <is>
          <t>HCM</t>
        </is>
      </c>
      <c r="E307" s="3" t="inlineStr">
        <is>
          <t>BẢO TRÂM</t>
        </is>
      </c>
      <c r="F307" s="3" t="inlineStr">
        <is>
          <t>Shopee</t>
        </is>
      </c>
      <c r="G307" s="3" t="inlineStr">
        <is>
          <t>KS4-260</t>
        </is>
      </c>
      <c r="H307" s="4" t="inlineStr">
        <is>
          <t>Kìm chết ngàm rộng 4 chế độ KS4-260</t>
        </is>
      </c>
      <c r="I307" s="3" t="inlineStr">
        <is>
          <t>Cái</t>
        </is>
      </c>
      <c r="J307" s="5" t="n">
        <v>270000</v>
      </c>
      <c r="K307" s="5" t="n">
        <v>319000</v>
      </c>
      <c r="L307" s="6" t="n">
        <v>392000</v>
      </c>
      <c r="M307" s="5" t="n"/>
      <c r="N307" s="5">
        <f>IF(AND(ISNUMBER(M307),ISNUMBER(L307)),M307-L307,"")</f>
        <v/>
      </c>
      <c r="O307" s="7">
        <f>IF(AND(ISNUMBER(M307),ISNUMBER(L307),L307&gt;0),(M307-L307)/L307,"")</f>
        <v/>
      </c>
      <c r="P307" s="3">
        <f>IF(O307="","",IF(O307&lt;-0.02,"🔴 Bán phá giá sàn",IF(O307&gt;0.05,"🔵 Bán cao hơn","🟢 Đúng giá sàn TMĐT")))</f>
        <v/>
      </c>
      <c r="Q307" s="3" t="n"/>
      <c r="R307" s="4" t="n"/>
      <c r="S307" s="4" t="n"/>
    </row>
    <row r="308">
      <c r="A308" s="3" t="n">
        <v>307</v>
      </c>
      <c r="B308" s="3" t="inlineStr">
        <is>
          <t>KH002</t>
        </is>
      </c>
      <c r="C308" s="4" t="inlineStr">
        <is>
          <t>Nguyễn Hoàng Phú</t>
        </is>
      </c>
      <c r="D308" s="3" t="inlineStr">
        <is>
          <t>HCM</t>
        </is>
      </c>
      <c r="E308" s="3" t="inlineStr">
        <is>
          <t>BẢO TRÂM</t>
        </is>
      </c>
      <c r="F308" s="3" t="inlineStr">
        <is>
          <t>Shopee</t>
        </is>
      </c>
      <c r="G308" s="3" t="inlineStr">
        <is>
          <t>KS-264</t>
        </is>
      </c>
      <c r="H308" s="4" t="inlineStr">
        <is>
          <t>Kìm chết ngàm rộng KS-264</t>
        </is>
      </c>
      <c r="I308" s="3" t="inlineStr">
        <is>
          <t>Cái</t>
        </is>
      </c>
      <c r="J308" s="5" t="n">
        <v>352000</v>
      </c>
      <c r="K308" s="5" t="n">
        <v>415000</v>
      </c>
      <c r="L308" s="6" t="n">
        <v>510000</v>
      </c>
      <c r="M308" s="5" t="n"/>
      <c r="N308" s="5">
        <f>IF(AND(ISNUMBER(M308),ISNUMBER(L308)),M308-L308,"")</f>
        <v/>
      </c>
      <c r="O308" s="7">
        <f>IF(AND(ISNUMBER(M308),ISNUMBER(L308),L308&gt;0),(M308-L308)/L308,"")</f>
        <v/>
      </c>
      <c r="P308" s="3">
        <f>IF(O308="","",IF(O308&lt;-0.02,"🔴 Bán phá giá sàn",IF(O308&gt;0.05,"🔵 Bán cao hơn","🟢 Đúng giá sàn TMĐT")))</f>
        <v/>
      </c>
      <c r="Q308" s="3" t="n"/>
      <c r="R308" s="4" t="n"/>
      <c r="S308" s="4" t="n"/>
    </row>
    <row r="309">
      <c r="A309" s="3" t="n">
        <v>308</v>
      </c>
      <c r="B309" s="3" t="inlineStr">
        <is>
          <t>KH002</t>
        </is>
      </c>
      <c r="C309" s="4" t="inlineStr">
        <is>
          <t>Nguyễn Hoàng Phú</t>
        </is>
      </c>
      <c r="D309" s="3" t="inlineStr">
        <is>
          <t>HCM</t>
        </is>
      </c>
      <c r="E309" s="3" t="inlineStr">
        <is>
          <t>BẢO TRÂM</t>
        </is>
      </c>
      <c r="F309" s="3" t="inlineStr">
        <is>
          <t>Shopee</t>
        </is>
      </c>
      <c r="G309" s="3" t="inlineStr">
        <is>
          <t>KS3-208</t>
        </is>
      </c>
      <c r="H309" s="4" t="inlineStr">
        <is>
          <t>Kìm chữ C KS3-208</t>
        </is>
      </c>
      <c r="I309" s="3" t="inlineStr">
        <is>
          <t>Cái</t>
        </is>
      </c>
      <c r="J309" s="5" t="n">
        <v>132000</v>
      </c>
      <c r="K309" s="5" t="n">
        <v>156000</v>
      </c>
      <c r="L309" s="6" t="n">
        <v>191000</v>
      </c>
      <c r="M309" s="5" t="n"/>
      <c r="N309" s="5">
        <f>IF(AND(ISNUMBER(M309),ISNUMBER(L309)),M309-L309,"")</f>
        <v/>
      </c>
      <c r="O309" s="7">
        <f>IF(AND(ISNUMBER(M309),ISNUMBER(L309),L309&gt;0),(M309-L309)/L309,"")</f>
        <v/>
      </c>
      <c r="P309" s="3">
        <f>IF(O309="","",IF(O309&lt;-0.02,"🔴 Bán phá giá sàn",IF(O309&gt;0.05,"🔵 Bán cao hơn","🟢 Đúng giá sàn TMĐT")))</f>
        <v/>
      </c>
      <c r="Q309" s="3" t="n"/>
      <c r="R309" s="4" t="n"/>
      <c r="S309" s="4" t="n"/>
    </row>
    <row r="310">
      <c r="A310" s="3" t="n">
        <v>309</v>
      </c>
      <c r="B310" s="3" t="inlineStr">
        <is>
          <t>KH002</t>
        </is>
      </c>
      <c r="C310" s="4" t="inlineStr">
        <is>
          <t>Nguyễn Hoàng Phú</t>
        </is>
      </c>
      <c r="D310" s="3" t="inlineStr">
        <is>
          <t>HCM</t>
        </is>
      </c>
      <c r="E310" s="3" t="inlineStr">
        <is>
          <t>BẢO TRÂM</t>
        </is>
      </c>
      <c r="F310" s="3" t="inlineStr">
        <is>
          <t>Shopee</t>
        </is>
      </c>
      <c r="G310" s="3" t="inlineStr">
        <is>
          <t>KJ-105</t>
        </is>
      </c>
      <c r="H310" s="4" t="inlineStr">
        <is>
          <t>Kìm rút đinh rút KJ-105</t>
        </is>
      </c>
      <c r="I310" s="3" t="inlineStr">
        <is>
          <t>Cái</t>
        </is>
      </c>
      <c r="J310" s="5" t="n">
        <v>154000</v>
      </c>
      <c r="K310" s="5" t="n">
        <v>182000</v>
      </c>
      <c r="L310" s="6" t="n">
        <v>223000</v>
      </c>
      <c r="M310" s="5" t="n"/>
      <c r="N310" s="5">
        <f>IF(AND(ISNUMBER(M310),ISNUMBER(L310)),M310-L310,"")</f>
        <v/>
      </c>
      <c r="O310" s="7">
        <f>IF(AND(ISNUMBER(M310),ISNUMBER(L310),L310&gt;0),(M310-L310)/L310,"")</f>
        <v/>
      </c>
      <c r="P310" s="3">
        <f>IF(O310="","",IF(O310&lt;-0.02,"🔴 Bán phá giá sàn",IF(O310&gt;0.05,"🔵 Bán cao hơn","🟢 Đúng giá sàn TMĐT")))</f>
        <v/>
      </c>
      <c r="Q310" s="3" t="n"/>
      <c r="R310" s="4" t="n"/>
      <c r="S310" s="4" t="n"/>
    </row>
    <row r="311">
      <c r="A311" s="3" t="n">
        <v>310</v>
      </c>
      <c r="B311" s="3" t="inlineStr">
        <is>
          <t>KH002</t>
        </is>
      </c>
      <c r="C311" s="4" t="inlineStr">
        <is>
          <t>Nguyễn Hoàng Phú</t>
        </is>
      </c>
      <c r="D311" s="3" t="inlineStr">
        <is>
          <t>HCM</t>
        </is>
      </c>
      <c r="E311" s="3" t="inlineStr">
        <is>
          <t>BẢO TRÂM</t>
        </is>
      </c>
      <c r="F311" s="3" t="inlineStr">
        <is>
          <t>Shopee</t>
        </is>
      </c>
      <c r="G311" s="3" t="inlineStr">
        <is>
          <t>KND180</t>
        </is>
      </c>
      <c r="H311" s="4" t="inlineStr">
        <is>
          <t>Kìm tuốt dây điện đa năng KND180</t>
        </is>
      </c>
      <c r="I311" s="3" t="inlineStr">
        <is>
          <t>Cái</t>
        </is>
      </c>
      <c r="J311" s="5" t="n">
        <v>127000</v>
      </c>
      <c r="K311" s="5" t="n">
        <v>150000</v>
      </c>
      <c r="L311" s="6" t="n">
        <v>184000</v>
      </c>
      <c r="M311" s="5" t="n"/>
      <c r="N311" s="5">
        <f>IF(AND(ISNUMBER(M311),ISNUMBER(L311)),M311-L311,"")</f>
        <v/>
      </c>
      <c r="O311" s="7">
        <f>IF(AND(ISNUMBER(M311),ISNUMBER(L311),L311&gt;0),(M311-L311)/L311,"")</f>
        <v/>
      </c>
      <c r="P311" s="3">
        <f>IF(O311="","",IF(O311&lt;-0.02,"🔴 Bán phá giá sàn",IF(O311&gt;0.05,"🔵 Bán cao hơn","🟢 Đúng giá sàn TMĐT")))</f>
        <v/>
      </c>
      <c r="Q311" s="3" t="n"/>
      <c r="R311" s="4" t="n"/>
      <c r="S311" s="4" t="n"/>
    </row>
    <row r="312">
      <c r="A312" s="3" t="n">
        <v>311</v>
      </c>
      <c r="B312" s="3" t="inlineStr">
        <is>
          <t>KH002</t>
        </is>
      </c>
      <c r="C312" s="4" t="inlineStr">
        <is>
          <t>Nguyễn Hoàng Phú</t>
        </is>
      </c>
      <c r="D312" s="3" t="inlineStr">
        <is>
          <t>HCM</t>
        </is>
      </c>
      <c r="E312" s="3" t="inlineStr">
        <is>
          <t>BẢO TRÂM</t>
        </is>
      </c>
      <c r="F312" s="3" t="inlineStr">
        <is>
          <t>Shopee</t>
        </is>
      </c>
      <c r="G312" s="3" t="inlineStr">
        <is>
          <t>KND205</t>
        </is>
      </c>
      <c r="H312" s="4" t="inlineStr">
        <is>
          <t>Kìm tuốt dây điện đa năng KND205</t>
        </is>
      </c>
      <c r="I312" s="3" t="inlineStr">
        <is>
          <t>Cái</t>
        </is>
      </c>
      <c r="J312" s="5" t="n">
        <v>160000</v>
      </c>
      <c r="K312" s="5" t="n">
        <v>189000</v>
      </c>
      <c r="L312" s="6" t="n">
        <v>232000</v>
      </c>
      <c r="M312" s="5" t="n"/>
      <c r="N312" s="5">
        <f>IF(AND(ISNUMBER(M312),ISNUMBER(L312)),M312-L312,"")</f>
        <v/>
      </c>
      <c r="O312" s="7">
        <f>IF(AND(ISNUMBER(M312),ISNUMBER(L312),L312&gt;0),(M312-L312)/L312,"")</f>
        <v/>
      </c>
      <c r="P312" s="3">
        <f>IF(O312="","",IF(O312&lt;-0.02,"🔴 Bán phá giá sàn",IF(O312&gt;0.05,"🔵 Bán cao hơn","🟢 Đúng giá sàn TMĐT")))</f>
        <v/>
      </c>
      <c r="Q312" s="3" t="n"/>
      <c r="R312" s="4" t="n"/>
      <c r="S312" s="4" t="n"/>
    </row>
    <row r="313">
      <c r="A313" s="3" t="n">
        <v>312</v>
      </c>
      <c r="B313" s="3" t="inlineStr">
        <is>
          <t>KH002</t>
        </is>
      </c>
      <c r="C313" s="4" t="inlineStr">
        <is>
          <t>Nguyễn Hoàng Phú</t>
        </is>
      </c>
      <c r="D313" s="3" t="inlineStr">
        <is>
          <t>HCM</t>
        </is>
      </c>
      <c r="E313" s="3" t="inlineStr">
        <is>
          <t>BẢO TRÂM</t>
        </is>
      </c>
      <c r="F313" s="3" t="inlineStr">
        <is>
          <t>Shopee</t>
        </is>
      </c>
      <c r="G313" s="3" t="inlineStr">
        <is>
          <t>KBM2-06*160</t>
        </is>
      </c>
      <c r="H313" s="4" t="inlineStr">
        <is>
          <t>Khoan bê tông chuôi lục giác KBM2-06*160</t>
        </is>
      </c>
      <c r="I313" s="3" t="inlineStr">
        <is>
          <t>Cái</t>
        </is>
      </c>
      <c r="J313" s="5" t="n">
        <v>22000</v>
      </c>
      <c r="K313" s="5" t="n">
        <v>27000</v>
      </c>
      <c r="L313" s="6" t="n">
        <v>34000</v>
      </c>
      <c r="M313" s="5" t="n"/>
      <c r="N313" s="5">
        <f>IF(AND(ISNUMBER(M313),ISNUMBER(L313)),M313-L313,"")</f>
        <v/>
      </c>
      <c r="O313" s="7">
        <f>IF(AND(ISNUMBER(M313),ISNUMBER(L313),L313&gt;0),(M313-L313)/L313,"")</f>
        <v/>
      </c>
      <c r="P313" s="3">
        <f>IF(O313="","",IF(O313&lt;-0.02,"🔴 Bán phá giá sàn",IF(O313&gt;0.05,"🔵 Bán cao hơn","🟢 Đúng giá sàn TMĐT")))</f>
        <v/>
      </c>
      <c r="Q313" s="3" t="n"/>
      <c r="R313" s="4" t="n"/>
      <c r="S313" s="4" t="n"/>
    </row>
    <row r="314">
      <c r="A314" s="3" t="n">
        <v>313</v>
      </c>
      <c r="B314" s="3" t="inlineStr">
        <is>
          <t>KH002</t>
        </is>
      </c>
      <c r="C314" s="4" t="inlineStr">
        <is>
          <t>Nguyễn Hoàng Phú</t>
        </is>
      </c>
      <c r="D314" s="3" t="inlineStr">
        <is>
          <t>HCM</t>
        </is>
      </c>
      <c r="E314" s="3" t="inlineStr">
        <is>
          <t>BẢO TRÂM</t>
        </is>
      </c>
      <c r="F314" s="3" t="inlineStr">
        <is>
          <t>Shopee</t>
        </is>
      </c>
      <c r="G314" s="3" t="inlineStr">
        <is>
          <t>KBM2-08*160</t>
        </is>
      </c>
      <c r="H314" s="4" t="inlineStr">
        <is>
          <t>Khoan bê tông chuôi lục giác KBM2-08*160</t>
        </is>
      </c>
      <c r="I314" s="3" t="inlineStr">
        <is>
          <t>Cái</t>
        </is>
      </c>
      <c r="J314" s="5" t="n">
        <v>24000</v>
      </c>
      <c r="K314" s="5" t="n">
        <v>29000</v>
      </c>
      <c r="L314" s="6" t="n">
        <v>37000</v>
      </c>
      <c r="M314" s="5" t="n"/>
      <c r="N314" s="5">
        <f>IF(AND(ISNUMBER(M314),ISNUMBER(L314)),M314-L314,"")</f>
        <v/>
      </c>
      <c r="O314" s="7">
        <f>IF(AND(ISNUMBER(M314),ISNUMBER(L314),L314&gt;0),(M314-L314)/L314,"")</f>
        <v/>
      </c>
      <c r="P314" s="3">
        <f>IF(O314="","",IF(O314&lt;-0.02,"🔴 Bán phá giá sàn",IF(O314&gt;0.05,"🔵 Bán cao hơn","🟢 Đúng giá sàn TMĐT")))</f>
        <v/>
      </c>
      <c r="Q314" s="3" t="n"/>
      <c r="R314" s="4" t="n"/>
      <c r="S314" s="4" t="n"/>
    </row>
    <row r="315">
      <c r="A315" s="3" t="n">
        <v>314</v>
      </c>
      <c r="B315" s="3" t="inlineStr">
        <is>
          <t>KH002</t>
        </is>
      </c>
      <c r="C315" s="4" t="inlineStr">
        <is>
          <t>Nguyễn Hoàng Phú</t>
        </is>
      </c>
      <c r="D315" s="3" t="inlineStr">
        <is>
          <t>HCM</t>
        </is>
      </c>
      <c r="E315" s="3" t="inlineStr">
        <is>
          <t>BẢO TRÂM</t>
        </is>
      </c>
      <c r="F315" s="3" t="inlineStr">
        <is>
          <t>Shopee</t>
        </is>
      </c>
      <c r="G315" s="3" t="inlineStr">
        <is>
          <t>KBM2-10*160</t>
        </is>
      </c>
      <c r="H315" s="4" t="inlineStr">
        <is>
          <t>Khoan bê tông chuôi lục giác KBM2-10*160</t>
        </is>
      </c>
      <c r="I315" s="3" t="inlineStr">
        <is>
          <t>Cái</t>
        </is>
      </c>
      <c r="J315" s="5" t="n">
        <v>28000</v>
      </c>
      <c r="K315" s="5" t="n">
        <v>34000</v>
      </c>
      <c r="L315" s="6" t="n">
        <v>43000</v>
      </c>
      <c r="M315" s="5" t="n"/>
      <c r="N315" s="5">
        <f>IF(AND(ISNUMBER(M315),ISNUMBER(L315)),M315-L315,"")</f>
        <v/>
      </c>
      <c r="O315" s="7">
        <f>IF(AND(ISNUMBER(M315),ISNUMBER(L315),L315&gt;0),(M315-L315)/L315,"")</f>
        <v/>
      </c>
      <c r="P315" s="3">
        <f>IF(O315="","",IF(O315&lt;-0.02,"🔴 Bán phá giá sàn",IF(O315&gt;0.05,"🔵 Bán cao hơn","🟢 Đúng giá sàn TMĐT")))</f>
        <v/>
      </c>
      <c r="Q315" s="3" t="n"/>
      <c r="R315" s="4" t="n"/>
      <c r="S315" s="4" t="n"/>
    </row>
    <row r="316">
      <c r="A316" s="3" t="n">
        <v>315</v>
      </c>
      <c r="B316" s="3" t="inlineStr">
        <is>
          <t>KH002</t>
        </is>
      </c>
      <c r="C316" s="4" t="inlineStr">
        <is>
          <t>Nguyễn Hoàng Phú</t>
        </is>
      </c>
      <c r="D316" s="3" t="inlineStr">
        <is>
          <t>HCM</t>
        </is>
      </c>
      <c r="E316" s="3" t="inlineStr">
        <is>
          <t>BẢO TRÂM</t>
        </is>
      </c>
      <c r="F316" s="3" t="inlineStr">
        <is>
          <t>Shopee</t>
        </is>
      </c>
      <c r="G316" s="3" t="inlineStr">
        <is>
          <t>KBY3-020CO</t>
        </is>
      </c>
      <c r="H316" s="4" t="inlineStr">
        <is>
          <t>Khoan inox chuôi lục KBY3-020CO</t>
        </is>
      </c>
      <c r="I316" s="3" t="inlineStr">
        <is>
          <t>Vỉ</t>
        </is>
      </c>
      <c r="J316" s="5" t="n">
        <v>28000</v>
      </c>
      <c r="K316" s="5" t="n">
        <v>35000</v>
      </c>
      <c r="L316" s="6" t="n">
        <v>45000</v>
      </c>
      <c r="M316" s="5" t="n"/>
      <c r="N316" s="5">
        <f>IF(AND(ISNUMBER(M316),ISNUMBER(L316)),M316-L316,"")</f>
        <v/>
      </c>
      <c r="O316" s="7">
        <f>IF(AND(ISNUMBER(M316),ISNUMBER(L316),L316&gt;0),(M316-L316)/L316,"")</f>
        <v/>
      </c>
      <c r="P316" s="3">
        <f>IF(O316="","",IF(O316&lt;-0.02,"🔴 Bán phá giá sàn",IF(O316&gt;0.05,"🔵 Bán cao hơn","🟢 Đúng giá sàn TMĐT")))</f>
        <v/>
      </c>
      <c r="Q316" s="3" t="n"/>
      <c r="R316" s="4" t="n"/>
      <c r="S316" s="4" t="n"/>
    </row>
    <row r="317">
      <c r="A317" s="3" t="n">
        <v>316</v>
      </c>
      <c r="B317" s="3" t="inlineStr">
        <is>
          <t>KH002</t>
        </is>
      </c>
      <c r="C317" s="4" t="inlineStr">
        <is>
          <t>Nguyễn Hoàng Phú</t>
        </is>
      </c>
      <c r="D317" s="3" t="inlineStr">
        <is>
          <t>HCM</t>
        </is>
      </c>
      <c r="E317" s="3" t="inlineStr">
        <is>
          <t>BẢO TRÂM</t>
        </is>
      </c>
      <c r="F317" s="3" t="inlineStr">
        <is>
          <t>Shopee</t>
        </is>
      </c>
      <c r="G317" s="3" t="inlineStr">
        <is>
          <t>KBY3-025CO</t>
        </is>
      </c>
      <c r="H317" s="4" t="inlineStr">
        <is>
          <t>Khoan inox chuôi lục KBY3-025CO</t>
        </is>
      </c>
      <c r="I317" s="3" t="inlineStr">
        <is>
          <t>Vỉ</t>
        </is>
      </c>
      <c r="J317" s="5" t="n">
        <v>28000</v>
      </c>
      <c r="K317" s="5" t="n">
        <v>35000</v>
      </c>
      <c r="L317" s="6" t="n">
        <v>45000</v>
      </c>
      <c r="M317" s="5" t="n"/>
      <c r="N317" s="5">
        <f>IF(AND(ISNUMBER(M317),ISNUMBER(L317)),M317-L317,"")</f>
        <v/>
      </c>
      <c r="O317" s="7">
        <f>IF(AND(ISNUMBER(M317),ISNUMBER(L317),L317&gt;0),(M317-L317)/L317,"")</f>
        <v/>
      </c>
      <c r="P317" s="3">
        <f>IF(O317="","",IF(O317&lt;-0.02,"🔴 Bán phá giá sàn",IF(O317&gt;0.05,"🔵 Bán cao hơn","🟢 Đúng giá sàn TMĐT")))</f>
        <v/>
      </c>
      <c r="Q317" s="3" t="n"/>
      <c r="R317" s="4" t="n"/>
      <c r="S317" s="4" t="n"/>
    </row>
    <row r="318">
      <c r="A318" s="3" t="n">
        <v>317</v>
      </c>
      <c r="B318" s="3" t="inlineStr">
        <is>
          <t>KH002</t>
        </is>
      </c>
      <c r="C318" s="4" t="inlineStr">
        <is>
          <t>Nguyễn Hoàng Phú</t>
        </is>
      </c>
      <c r="D318" s="3" t="inlineStr">
        <is>
          <t>HCM</t>
        </is>
      </c>
      <c r="E318" s="3" t="inlineStr">
        <is>
          <t>BẢO TRÂM</t>
        </is>
      </c>
      <c r="F318" s="3" t="inlineStr">
        <is>
          <t>Shopee</t>
        </is>
      </c>
      <c r="G318" s="3" t="inlineStr">
        <is>
          <t>KBY3-030CO</t>
        </is>
      </c>
      <c r="H318" s="4" t="inlineStr">
        <is>
          <t>Khoan inox chuôi lục KBY3-030CO</t>
        </is>
      </c>
      <c r="I318" s="3" t="inlineStr">
        <is>
          <t>Vỉ</t>
        </is>
      </c>
      <c r="J318" s="5" t="n">
        <v>31000</v>
      </c>
      <c r="K318" s="5" t="n">
        <v>39000</v>
      </c>
      <c r="L318" s="6" t="n">
        <v>50000</v>
      </c>
      <c r="M318" s="5" t="n"/>
      <c r="N318" s="5">
        <f>IF(AND(ISNUMBER(M318),ISNUMBER(L318)),M318-L318,"")</f>
        <v/>
      </c>
      <c r="O318" s="7">
        <f>IF(AND(ISNUMBER(M318),ISNUMBER(L318),L318&gt;0),(M318-L318)/L318,"")</f>
        <v/>
      </c>
      <c r="P318" s="3">
        <f>IF(O318="","",IF(O318&lt;-0.02,"🔴 Bán phá giá sàn",IF(O318&gt;0.05,"🔵 Bán cao hơn","🟢 Đúng giá sàn TMĐT")))</f>
        <v/>
      </c>
      <c r="Q318" s="3" t="n"/>
      <c r="R318" s="4" t="n"/>
      <c r="S318" s="4" t="n"/>
    </row>
    <row r="319">
      <c r="A319" s="3" t="n">
        <v>318</v>
      </c>
      <c r="B319" s="3" t="inlineStr">
        <is>
          <t>KH002</t>
        </is>
      </c>
      <c r="C319" s="4" t="inlineStr">
        <is>
          <t>Nguyễn Hoàng Phú</t>
        </is>
      </c>
      <c r="D319" s="3" t="inlineStr">
        <is>
          <t>HCM</t>
        </is>
      </c>
      <c r="E319" s="3" t="inlineStr">
        <is>
          <t>BẢO TRÂM</t>
        </is>
      </c>
      <c r="F319" s="3" t="inlineStr">
        <is>
          <t>Shopee</t>
        </is>
      </c>
      <c r="G319" s="3" t="inlineStr">
        <is>
          <t>KBY3-032CO</t>
        </is>
      </c>
      <c r="H319" s="4" t="inlineStr">
        <is>
          <t>Khoan inox chuôi lục KBY3-032CO</t>
        </is>
      </c>
      <c r="I319" s="3" t="inlineStr">
        <is>
          <t>Vỉ</t>
        </is>
      </c>
      <c r="J319" s="5" t="n">
        <v>35000</v>
      </c>
      <c r="K319" s="5" t="n">
        <v>43000</v>
      </c>
      <c r="L319" s="6" t="n">
        <v>56000</v>
      </c>
      <c r="M319" s="5" t="n"/>
      <c r="N319" s="5">
        <f>IF(AND(ISNUMBER(M319),ISNUMBER(L319)),M319-L319,"")</f>
        <v/>
      </c>
      <c r="O319" s="7">
        <f>IF(AND(ISNUMBER(M319),ISNUMBER(L319),L319&gt;0),(M319-L319)/L319,"")</f>
        <v/>
      </c>
      <c r="P319" s="3">
        <f>IF(O319="","",IF(O319&lt;-0.02,"🔴 Bán phá giá sàn",IF(O319&gt;0.05,"🔵 Bán cao hơn","🟢 Đúng giá sàn TMĐT")))</f>
        <v/>
      </c>
      <c r="Q319" s="3" t="n"/>
      <c r="R319" s="4" t="n"/>
      <c r="S319" s="4" t="n"/>
    </row>
    <row r="320">
      <c r="A320" s="3" t="n">
        <v>319</v>
      </c>
      <c r="B320" s="3" t="inlineStr">
        <is>
          <t>KH002</t>
        </is>
      </c>
      <c r="C320" s="4" t="inlineStr">
        <is>
          <t>Nguyễn Hoàng Phú</t>
        </is>
      </c>
      <c r="D320" s="3" t="inlineStr">
        <is>
          <t>HCM</t>
        </is>
      </c>
      <c r="E320" s="3" t="inlineStr">
        <is>
          <t>BẢO TRÂM</t>
        </is>
      </c>
      <c r="F320" s="3" t="inlineStr">
        <is>
          <t>Shopee</t>
        </is>
      </c>
      <c r="G320" s="3" t="inlineStr">
        <is>
          <t>KBY3-035CO</t>
        </is>
      </c>
      <c r="H320" s="4" t="inlineStr">
        <is>
          <t>Khoan inox chuôi lục KBY3-035CO</t>
        </is>
      </c>
      <c r="I320" s="3" t="inlineStr">
        <is>
          <t>Vỉ</t>
        </is>
      </c>
      <c r="J320" s="5" t="n">
        <v>36000</v>
      </c>
      <c r="K320" s="5" t="n">
        <v>45000</v>
      </c>
      <c r="L320" s="6" t="n">
        <v>58000</v>
      </c>
      <c r="M320" s="5" t="n"/>
      <c r="N320" s="5">
        <f>IF(AND(ISNUMBER(M320),ISNUMBER(L320)),M320-L320,"")</f>
        <v/>
      </c>
      <c r="O320" s="7">
        <f>IF(AND(ISNUMBER(M320),ISNUMBER(L320),L320&gt;0),(M320-L320)/L320,"")</f>
        <v/>
      </c>
      <c r="P320" s="3">
        <f>IF(O320="","",IF(O320&lt;-0.02,"🔴 Bán phá giá sàn",IF(O320&gt;0.05,"🔵 Bán cao hơn","🟢 Đúng giá sàn TMĐT")))</f>
        <v/>
      </c>
      <c r="Q320" s="3" t="n"/>
      <c r="R320" s="4" t="n"/>
      <c r="S320" s="4" t="n"/>
    </row>
    <row r="321">
      <c r="A321" s="3" t="n">
        <v>320</v>
      </c>
      <c r="B321" s="3" t="inlineStr">
        <is>
          <t>KH002</t>
        </is>
      </c>
      <c r="C321" s="4" t="inlineStr">
        <is>
          <t>Nguyễn Hoàng Phú</t>
        </is>
      </c>
      <c r="D321" s="3" t="inlineStr">
        <is>
          <t>HCM</t>
        </is>
      </c>
      <c r="E321" s="3" t="inlineStr">
        <is>
          <t>BẢO TRÂM</t>
        </is>
      </c>
      <c r="F321" s="3" t="inlineStr">
        <is>
          <t>Shopee</t>
        </is>
      </c>
      <c r="G321" s="3" t="inlineStr">
        <is>
          <t>KBY3-040CO</t>
        </is>
      </c>
      <c r="H321" s="4" t="inlineStr">
        <is>
          <t>Khoan inox chuôi lục KBY3-040CO</t>
        </is>
      </c>
      <c r="I321" s="3" t="inlineStr">
        <is>
          <t>Vỉ</t>
        </is>
      </c>
      <c r="J321" s="5" t="n">
        <v>40000</v>
      </c>
      <c r="K321" s="5" t="n">
        <v>50000</v>
      </c>
      <c r="L321" s="6" t="n">
        <v>64000</v>
      </c>
      <c r="M321" s="5" t="n"/>
      <c r="N321" s="5">
        <f>IF(AND(ISNUMBER(M321),ISNUMBER(L321)),M321-L321,"")</f>
        <v/>
      </c>
      <c r="O321" s="7">
        <f>IF(AND(ISNUMBER(M321),ISNUMBER(L321),L321&gt;0),(M321-L321)/L321,"")</f>
        <v/>
      </c>
      <c r="P321" s="3">
        <f>IF(O321="","",IF(O321&lt;-0.02,"🔴 Bán phá giá sàn",IF(O321&gt;0.05,"🔵 Bán cao hơn","🟢 Đúng giá sàn TMĐT")))</f>
        <v/>
      </c>
      <c r="Q321" s="3" t="n"/>
      <c r="R321" s="4" t="n"/>
      <c r="S321" s="4" t="n"/>
    </row>
    <row r="322">
      <c r="A322" s="3" t="n">
        <v>321</v>
      </c>
      <c r="B322" s="3" t="inlineStr">
        <is>
          <t>KH002</t>
        </is>
      </c>
      <c r="C322" s="4" t="inlineStr">
        <is>
          <t>Nguyễn Hoàng Phú</t>
        </is>
      </c>
      <c r="D322" s="3" t="inlineStr">
        <is>
          <t>HCM</t>
        </is>
      </c>
      <c r="E322" s="3" t="inlineStr">
        <is>
          <t>BẢO TRÂM</t>
        </is>
      </c>
      <c r="F322" s="3" t="inlineStr">
        <is>
          <t>Shopee</t>
        </is>
      </c>
      <c r="G322" s="3" t="inlineStr">
        <is>
          <t>KBY3-042CO</t>
        </is>
      </c>
      <c r="H322" s="4" t="inlineStr">
        <is>
          <t>Khoan inox chuôi lục KBY3-042CO</t>
        </is>
      </c>
      <c r="I322" s="3" t="inlineStr">
        <is>
          <t>Vỉ</t>
        </is>
      </c>
      <c r="J322" s="5" t="n">
        <v>45000</v>
      </c>
      <c r="K322" s="5" t="n">
        <v>56000</v>
      </c>
      <c r="L322" s="6" t="n">
        <v>72000</v>
      </c>
      <c r="M322" s="5" t="n"/>
      <c r="N322" s="5">
        <f>IF(AND(ISNUMBER(M322),ISNUMBER(L322)),M322-L322,"")</f>
        <v/>
      </c>
      <c r="O322" s="7">
        <f>IF(AND(ISNUMBER(M322),ISNUMBER(L322),L322&gt;0),(M322-L322)/L322,"")</f>
        <v/>
      </c>
      <c r="P322" s="3">
        <f>IF(O322="","",IF(O322&lt;-0.02,"🔴 Bán phá giá sàn",IF(O322&gt;0.05,"🔵 Bán cao hơn","🟢 Đúng giá sàn TMĐT")))</f>
        <v/>
      </c>
      <c r="Q322" s="3" t="n"/>
      <c r="R322" s="4" t="n"/>
      <c r="S322" s="4" t="n"/>
    </row>
    <row r="323">
      <c r="A323" s="3" t="n">
        <v>322</v>
      </c>
      <c r="B323" s="3" t="inlineStr">
        <is>
          <t>KH002</t>
        </is>
      </c>
      <c r="C323" s="4" t="inlineStr">
        <is>
          <t>Nguyễn Hoàng Phú</t>
        </is>
      </c>
      <c r="D323" s="3" t="inlineStr">
        <is>
          <t>HCM</t>
        </is>
      </c>
      <c r="E323" s="3" t="inlineStr">
        <is>
          <t>BẢO TRÂM</t>
        </is>
      </c>
      <c r="F323" s="3" t="inlineStr">
        <is>
          <t>Shopee</t>
        </is>
      </c>
      <c r="G323" s="3" t="inlineStr">
        <is>
          <t>KBY3-045CO</t>
        </is>
      </c>
      <c r="H323" s="4" t="inlineStr">
        <is>
          <t>Khoan inox chuôi lục KBY3-045CO</t>
        </is>
      </c>
      <c r="I323" s="3" t="inlineStr">
        <is>
          <t>Vỉ</t>
        </is>
      </c>
      <c r="J323" s="5" t="n">
        <v>46000</v>
      </c>
      <c r="K323" s="5" t="n">
        <v>57000</v>
      </c>
      <c r="L323" s="6" t="n">
        <v>74000</v>
      </c>
      <c r="M323" s="5" t="n"/>
      <c r="N323" s="5">
        <f>IF(AND(ISNUMBER(M323),ISNUMBER(L323)),M323-L323,"")</f>
        <v/>
      </c>
      <c r="O323" s="7">
        <f>IF(AND(ISNUMBER(M323),ISNUMBER(L323),L323&gt;0),(M323-L323)/L323,"")</f>
        <v/>
      </c>
      <c r="P323" s="3">
        <f>IF(O323="","",IF(O323&lt;-0.02,"🔴 Bán phá giá sàn",IF(O323&gt;0.05,"🔵 Bán cao hơn","🟢 Đúng giá sàn TMĐT")))</f>
        <v/>
      </c>
      <c r="Q323" s="3" t="n"/>
      <c r="R323" s="4" t="n"/>
      <c r="S323" s="4" t="n"/>
    </row>
    <row r="324">
      <c r="A324" s="3" t="n">
        <v>323</v>
      </c>
      <c r="B324" s="3" t="inlineStr">
        <is>
          <t>KH002</t>
        </is>
      </c>
      <c r="C324" s="4" t="inlineStr">
        <is>
          <t>Nguyễn Hoàng Phú</t>
        </is>
      </c>
      <c r="D324" s="3" t="inlineStr">
        <is>
          <t>HCM</t>
        </is>
      </c>
      <c r="E324" s="3" t="inlineStr">
        <is>
          <t>BẢO TRÂM</t>
        </is>
      </c>
      <c r="F324" s="3" t="inlineStr">
        <is>
          <t>Shopee</t>
        </is>
      </c>
      <c r="G324" s="3" t="inlineStr">
        <is>
          <t>KBY3-050CO</t>
        </is>
      </c>
      <c r="H324" s="4" t="inlineStr">
        <is>
          <t>Khoan inox chuôi lục KBY3-050CO</t>
        </is>
      </c>
      <c r="I324" s="3" t="inlineStr">
        <is>
          <t>Vỉ</t>
        </is>
      </c>
      <c r="J324" s="5" t="n">
        <v>53000</v>
      </c>
      <c r="K324" s="5" t="n">
        <v>66000</v>
      </c>
      <c r="L324" s="6" t="n">
        <v>85000</v>
      </c>
      <c r="M324" s="5" t="n"/>
      <c r="N324" s="5">
        <f>IF(AND(ISNUMBER(M324),ISNUMBER(L324)),M324-L324,"")</f>
        <v/>
      </c>
      <c r="O324" s="7">
        <f>IF(AND(ISNUMBER(M324),ISNUMBER(L324),L324&gt;0),(M324-L324)/L324,"")</f>
        <v/>
      </c>
      <c r="P324" s="3">
        <f>IF(O324="","",IF(O324&lt;-0.02,"🔴 Bán phá giá sàn",IF(O324&gt;0.05,"🔵 Bán cao hơn","🟢 Đúng giá sàn TMĐT")))</f>
        <v/>
      </c>
      <c r="Q324" s="3" t="n"/>
      <c r="R324" s="4" t="n"/>
      <c r="S324" s="4" t="n"/>
    </row>
    <row r="325">
      <c r="A325" s="3" t="n">
        <v>324</v>
      </c>
      <c r="B325" s="3" t="inlineStr">
        <is>
          <t>KH002</t>
        </is>
      </c>
      <c r="C325" s="4" t="inlineStr">
        <is>
          <t>Nguyễn Hoàng Phú</t>
        </is>
      </c>
      <c r="D325" s="3" t="inlineStr">
        <is>
          <t>HCM</t>
        </is>
      </c>
      <c r="E325" s="3" t="inlineStr">
        <is>
          <t>BẢO TRÂM</t>
        </is>
      </c>
      <c r="F325" s="3" t="inlineStr">
        <is>
          <t>Shopee</t>
        </is>
      </c>
      <c r="G325" s="3" t="inlineStr">
        <is>
          <t>KBY3-055CO</t>
        </is>
      </c>
      <c r="H325" s="4" t="inlineStr">
        <is>
          <t>Khoan inox chuôi lục KBY3-055CO</t>
        </is>
      </c>
      <c r="I325" s="3" t="inlineStr">
        <is>
          <t>Vỉ</t>
        </is>
      </c>
      <c r="J325" s="5" t="n">
        <v>58000</v>
      </c>
      <c r="K325" s="5" t="n">
        <v>72000</v>
      </c>
      <c r="L325" s="6" t="n">
        <v>93000</v>
      </c>
      <c r="M325" s="5" t="n"/>
      <c r="N325" s="5">
        <f>IF(AND(ISNUMBER(M325),ISNUMBER(L325)),M325-L325,"")</f>
        <v/>
      </c>
      <c r="O325" s="7">
        <f>IF(AND(ISNUMBER(M325),ISNUMBER(L325),L325&gt;0),(M325-L325)/L325,"")</f>
        <v/>
      </c>
      <c r="P325" s="3">
        <f>IF(O325="","",IF(O325&lt;-0.02,"🔴 Bán phá giá sàn",IF(O325&gt;0.05,"🔵 Bán cao hơn","🟢 Đúng giá sàn TMĐT")))</f>
        <v/>
      </c>
      <c r="Q325" s="3" t="n"/>
      <c r="R325" s="4" t="n"/>
      <c r="S325" s="4" t="n"/>
    </row>
    <row r="326">
      <c r="A326" s="3" t="n">
        <v>325</v>
      </c>
      <c r="B326" s="3" t="inlineStr">
        <is>
          <t>KH002</t>
        </is>
      </c>
      <c r="C326" s="4" t="inlineStr">
        <is>
          <t>Nguyễn Hoàng Phú</t>
        </is>
      </c>
      <c r="D326" s="3" t="inlineStr">
        <is>
          <t>HCM</t>
        </is>
      </c>
      <c r="E326" s="3" t="inlineStr">
        <is>
          <t>BẢO TRÂM</t>
        </is>
      </c>
      <c r="F326" s="3" t="inlineStr">
        <is>
          <t>Shopee</t>
        </is>
      </c>
      <c r="G326" s="3" t="inlineStr">
        <is>
          <t>KBY3-060CO</t>
        </is>
      </c>
      <c r="H326" s="4" t="inlineStr">
        <is>
          <t>Khoan inox chuôi lục KBY3-060CO</t>
        </is>
      </c>
      <c r="I326" s="3" t="inlineStr">
        <is>
          <t>Vỉ</t>
        </is>
      </c>
      <c r="J326" s="5" t="n">
        <v>65000</v>
      </c>
      <c r="K326" s="5" t="n">
        <v>81000</v>
      </c>
      <c r="L326" s="6" t="n">
        <v>104000</v>
      </c>
      <c r="M326" s="5" t="n"/>
      <c r="N326" s="5">
        <f>IF(AND(ISNUMBER(M326),ISNUMBER(L326)),M326-L326,"")</f>
        <v/>
      </c>
      <c r="O326" s="7">
        <f>IF(AND(ISNUMBER(M326),ISNUMBER(L326),L326&gt;0),(M326-L326)/L326,"")</f>
        <v/>
      </c>
      <c r="P326" s="3">
        <f>IF(O326="","",IF(O326&lt;-0.02,"🔴 Bán phá giá sàn",IF(O326&gt;0.05,"🔵 Bán cao hơn","🟢 Đúng giá sàn TMĐT")))</f>
        <v/>
      </c>
      <c r="Q326" s="3" t="n"/>
      <c r="R326" s="4" t="n"/>
      <c r="S326" s="4" t="n"/>
    </row>
    <row r="327">
      <c r="A327" s="3" t="n">
        <v>326</v>
      </c>
      <c r="B327" s="3" t="inlineStr">
        <is>
          <t>KH002</t>
        </is>
      </c>
      <c r="C327" s="4" t="inlineStr">
        <is>
          <t>Nguyễn Hoàng Phú</t>
        </is>
      </c>
      <c r="D327" s="3" t="inlineStr">
        <is>
          <t>HCM</t>
        </is>
      </c>
      <c r="E327" s="3" t="inlineStr">
        <is>
          <t>BẢO TRÂM</t>
        </is>
      </c>
      <c r="F327" s="3" t="inlineStr">
        <is>
          <t>Shopee</t>
        </is>
      </c>
      <c r="G327" s="3" t="inlineStr">
        <is>
          <t>KBY3-065CO</t>
        </is>
      </c>
      <c r="H327" s="4" t="inlineStr">
        <is>
          <t>Khoan inox chuôi lục KBY3-065CO</t>
        </is>
      </c>
      <c r="I327" s="3" t="inlineStr">
        <is>
          <t>Cái</t>
        </is>
      </c>
      <c r="J327" s="5" t="n">
        <v>42000</v>
      </c>
      <c r="K327" s="5" t="n">
        <v>52000</v>
      </c>
      <c r="L327" s="6" t="n">
        <v>67000</v>
      </c>
      <c r="M327" s="5" t="n"/>
      <c r="N327" s="5">
        <f>IF(AND(ISNUMBER(M327),ISNUMBER(L327)),M327-L327,"")</f>
        <v/>
      </c>
      <c r="O327" s="7">
        <f>IF(AND(ISNUMBER(M327),ISNUMBER(L327),L327&gt;0),(M327-L327)/L327,"")</f>
        <v/>
      </c>
      <c r="P327" s="3">
        <f>IF(O327="","",IF(O327&lt;-0.02,"🔴 Bán phá giá sàn",IF(O327&gt;0.05,"🔵 Bán cao hơn","🟢 Đúng giá sàn TMĐT")))</f>
        <v/>
      </c>
      <c r="Q327" s="3" t="n"/>
      <c r="R327" s="4" t="n"/>
      <c r="S327" s="4" t="n"/>
    </row>
    <row r="328">
      <c r="A328" s="3" t="n">
        <v>327</v>
      </c>
      <c r="B328" s="3" t="inlineStr">
        <is>
          <t>KH002</t>
        </is>
      </c>
      <c r="C328" s="4" t="inlineStr">
        <is>
          <t>Nguyễn Hoàng Phú</t>
        </is>
      </c>
      <c r="D328" s="3" t="inlineStr">
        <is>
          <t>HCM</t>
        </is>
      </c>
      <c r="E328" s="3" t="inlineStr">
        <is>
          <t>BẢO TRÂM</t>
        </is>
      </c>
      <c r="F328" s="3" t="inlineStr">
        <is>
          <t>Shopee</t>
        </is>
      </c>
      <c r="G328" s="3" t="inlineStr">
        <is>
          <t>KBY3-070CO</t>
        </is>
      </c>
      <c r="H328" s="4" t="inlineStr">
        <is>
          <t>Khoan inox chuôi lục KBY3-070CO</t>
        </is>
      </c>
      <c r="I328" s="3" t="inlineStr">
        <is>
          <t>Cái</t>
        </is>
      </c>
      <c r="J328" s="5" t="n">
        <v>45000</v>
      </c>
      <c r="K328" s="5" t="n">
        <v>56000</v>
      </c>
      <c r="L328" s="6" t="n">
        <v>72000</v>
      </c>
      <c r="M328" s="5" t="n"/>
      <c r="N328" s="5">
        <f>IF(AND(ISNUMBER(M328),ISNUMBER(L328)),M328-L328,"")</f>
        <v/>
      </c>
      <c r="O328" s="7">
        <f>IF(AND(ISNUMBER(M328),ISNUMBER(L328),L328&gt;0),(M328-L328)/L328,"")</f>
        <v/>
      </c>
      <c r="P328" s="3">
        <f>IF(O328="","",IF(O328&lt;-0.02,"🔴 Bán phá giá sàn",IF(O328&gt;0.05,"🔵 Bán cao hơn","🟢 Đúng giá sàn TMĐT")))</f>
        <v/>
      </c>
      <c r="Q328" s="3" t="n"/>
      <c r="R328" s="4" t="n"/>
      <c r="S328" s="4" t="n"/>
    </row>
    <row r="329">
      <c r="A329" s="3" t="n">
        <v>328</v>
      </c>
      <c r="B329" s="3" t="inlineStr">
        <is>
          <t>KH002</t>
        </is>
      </c>
      <c r="C329" s="4" t="inlineStr">
        <is>
          <t>Nguyễn Hoàng Phú</t>
        </is>
      </c>
      <c r="D329" s="3" t="inlineStr">
        <is>
          <t>HCM</t>
        </is>
      </c>
      <c r="E329" s="3" t="inlineStr">
        <is>
          <t>BẢO TRÂM</t>
        </is>
      </c>
      <c r="F329" s="3" t="inlineStr">
        <is>
          <t>Shopee</t>
        </is>
      </c>
      <c r="G329" s="3" t="inlineStr">
        <is>
          <t>KBY3-080CO</t>
        </is>
      </c>
      <c r="H329" s="4" t="inlineStr">
        <is>
          <t>Khoan inox chuôi lục KBY3-080CO</t>
        </is>
      </c>
      <c r="I329" s="3" t="inlineStr">
        <is>
          <t>Cái</t>
        </is>
      </c>
      <c r="J329" s="5" t="n">
        <v>58000</v>
      </c>
      <c r="K329" s="5" t="n">
        <v>72000</v>
      </c>
      <c r="L329" s="6" t="n">
        <v>93000</v>
      </c>
      <c r="M329" s="5" t="n"/>
      <c r="N329" s="5">
        <f>IF(AND(ISNUMBER(M329),ISNUMBER(L329)),M329-L329,"")</f>
        <v/>
      </c>
      <c r="O329" s="7">
        <f>IF(AND(ISNUMBER(M329),ISNUMBER(L329),L329&gt;0),(M329-L329)/L329,"")</f>
        <v/>
      </c>
      <c r="P329" s="3">
        <f>IF(O329="","",IF(O329&lt;-0.02,"🔴 Bán phá giá sàn",IF(O329&gt;0.05,"🔵 Bán cao hơn","🟢 Đúng giá sàn TMĐT")))</f>
        <v/>
      </c>
      <c r="Q329" s="3" t="n"/>
      <c r="R329" s="4" t="n"/>
      <c r="S329" s="4" t="n"/>
    </row>
    <row r="330">
      <c r="A330" s="3" t="n">
        <v>329</v>
      </c>
      <c r="B330" s="3" t="inlineStr">
        <is>
          <t>KH002</t>
        </is>
      </c>
      <c r="C330" s="4" t="inlineStr">
        <is>
          <t>Nguyễn Hoàng Phú</t>
        </is>
      </c>
      <c r="D330" s="3" t="inlineStr">
        <is>
          <t>HCM</t>
        </is>
      </c>
      <c r="E330" s="3" t="inlineStr">
        <is>
          <t>BẢO TRÂM</t>
        </is>
      </c>
      <c r="F330" s="3" t="inlineStr">
        <is>
          <t>Shopee</t>
        </is>
      </c>
      <c r="G330" s="3" t="inlineStr">
        <is>
          <t>KBY3-090CO</t>
        </is>
      </c>
      <c r="H330" s="4" t="inlineStr">
        <is>
          <t>Khoan inox chuôi lục KBY3-090CO</t>
        </is>
      </c>
      <c r="I330" s="3" t="inlineStr">
        <is>
          <t>Cái</t>
        </is>
      </c>
      <c r="J330" s="5" t="n">
        <v>73000</v>
      </c>
      <c r="K330" s="5" t="n">
        <v>91000</v>
      </c>
      <c r="L330" s="6" t="n">
        <v>117000</v>
      </c>
      <c r="M330" s="5" t="n"/>
      <c r="N330" s="5">
        <f>IF(AND(ISNUMBER(M330),ISNUMBER(L330)),M330-L330,"")</f>
        <v/>
      </c>
      <c r="O330" s="7">
        <f>IF(AND(ISNUMBER(M330),ISNUMBER(L330),L330&gt;0),(M330-L330)/L330,"")</f>
        <v/>
      </c>
      <c r="P330" s="3">
        <f>IF(O330="","",IF(O330&lt;-0.02,"🔴 Bán phá giá sàn",IF(O330&gt;0.05,"🔵 Bán cao hơn","🟢 Đúng giá sàn TMĐT")))</f>
        <v/>
      </c>
      <c r="Q330" s="3" t="n"/>
      <c r="R330" s="4" t="n"/>
      <c r="S330" s="4" t="n"/>
    </row>
    <row r="331">
      <c r="A331" s="3" t="n">
        <v>330</v>
      </c>
      <c r="B331" s="3" t="inlineStr">
        <is>
          <t>KH002</t>
        </is>
      </c>
      <c r="C331" s="4" t="inlineStr">
        <is>
          <t>Nguyễn Hoàng Phú</t>
        </is>
      </c>
      <c r="D331" s="3" t="inlineStr">
        <is>
          <t>HCM</t>
        </is>
      </c>
      <c r="E331" s="3" t="inlineStr">
        <is>
          <t>BẢO TRÂM</t>
        </is>
      </c>
      <c r="F331" s="3" t="inlineStr">
        <is>
          <t>Shopee</t>
        </is>
      </c>
      <c r="G331" s="3" t="inlineStr">
        <is>
          <t>KBY3-100CO</t>
        </is>
      </c>
      <c r="H331" s="4" t="inlineStr">
        <is>
          <t>Khoan inox chuôi lục KBY3-100CO</t>
        </is>
      </c>
      <c r="I331" s="3" t="inlineStr">
        <is>
          <t>Cái</t>
        </is>
      </c>
      <c r="J331" s="5" t="n">
        <v>90000</v>
      </c>
      <c r="K331" s="5" t="n">
        <v>112000</v>
      </c>
      <c r="L331" s="6" t="n">
        <v>144000</v>
      </c>
      <c r="M331" s="5" t="n"/>
      <c r="N331" s="5">
        <f>IF(AND(ISNUMBER(M331),ISNUMBER(L331)),M331-L331,"")</f>
        <v/>
      </c>
      <c r="O331" s="7">
        <f>IF(AND(ISNUMBER(M331),ISNUMBER(L331),L331&gt;0),(M331-L331)/L331,"")</f>
        <v/>
      </c>
      <c r="P331" s="3">
        <f>IF(O331="","",IF(O331&lt;-0.02,"🔴 Bán phá giá sàn",IF(O331&gt;0.05,"🔵 Bán cao hơn","🟢 Đúng giá sàn TMĐT")))</f>
        <v/>
      </c>
      <c r="Q331" s="3" t="n"/>
      <c r="R331" s="4" t="n"/>
      <c r="S331" s="4" t="n"/>
    </row>
    <row r="332">
      <c r="A332" s="3" t="n">
        <v>331</v>
      </c>
      <c r="B332" s="3" t="inlineStr">
        <is>
          <t>KH002</t>
        </is>
      </c>
      <c r="C332" s="4" t="inlineStr">
        <is>
          <t>Nguyễn Hoàng Phú</t>
        </is>
      </c>
      <c r="D332" s="3" t="inlineStr">
        <is>
          <t>HCM</t>
        </is>
      </c>
      <c r="E332" s="3" t="inlineStr">
        <is>
          <t>BẢO TRÂM</t>
        </is>
      </c>
      <c r="F332" s="3" t="inlineStr">
        <is>
          <t>Shopee</t>
        </is>
      </c>
      <c r="G332" s="3" t="inlineStr">
        <is>
          <t>KBY2-010CO</t>
        </is>
      </c>
      <c r="H332" s="4" t="inlineStr">
        <is>
          <t>Khoan inox KingBlue KBY2-010CO</t>
        </is>
      </c>
      <c r="I332" s="3" t="inlineStr">
        <is>
          <t>Cái</t>
        </is>
      </c>
      <c r="J332" s="5" t="n">
        <v>6000</v>
      </c>
      <c r="K332" s="5" t="n">
        <v>8000</v>
      </c>
      <c r="L332" s="6" t="n">
        <v>10000</v>
      </c>
      <c r="M332" s="5" t="n"/>
      <c r="N332" s="5">
        <f>IF(AND(ISNUMBER(M332),ISNUMBER(L332)),M332-L332,"")</f>
        <v/>
      </c>
      <c r="O332" s="7">
        <f>IF(AND(ISNUMBER(M332),ISNUMBER(L332),L332&gt;0),(M332-L332)/L332,"")</f>
        <v/>
      </c>
      <c r="P332" s="3">
        <f>IF(O332="","",IF(O332&lt;-0.02,"🔴 Bán phá giá sàn",IF(O332&gt;0.05,"🔵 Bán cao hơn","🟢 Đúng giá sàn TMĐT")))</f>
        <v/>
      </c>
      <c r="Q332" s="3" t="n"/>
      <c r="R332" s="4" t="n"/>
      <c r="S332" s="4" t="n"/>
    </row>
    <row r="333">
      <c r="A333" s="3" t="n">
        <v>332</v>
      </c>
      <c r="B333" s="3" t="inlineStr">
        <is>
          <t>KH002</t>
        </is>
      </c>
      <c r="C333" s="4" t="inlineStr">
        <is>
          <t>Nguyễn Hoàng Phú</t>
        </is>
      </c>
      <c r="D333" s="3" t="inlineStr">
        <is>
          <t>HCM</t>
        </is>
      </c>
      <c r="E333" s="3" t="inlineStr">
        <is>
          <t>BẢO TRÂM</t>
        </is>
      </c>
      <c r="F333" s="3" t="inlineStr">
        <is>
          <t>Shopee</t>
        </is>
      </c>
      <c r="G333" s="3" t="inlineStr">
        <is>
          <t>KBY2-015CO</t>
        </is>
      </c>
      <c r="H333" s="4" t="inlineStr">
        <is>
          <t>Khoan inox KingBlue KBY2-015CO</t>
        </is>
      </c>
      <c r="I333" s="3" t="inlineStr">
        <is>
          <t>Cái</t>
        </is>
      </c>
      <c r="J333" s="5" t="n">
        <v>7000</v>
      </c>
      <c r="K333" s="5" t="n">
        <v>9000</v>
      </c>
      <c r="L333" s="6" t="n">
        <v>11000</v>
      </c>
      <c r="M333" s="5" t="n"/>
      <c r="N333" s="5">
        <f>IF(AND(ISNUMBER(M333),ISNUMBER(L333)),M333-L333,"")</f>
        <v/>
      </c>
      <c r="O333" s="7">
        <f>IF(AND(ISNUMBER(M333),ISNUMBER(L333),L333&gt;0),(M333-L333)/L333,"")</f>
        <v/>
      </c>
      <c r="P333" s="3">
        <f>IF(O333="","",IF(O333&lt;-0.02,"🔴 Bán phá giá sàn",IF(O333&gt;0.05,"🔵 Bán cao hơn","🟢 Đúng giá sàn TMĐT")))</f>
        <v/>
      </c>
      <c r="Q333" s="3" t="n"/>
      <c r="R333" s="4" t="n"/>
      <c r="S333" s="4" t="n"/>
    </row>
    <row r="334">
      <c r="A334" s="3" t="n">
        <v>333</v>
      </c>
      <c r="B334" s="3" t="inlineStr">
        <is>
          <t>KH002</t>
        </is>
      </c>
      <c r="C334" s="4" t="inlineStr">
        <is>
          <t>Nguyễn Hoàng Phú</t>
        </is>
      </c>
      <c r="D334" s="3" t="inlineStr">
        <is>
          <t>HCM</t>
        </is>
      </c>
      <c r="E334" s="3" t="inlineStr">
        <is>
          <t>BẢO TRÂM</t>
        </is>
      </c>
      <c r="F334" s="3" t="inlineStr">
        <is>
          <t>Shopee</t>
        </is>
      </c>
      <c r="G334" s="3" t="inlineStr">
        <is>
          <t>KBY2-020CO</t>
        </is>
      </c>
      <c r="H334" s="4" t="inlineStr">
        <is>
          <t>Khoan inox KingBlue KBY2-020CO</t>
        </is>
      </c>
      <c r="I334" s="3" t="inlineStr">
        <is>
          <t>Cái</t>
        </is>
      </c>
      <c r="J334" s="5" t="n">
        <v>8000</v>
      </c>
      <c r="K334" s="5" t="n">
        <v>10000</v>
      </c>
      <c r="L334" s="6" t="n">
        <v>13000</v>
      </c>
      <c r="M334" s="5" t="n"/>
      <c r="N334" s="5">
        <f>IF(AND(ISNUMBER(M334),ISNUMBER(L334)),M334-L334,"")</f>
        <v/>
      </c>
      <c r="O334" s="7">
        <f>IF(AND(ISNUMBER(M334),ISNUMBER(L334),L334&gt;0),(M334-L334)/L334,"")</f>
        <v/>
      </c>
      <c r="P334" s="3">
        <f>IF(O334="","",IF(O334&lt;-0.02,"🔴 Bán phá giá sàn",IF(O334&gt;0.05,"🔵 Bán cao hơn","🟢 Đúng giá sàn TMĐT")))</f>
        <v/>
      </c>
      <c r="Q334" s="3" t="n"/>
      <c r="R334" s="4" t="n"/>
      <c r="S334" s="4" t="n"/>
    </row>
    <row r="335">
      <c r="A335" s="3" t="n">
        <v>334</v>
      </c>
      <c r="B335" s="3" t="inlineStr">
        <is>
          <t>KH002</t>
        </is>
      </c>
      <c r="C335" s="4" t="inlineStr">
        <is>
          <t>Nguyễn Hoàng Phú</t>
        </is>
      </c>
      <c r="D335" s="3" t="inlineStr">
        <is>
          <t>HCM</t>
        </is>
      </c>
      <c r="E335" s="3" t="inlineStr">
        <is>
          <t>BẢO TRÂM</t>
        </is>
      </c>
      <c r="F335" s="3" t="inlineStr">
        <is>
          <t>Shopee</t>
        </is>
      </c>
      <c r="G335" s="3" t="inlineStr">
        <is>
          <t>KBY2-025CO</t>
        </is>
      </c>
      <c r="H335" s="4" t="inlineStr">
        <is>
          <t>Khoan inox KingBlue KBY2-025CO</t>
        </is>
      </c>
      <c r="I335" s="3" t="inlineStr">
        <is>
          <t>Cái</t>
        </is>
      </c>
      <c r="J335" s="5" t="n">
        <v>9000</v>
      </c>
      <c r="K335" s="5" t="n">
        <v>11000</v>
      </c>
      <c r="L335" s="6" t="n">
        <v>14000</v>
      </c>
      <c r="M335" s="5" t="n"/>
      <c r="N335" s="5">
        <f>IF(AND(ISNUMBER(M335),ISNUMBER(L335)),M335-L335,"")</f>
        <v/>
      </c>
      <c r="O335" s="7">
        <f>IF(AND(ISNUMBER(M335),ISNUMBER(L335),L335&gt;0),(M335-L335)/L335,"")</f>
        <v/>
      </c>
      <c r="P335" s="3">
        <f>IF(O335="","",IF(O335&lt;-0.02,"🔴 Bán phá giá sàn",IF(O335&gt;0.05,"🔵 Bán cao hơn","🟢 Đúng giá sàn TMĐT")))</f>
        <v/>
      </c>
      <c r="Q335" s="3" t="n"/>
      <c r="R335" s="4" t="n"/>
      <c r="S335" s="4" t="n"/>
    </row>
    <row r="336">
      <c r="A336" s="3" t="n">
        <v>335</v>
      </c>
      <c r="B336" s="3" t="inlineStr">
        <is>
          <t>KH002</t>
        </is>
      </c>
      <c r="C336" s="4" t="inlineStr">
        <is>
          <t>Nguyễn Hoàng Phú</t>
        </is>
      </c>
      <c r="D336" s="3" t="inlineStr">
        <is>
          <t>HCM</t>
        </is>
      </c>
      <c r="E336" s="3" t="inlineStr">
        <is>
          <t>BẢO TRÂM</t>
        </is>
      </c>
      <c r="F336" s="3" t="inlineStr">
        <is>
          <t>Shopee</t>
        </is>
      </c>
      <c r="G336" s="3" t="inlineStr">
        <is>
          <t>KBY2-030CO</t>
        </is>
      </c>
      <c r="H336" s="4" t="inlineStr">
        <is>
          <t>Khoan inox KingBlue KBY2-030CO</t>
        </is>
      </c>
      <c r="I336" s="3" t="inlineStr">
        <is>
          <t>Cái</t>
        </is>
      </c>
      <c r="J336" s="5" t="n">
        <v>10000</v>
      </c>
      <c r="K336" s="5" t="n">
        <v>12000</v>
      </c>
      <c r="L336" s="6" t="n">
        <v>16000</v>
      </c>
      <c r="M336" s="5" t="n"/>
      <c r="N336" s="5">
        <f>IF(AND(ISNUMBER(M336),ISNUMBER(L336)),M336-L336,"")</f>
        <v/>
      </c>
      <c r="O336" s="7">
        <f>IF(AND(ISNUMBER(M336),ISNUMBER(L336),L336&gt;0),(M336-L336)/L336,"")</f>
        <v/>
      </c>
      <c r="P336" s="3">
        <f>IF(O336="","",IF(O336&lt;-0.02,"🔴 Bán phá giá sàn",IF(O336&gt;0.05,"🔵 Bán cao hơn","🟢 Đúng giá sàn TMĐT")))</f>
        <v/>
      </c>
      <c r="Q336" s="3" t="n"/>
      <c r="R336" s="4" t="n"/>
      <c r="S336" s="4" t="n"/>
    </row>
    <row r="337">
      <c r="A337" s="3" t="n">
        <v>336</v>
      </c>
      <c r="B337" s="3" t="inlineStr">
        <is>
          <t>KH002</t>
        </is>
      </c>
      <c r="C337" s="4" t="inlineStr">
        <is>
          <t>Nguyễn Hoàng Phú</t>
        </is>
      </c>
      <c r="D337" s="3" t="inlineStr">
        <is>
          <t>HCM</t>
        </is>
      </c>
      <c r="E337" s="3" t="inlineStr">
        <is>
          <t>BẢO TRÂM</t>
        </is>
      </c>
      <c r="F337" s="3" t="inlineStr">
        <is>
          <t>Shopee</t>
        </is>
      </c>
      <c r="G337" s="3" t="inlineStr">
        <is>
          <t>KBY2-032CO</t>
        </is>
      </c>
      <c r="H337" s="4" t="inlineStr">
        <is>
          <t>Khoan inox KingBlue KBY2-032CO</t>
        </is>
      </c>
      <c r="I337" s="3" t="inlineStr">
        <is>
          <t>Cái</t>
        </is>
      </c>
      <c r="J337" s="5" t="n">
        <v>11000</v>
      </c>
      <c r="K337" s="5" t="n">
        <v>14000</v>
      </c>
      <c r="L337" s="6" t="n">
        <v>18000</v>
      </c>
      <c r="M337" s="5" t="n"/>
      <c r="N337" s="5">
        <f>IF(AND(ISNUMBER(M337),ISNUMBER(L337)),M337-L337,"")</f>
        <v/>
      </c>
      <c r="O337" s="7">
        <f>IF(AND(ISNUMBER(M337),ISNUMBER(L337),L337&gt;0),(M337-L337)/L337,"")</f>
        <v/>
      </c>
      <c r="P337" s="3">
        <f>IF(O337="","",IF(O337&lt;-0.02,"🔴 Bán phá giá sàn",IF(O337&gt;0.05,"🔵 Bán cao hơn","🟢 Đúng giá sàn TMĐT")))</f>
        <v/>
      </c>
      <c r="Q337" s="3" t="n"/>
      <c r="R337" s="4" t="n"/>
      <c r="S337" s="4" t="n"/>
    </row>
    <row r="338">
      <c r="A338" s="3" t="n">
        <v>337</v>
      </c>
      <c r="B338" s="3" t="inlineStr">
        <is>
          <t>KH002</t>
        </is>
      </c>
      <c r="C338" s="4" t="inlineStr">
        <is>
          <t>Nguyễn Hoàng Phú</t>
        </is>
      </c>
      <c r="D338" s="3" t="inlineStr">
        <is>
          <t>HCM</t>
        </is>
      </c>
      <c r="E338" s="3" t="inlineStr">
        <is>
          <t>BẢO TRÂM</t>
        </is>
      </c>
      <c r="F338" s="3" t="inlineStr">
        <is>
          <t>Shopee</t>
        </is>
      </c>
      <c r="G338" s="3" t="inlineStr">
        <is>
          <t>KBY2-035CO</t>
        </is>
      </c>
      <c r="H338" s="4" t="inlineStr">
        <is>
          <t>Khoan inox KingBlue KBY2-035CO</t>
        </is>
      </c>
      <c r="I338" s="3" t="inlineStr">
        <is>
          <t>Cái</t>
        </is>
      </c>
      <c r="J338" s="5" t="n">
        <v>13000</v>
      </c>
      <c r="K338" s="5" t="n">
        <v>16000</v>
      </c>
      <c r="L338" s="6" t="n">
        <v>21000</v>
      </c>
      <c r="M338" s="5" t="n"/>
      <c r="N338" s="5">
        <f>IF(AND(ISNUMBER(M338),ISNUMBER(L338)),M338-L338,"")</f>
        <v/>
      </c>
      <c r="O338" s="7">
        <f>IF(AND(ISNUMBER(M338),ISNUMBER(L338),L338&gt;0),(M338-L338)/L338,"")</f>
        <v/>
      </c>
      <c r="P338" s="3">
        <f>IF(O338="","",IF(O338&lt;-0.02,"🔴 Bán phá giá sàn",IF(O338&gt;0.05,"🔵 Bán cao hơn","🟢 Đúng giá sàn TMĐT")))</f>
        <v/>
      </c>
      <c r="Q338" s="3" t="n"/>
      <c r="R338" s="4" t="n"/>
      <c r="S338" s="4" t="n"/>
    </row>
    <row r="339">
      <c r="A339" s="3" t="n">
        <v>338</v>
      </c>
      <c r="B339" s="3" t="inlineStr">
        <is>
          <t>KH002</t>
        </is>
      </c>
      <c r="C339" s="4" t="inlineStr">
        <is>
          <t>Nguyễn Hoàng Phú</t>
        </is>
      </c>
      <c r="D339" s="3" t="inlineStr">
        <is>
          <t>HCM</t>
        </is>
      </c>
      <c r="E339" s="3" t="inlineStr">
        <is>
          <t>BẢO TRÂM</t>
        </is>
      </c>
      <c r="F339" s="3" t="inlineStr">
        <is>
          <t>Shopee</t>
        </is>
      </c>
      <c r="G339" s="3" t="inlineStr">
        <is>
          <t>KBY2-040CO</t>
        </is>
      </c>
      <c r="H339" s="4" t="inlineStr">
        <is>
          <t>Khoan inox KingBlue KBY2-040CO</t>
        </is>
      </c>
      <c r="I339" s="3" t="inlineStr">
        <is>
          <t>Cái</t>
        </is>
      </c>
      <c r="J339" s="5" t="n">
        <v>17000</v>
      </c>
      <c r="K339" s="5" t="n">
        <v>21000</v>
      </c>
      <c r="L339" s="6" t="n">
        <v>27000</v>
      </c>
      <c r="M339" s="5" t="n"/>
      <c r="N339" s="5">
        <f>IF(AND(ISNUMBER(M339),ISNUMBER(L339)),M339-L339,"")</f>
        <v/>
      </c>
      <c r="O339" s="7">
        <f>IF(AND(ISNUMBER(M339),ISNUMBER(L339),L339&gt;0),(M339-L339)/L339,"")</f>
        <v/>
      </c>
      <c r="P339" s="3">
        <f>IF(O339="","",IF(O339&lt;-0.02,"🔴 Bán phá giá sàn",IF(O339&gt;0.05,"🔵 Bán cao hơn","🟢 Đúng giá sàn TMĐT")))</f>
        <v/>
      </c>
      <c r="Q339" s="3" t="n"/>
      <c r="R339" s="4" t="n"/>
      <c r="S339" s="4" t="n"/>
    </row>
    <row r="340">
      <c r="A340" s="3" t="n">
        <v>339</v>
      </c>
      <c r="B340" s="3" t="inlineStr">
        <is>
          <t>KH002</t>
        </is>
      </c>
      <c r="C340" s="4" t="inlineStr">
        <is>
          <t>Nguyễn Hoàng Phú</t>
        </is>
      </c>
      <c r="D340" s="3" t="inlineStr">
        <is>
          <t>HCM</t>
        </is>
      </c>
      <c r="E340" s="3" t="inlineStr">
        <is>
          <t>BẢO TRÂM</t>
        </is>
      </c>
      <c r="F340" s="3" t="inlineStr">
        <is>
          <t>Shopee</t>
        </is>
      </c>
      <c r="G340" s="3" t="inlineStr">
        <is>
          <t>KBY2-042CO</t>
        </is>
      </c>
      <c r="H340" s="4" t="inlineStr">
        <is>
          <t>Khoan inox KingBlue KBY2-042CO</t>
        </is>
      </c>
      <c r="I340" s="3" t="inlineStr">
        <is>
          <t>Cái</t>
        </is>
      </c>
      <c r="J340" s="5" t="n">
        <v>19000</v>
      </c>
      <c r="K340" s="5" t="n">
        <v>23000</v>
      </c>
      <c r="L340" s="6" t="n">
        <v>30000</v>
      </c>
      <c r="M340" s="5" t="n"/>
      <c r="N340" s="5">
        <f>IF(AND(ISNUMBER(M340),ISNUMBER(L340)),M340-L340,"")</f>
        <v/>
      </c>
      <c r="O340" s="7">
        <f>IF(AND(ISNUMBER(M340),ISNUMBER(L340),L340&gt;0),(M340-L340)/L340,"")</f>
        <v/>
      </c>
      <c r="P340" s="3">
        <f>IF(O340="","",IF(O340&lt;-0.02,"🔴 Bán phá giá sàn",IF(O340&gt;0.05,"🔵 Bán cao hơn","🟢 Đúng giá sàn TMĐT")))</f>
        <v/>
      </c>
      <c r="Q340" s="3" t="n"/>
      <c r="R340" s="4" t="n"/>
      <c r="S340" s="4" t="n"/>
    </row>
    <row r="341">
      <c r="A341" s="3" t="n">
        <v>340</v>
      </c>
      <c r="B341" s="3" t="inlineStr">
        <is>
          <t>KH002</t>
        </is>
      </c>
      <c r="C341" s="4" t="inlineStr">
        <is>
          <t>Nguyễn Hoàng Phú</t>
        </is>
      </c>
      <c r="D341" s="3" t="inlineStr">
        <is>
          <t>HCM</t>
        </is>
      </c>
      <c r="E341" s="3" t="inlineStr">
        <is>
          <t>BẢO TRÂM</t>
        </is>
      </c>
      <c r="F341" s="3" t="inlineStr">
        <is>
          <t>Shopee</t>
        </is>
      </c>
      <c r="G341" s="3" t="inlineStr">
        <is>
          <t>KBY2-045CO</t>
        </is>
      </c>
      <c r="H341" s="4" t="inlineStr">
        <is>
          <t>Khoan inox KingBlue KBY2-045CO</t>
        </is>
      </c>
      <c r="I341" s="3" t="inlineStr">
        <is>
          <t>Cái</t>
        </is>
      </c>
      <c r="J341" s="5" t="n">
        <v>21000</v>
      </c>
      <c r="K341" s="5" t="n">
        <v>26000</v>
      </c>
      <c r="L341" s="6" t="n">
        <v>34000</v>
      </c>
      <c r="M341" s="5" t="n"/>
      <c r="N341" s="5">
        <f>IF(AND(ISNUMBER(M341),ISNUMBER(L341)),M341-L341,"")</f>
        <v/>
      </c>
      <c r="O341" s="7">
        <f>IF(AND(ISNUMBER(M341),ISNUMBER(L341),L341&gt;0),(M341-L341)/L341,"")</f>
        <v/>
      </c>
      <c r="P341" s="3">
        <f>IF(O341="","",IF(O341&lt;-0.02,"🔴 Bán phá giá sàn",IF(O341&gt;0.05,"🔵 Bán cao hơn","🟢 Đúng giá sàn TMĐT")))</f>
        <v/>
      </c>
      <c r="Q341" s="3" t="n"/>
      <c r="R341" s="4" t="n"/>
      <c r="S341" s="4" t="n"/>
    </row>
    <row r="342">
      <c r="A342" s="3" t="n">
        <v>341</v>
      </c>
      <c r="B342" s="3" t="inlineStr">
        <is>
          <t>KH002</t>
        </is>
      </c>
      <c r="C342" s="4" t="inlineStr">
        <is>
          <t>Nguyễn Hoàng Phú</t>
        </is>
      </c>
      <c r="D342" s="3" t="inlineStr">
        <is>
          <t>HCM</t>
        </is>
      </c>
      <c r="E342" s="3" t="inlineStr">
        <is>
          <t>BẢO TRÂM</t>
        </is>
      </c>
      <c r="F342" s="3" t="inlineStr">
        <is>
          <t>Shopee</t>
        </is>
      </c>
      <c r="G342" s="3" t="inlineStr">
        <is>
          <t>KBY2-050CO</t>
        </is>
      </c>
      <c r="H342" s="4" t="inlineStr">
        <is>
          <t>Khoan inox KingBlue KBY2-050CO</t>
        </is>
      </c>
      <c r="I342" s="3" t="inlineStr">
        <is>
          <t>Cái</t>
        </is>
      </c>
      <c r="J342" s="5" t="n">
        <v>25000</v>
      </c>
      <c r="K342" s="5" t="n">
        <v>31000</v>
      </c>
      <c r="L342" s="6" t="n">
        <v>40000</v>
      </c>
      <c r="M342" s="5" t="n"/>
      <c r="N342" s="5">
        <f>IF(AND(ISNUMBER(M342),ISNUMBER(L342)),M342-L342,"")</f>
        <v/>
      </c>
      <c r="O342" s="7">
        <f>IF(AND(ISNUMBER(M342),ISNUMBER(L342),L342&gt;0),(M342-L342)/L342,"")</f>
        <v/>
      </c>
      <c r="P342" s="3">
        <f>IF(O342="","",IF(O342&lt;-0.02,"🔴 Bán phá giá sàn",IF(O342&gt;0.05,"🔵 Bán cao hơn","🟢 Đúng giá sàn TMĐT")))</f>
        <v/>
      </c>
      <c r="Q342" s="3" t="n"/>
      <c r="R342" s="4" t="n"/>
      <c r="S342" s="4" t="n"/>
    </row>
    <row r="343">
      <c r="A343" s="3" t="n">
        <v>342</v>
      </c>
      <c r="B343" s="3" t="inlineStr">
        <is>
          <t>KH002</t>
        </is>
      </c>
      <c r="C343" s="4" t="inlineStr">
        <is>
          <t>Nguyễn Hoàng Phú</t>
        </is>
      </c>
      <c r="D343" s="3" t="inlineStr">
        <is>
          <t>HCM</t>
        </is>
      </c>
      <c r="E343" s="3" t="inlineStr">
        <is>
          <t>BẢO TRÂM</t>
        </is>
      </c>
      <c r="F343" s="3" t="inlineStr">
        <is>
          <t>Shopee</t>
        </is>
      </c>
      <c r="G343" s="3" t="inlineStr">
        <is>
          <t>KBY2-052CO</t>
        </is>
      </c>
      <c r="H343" s="4" t="inlineStr">
        <is>
          <t>Khoan inox KingBlue KBY2-052CO</t>
        </is>
      </c>
      <c r="I343" s="3" t="inlineStr">
        <is>
          <t>Cái</t>
        </is>
      </c>
      <c r="J343" s="5" t="n">
        <v>29000</v>
      </c>
      <c r="K343" s="5" t="n">
        <v>36000</v>
      </c>
      <c r="L343" s="6" t="n">
        <v>46000</v>
      </c>
      <c r="M343" s="5" t="n"/>
      <c r="N343" s="5">
        <f>IF(AND(ISNUMBER(M343),ISNUMBER(L343)),M343-L343,"")</f>
        <v/>
      </c>
      <c r="O343" s="7">
        <f>IF(AND(ISNUMBER(M343),ISNUMBER(L343),L343&gt;0),(M343-L343)/L343,"")</f>
        <v/>
      </c>
      <c r="P343" s="3">
        <f>IF(O343="","",IF(O343&lt;-0.02,"🔴 Bán phá giá sàn",IF(O343&gt;0.05,"🔵 Bán cao hơn","🟢 Đúng giá sàn TMĐT")))</f>
        <v/>
      </c>
      <c r="Q343" s="3" t="n"/>
      <c r="R343" s="4" t="n"/>
      <c r="S343" s="4" t="n"/>
    </row>
    <row r="344">
      <c r="A344" s="3" t="n">
        <v>343</v>
      </c>
      <c r="B344" s="3" t="inlineStr">
        <is>
          <t>KH002</t>
        </is>
      </c>
      <c r="C344" s="4" t="inlineStr">
        <is>
          <t>Nguyễn Hoàng Phú</t>
        </is>
      </c>
      <c r="D344" s="3" t="inlineStr">
        <is>
          <t>HCM</t>
        </is>
      </c>
      <c r="E344" s="3" t="inlineStr">
        <is>
          <t>BẢO TRÂM</t>
        </is>
      </c>
      <c r="F344" s="3" t="inlineStr">
        <is>
          <t>Shopee</t>
        </is>
      </c>
      <c r="G344" s="3" t="inlineStr">
        <is>
          <t>KBY2-055CO</t>
        </is>
      </c>
      <c r="H344" s="4" t="inlineStr">
        <is>
          <t>Khoan inox KingBlue KBY2-055CO</t>
        </is>
      </c>
      <c r="I344" s="3" t="inlineStr">
        <is>
          <t>Cái</t>
        </is>
      </c>
      <c r="J344" s="5" t="n">
        <v>30000</v>
      </c>
      <c r="K344" s="5" t="n">
        <v>37000</v>
      </c>
      <c r="L344" s="6" t="n">
        <v>48000</v>
      </c>
      <c r="M344" s="5" t="n"/>
      <c r="N344" s="5">
        <f>IF(AND(ISNUMBER(M344),ISNUMBER(L344)),M344-L344,"")</f>
        <v/>
      </c>
      <c r="O344" s="7">
        <f>IF(AND(ISNUMBER(M344),ISNUMBER(L344),L344&gt;0),(M344-L344)/L344,"")</f>
        <v/>
      </c>
      <c r="P344" s="3">
        <f>IF(O344="","",IF(O344&lt;-0.02,"🔴 Bán phá giá sàn",IF(O344&gt;0.05,"🔵 Bán cao hơn","🟢 Đúng giá sàn TMĐT")))</f>
        <v/>
      </c>
      <c r="Q344" s="3" t="n"/>
      <c r="R344" s="4" t="n"/>
      <c r="S344" s="4" t="n"/>
    </row>
    <row r="345">
      <c r="A345" s="3" t="n">
        <v>344</v>
      </c>
      <c r="B345" s="3" t="inlineStr">
        <is>
          <t>KH002</t>
        </is>
      </c>
      <c r="C345" s="4" t="inlineStr">
        <is>
          <t>Nguyễn Hoàng Phú</t>
        </is>
      </c>
      <c r="D345" s="3" t="inlineStr">
        <is>
          <t>HCM</t>
        </is>
      </c>
      <c r="E345" s="3" t="inlineStr">
        <is>
          <t>BẢO TRÂM</t>
        </is>
      </c>
      <c r="F345" s="3" t="inlineStr">
        <is>
          <t>Shopee</t>
        </is>
      </c>
      <c r="G345" s="3" t="inlineStr">
        <is>
          <t>KBY2-060CO</t>
        </is>
      </c>
      <c r="H345" s="4" t="inlineStr">
        <is>
          <t>Khoan inox KingBlue KBY2-060CO</t>
        </is>
      </c>
      <c r="I345" s="3" t="inlineStr">
        <is>
          <t>Cái</t>
        </is>
      </c>
      <c r="J345" s="5" t="n">
        <v>36000</v>
      </c>
      <c r="K345" s="5" t="n">
        <v>45000</v>
      </c>
      <c r="L345" s="6" t="n">
        <v>58000</v>
      </c>
      <c r="M345" s="5" t="n"/>
      <c r="N345" s="5">
        <f>IF(AND(ISNUMBER(M345),ISNUMBER(L345)),M345-L345,"")</f>
        <v/>
      </c>
      <c r="O345" s="7">
        <f>IF(AND(ISNUMBER(M345),ISNUMBER(L345),L345&gt;0),(M345-L345)/L345,"")</f>
        <v/>
      </c>
      <c r="P345" s="3">
        <f>IF(O345="","",IF(O345&lt;-0.02,"🔴 Bán phá giá sàn",IF(O345&gt;0.05,"🔵 Bán cao hơn","🟢 Đúng giá sàn TMĐT")))</f>
        <v/>
      </c>
      <c r="Q345" s="3" t="n"/>
      <c r="R345" s="4" t="n"/>
      <c r="S345" s="4" t="n"/>
    </row>
    <row r="346">
      <c r="A346" s="3" t="n">
        <v>345</v>
      </c>
      <c r="B346" s="3" t="inlineStr">
        <is>
          <t>KH002</t>
        </is>
      </c>
      <c r="C346" s="4" t="inlineStr">
        <is>
          <t>Nguyễn Hoàng Phú</t>
        </is>
      </c>
      <c r="D346" s="3" t="inlineStr">
        <is>
          <t>HCM</t>
        </is>
      </c>
      <c r="E346" s="3" t="inlineStr">
        <is>
          <t>BẢO TRÂM</t>
        </is>
      </c>
      <c r="F346" s="3" t="inlineStr">
        <is>
          <t>Shopee</t>
        </is>
      </c>
      <c r="G346" s="3" t="inlineStr">
        <is>
          <t>KBY2-065CO</t>
        </is>
      </c>
      <c r="H346" s="4" t="inlineStr">
        <is>
          <t>Khoan inox KingBlue KBY2-065CO</t>
        </is>
      </c>
      <c r="I346" s="3" t="inlineStr">
        <is>
          <t>Cái</t>
        </is>
      </c>
      <c r="J346" s="5" t="n">
        <v>41000</v>
      </c>
      <c r="K346" s="5" t="n">
        <v>51000</v>
      </c>
      <c r="L346" s="6" t="n">
        <v>66000</v>
      </c>
      <c r="M346" s="5" t="n"/>
      <c r="N346" s="5">
        <f>IF(AND(ISNUMBER(M346),ISNUMBER(L346)),M346-L346,"")</f>
        <v/>
      </c>
      <c r="O346" s="7">
        <f>IF(AND(ISNUMBER(M346),ISNUMBER(L346),L346&gt;0),(M346-L346)/L346,"")</f>
        <v/>
      </c>
      <c r="P346" s="3">
        <f>IF(O346="","",IF(O346&lt;-0.02,"🔴 Bán phá giá sàn",IF(O346&gt;0.05,"🔵 Bán cao hơn","🟢 Đúng giá sàn TMĐT")))</f>
        <v/>
      </c>
      <c r="Q346" s="3" t="n"/>
      <c r="R346" s="4" t="n"/>
      <c r="S346" s="4" t="n"/>
    </row>
    <row r="347">
      <c r="A347" s="3" t="n">
        <v>346</v>
      </c>
      <c r="B347" s="3" t="inlineStr">
        <is>
          <t>KH002</t>
        </is>
      </c>
      <c r="C347" s="4" t="inlineStr">
        <is>
          <t>Nguyễn Hoàng Phú</t>
        </is>
      </c>
      <c r="D347" s="3" t="inlineStr">
        <is>
          <t>HCM</t>
        </is>
      </c>
      <c r="E347" s="3" t="inlineStr">
        <is>
          <t>BẢO TRÂM</t>
        </is>
      </c>
      <c r="F347" s="3" t="inlineStr">
        <is>
          <t>Shopee</t>
        </is>
      </c>
      <c r="G347" s="3" t="inlineStr">
        <is>
          <t>KBY2-070CO</t>
        </is>
      </c>
      <c r="H347" s="4" t="inlineStr">
        <is>
          <t>Khoan inox KingBlue KBY2-070CO</t>
        </is>
      </c>
      <c r="I347" s="3" t="inlineStr">
        <is>
          <t>Cái</t>
        </is>
      </c>
      <c r="J347" s="5" t="n">
        <v>49000</v>
      </c>
      <c r="K347" s="5" t="n">
        <v>61000</v>
      </c>
      <c r="L347" s="6" t="n">
        <v>78000</v>
      </c>
      <c r="M347" s="5" t="n"/>
      <c r="N347" s="5">
        <f>IF(AND(ISNUMBER(M347),ISNUMBER(L347)),M347-L347,"")</f>
        <v/>
      </c>
      <c r="O347" s="7">
        <f>IF(AND(ISNUMBER(M347),ISNUMBER(L347),L347&gt;0),(M347-L347)/L347,"")</f>
        <v/>
      </c>
      <c r="P347" s="3">
        <f>IF(O347="","",IF(O347&lt;-0.02,"🔴 Bán phá giá sàn",IF(O347&gt;0.05,"🔵 Bán cao hơn","🟢 Đúng giá sàn TMĐT")))</f>
        <v/>
      </c>
      <c r="Q347" s="3" t="n"/>
      <c r="R347" s="4" t="n"/>
      <c r="S347" s="4" t="n"/>
    </row>
    <row r="348">
      <c r="A348" s="3" t="n">
        <v>347</v>
      </c>
      <c r="B348" s="3" t="inlineStr">
        <is>
          <t>KH002</t>
        </is>
      </c>
      <c r="C348" s="4" t="inlineStr">
        <is>
          <t>Nguyễn Hoàng Phú</t>
        </is>
      </c>
      <c r="D348" s="3" t="inlineStr">
        <is>
          <t>HCM</t>
        </is>
      </c>
      <c r="E348" s="3" t="inlineStr">
        <is>
          <t>BẢO TRÂM</t>
        </is>
      </c>
      <c r="F348" s="3" t="inlineStr">
        <is>
          <t>Shopee</t>
        </is>
      </c>
      <c r="G348" s="3" t="inlineStr">
        <is>
          <t>KBY2-075CO</t>
        </is>
      </c>
      <c r="H348" s="4" t="inlineStr">
        <is>
          <t>Khoan inox KingBlue KBY2-075CO</t>
        </is>
      </c>
      <c r="I348" s="3" t="inlineStr">
        <is>
          <t>Cái</t>
        </is>
      </c>
      <c r="J348" s="5" t="n">
        <v>53000</v>
      </c>
      <c r="K348" s="5" t="n">
        <v>66000</v>
      </c>
      <c r="L348" s="6" t="n">
        <v>85000</v>
      </c>
      <c r="M348" s="5" t="n"/>
      <c r="N348" s="5">
        <f>IF(AND(ISNUMBER(M348),ISNUMBER(L348)),M348-L348,"")</f>
        <v/>
      </c>
      <c r="O348" s="7">
        <f>IF(AND(ISNUMBER(M348),ISNUMBER(L348),L348&gt;0),(M348-L348)/L348,"")</f>
        <v/>
      </c>
      <c r="P348" s="3">
        <f>IF(O348="","",IF(O348&lt;-0.02,"🔴 Bán phá giá sàn",IF(O348&gt;0.05,"🔵 Bán cao hơn","🟢 Đúng giá sàn TMĐT")))</f>
        <v/>
      </c>
      <c r="Q348" s="3" t="n"/>
      <c r="R348" s="4" t="n"/>
      <c r="S348" s="4" t="n"/>
    </row>
    <row r="349">
      <c r="A349" s="3" t="n">
        <v>348</v>
      </c>
      <c r="B349" s="3" t="inlineStr">
        <is>
          <t>KH002</t>
        </is>
      </c>
      <c r="C349" s="4" t="inlineStr">
        <is>
          <t>Nguyễn Hoàng Phú</t>
        </is>
      </c>
      <c r="D349" s="3" t="inlineStr">
        <is>
          <t>HCM</t>
        </is>
      </c>
      <c r="E349" s="3" t="inlineStr">
        <is>
          <t>BẢO TRÂM</t>
        </is>
      </c>
      <c r="F349" s="3" t="inlineStr">
        <is>
          <t>Shopee</t>
        </is>
      </c>
      <c r="G349" s="3" t="inlineStr">
        <is>
          <t>KBY2-080CO</t>
        </is>
      </c>
      <c r="H349" s="4" t="inlineStr">
        <is>
          <t>Khoan inox KingBlue KBY2-080CO</t>
        </is>
      </c>
      <c r="I349" s="3" t="inlineStr">
        <is>
          <t>Cái</t>
        </is>
      </c>
      <c r="J349" s="5" t="n">
        <v>58000</v>
      </c>
      <c r="K349" s="5" t="n">
        <v>72000</v>
      </c>
      <c r="L349" s="6" t="n">
        <v>93000</v>
      </c>
      <c r="M349" s="5" t="n"/>
      <c r="N349" s="5">
        <f>IF(AND(ISNUMBER(M349),ISNUMBER(L349)),M349-L349,"")</f>
        <v/>
      </c>
      <c r="O349" s="7">
        <f>IF(AND(ISNUMBER(M349),ISNUMBER(L349),L349&gt;0),(M349-L349)/L349,"")</f>
        <v/>
      </c>
      <c r="P349" s="3">
        <f>IF(O349="","",IF(O349&lt;-0.02,"🔴 Bán phá giá sàn",IF(O349&gt;0.05,"🔵 Bán cao hơn","🟢 Đúng giá sàn TMĐT")))</f>
        <v/>
      </c>
      <c r="Q349" s="3" t="n"/>
      <c r="R349" s="4" t="n"/>
      <c r="S349" s="4" t="n"/>
    </row>
    <row r="350">
      <c r="A350" s="3" t="n">
        <v>349</v>
      </c>
      <c r="B350" s="3" t="inlineStr">
        <is>
          <t>KH002</t>
        </is>
      </c>
      <c r="C350" s="4" t="inlineStr">
        <is>
          <t>Nguyễn Hoàng Phú</t>
        </is>
      </c>
      <c r="D350" s="3" t="inlineStr">
        <is>
          <t>HCM</t>
        </is>
      </c>
      <c r="E350" s="3" t="inlineStr">
        <is>
          <t>BẢO TRÂM</t>
        </is>
      </c>
      <c r="F350" s="3" t="inlineStr">
        <is>
          <t>Shopee</t>
        </is>
      </c>
      <c r="G350" s="3" t="inlineStr">
        <is>
          <t>KBY2-090CO</t>
        </is>
      </c>
      <c r="H350" s="4" t="inlineStr">
        <is>
          <t>Khoan inox KingBlue KBY2-090CO</t>
        </is>
      </c>
      <c r="I350" s="3" t="inlineStr">
        <is>
          <t>Cái</t>
        </is>
      </c>
      <c r="J350" s="5" t="n">
        <v>76000</v>
      </c>
      <c r="K350" s="5" t="n">
        <v>94000</v>
      </c>
      <c r="L350" s="6" t="n">
        <v>122000</v>
      </c>
      <c r="M350" s="5" t="n"/>
      <c r="N350" s="5">
        <f>IF(AND(ISNUMBER(M350),ISNUMBER(L350)),M350-L350,"")</f>
        <v/>
      </c>
      <c r="O350" s="7">
        <f>IF(AND(ISNUMBER(M350),ISNUMBER(L350),L350&gt;0),(M350-L350)/L350,"")</f>
        <v/>
      </c>
      <c r="P350" s="3">
        <f>IF(O350="","",IF(O350&lt;-0.02,"🔴 Bán phá giá sàn",IF(O350&gt;0.05,"🔵 Bán cao hơn","🟢 Đúng giá sàn TMĐT")))</f>
        <v/>
      </c>
      <c r="Q350" s="3" t="n"/>
      <c r="R350" s="4" t="n"/>
      <c r="S350" s="4" t="n"/>
    </row>
    <row r="351">
      <c r="A351" s="3" t="n">
        <v>350</v>
      </c>
      <c r="B351" s="3" t="inlineStr">
        <is>
          <t>KH002</t>
        </is>
      </c>
      <c r="C351" s="4" t="inlineStr">
        <is>
          <t>Nguyễn Hoàng Phú</t>
        </is>
      </c>
      <c r="D351" s="3" t="inlineStr">
        <is>
          <t>HCM</t>
        </is>
      </c>
      <c r="E351" s="3" t="inlineStr">
        <is>
          <t>BẢO TRÂM</t>
        </is>
      </c>
      <c r="F351" s="3" t="inlineStr">
        <is>
          <t>Shopee</t>
        </is>
      </c>
      <c r="G351" s="3" t="inlineStr">
        <is>
          <t>KBY2-100CO</t>
        </is>
      </c>
      <c r="H351" s="4" t="inlineStr">
        <is>
          <t>Khoan inox KingBlue KBY2-100CO</t>
        </is>
      </c>
      <c r="I351" s="3" t="inlineStr">
        <is>
          <t>Cái</t>
        </is>
      </c>
      <c r="J351" s="5" t="n">
        <v>101000</v>
      </c>
      <c r="K351" s="5" t="n">
        <v>125000</v>
      </c>
      <c r="L351" s="6" t="n">
        <v>162000</v>
      </c>
      <c r="M351" s="5" t="n"/>
      <c r="N351" s="5">
        <f>IF(AND(ISNUMBER(M351),ISNUMBER(L351)),M351-L351,"")</f>
        <v/>
      </c>
      <c r="O351" s="7">
        <f>IF(AND(ISNUMBER(M351),ISNUMBER(L351),L351&gt;0),(M351-L351)/L351,"")</f>
        <v/>
      </c>
      <c r="P351" s="3">
        <f>IF(O351="","",IF(O351&lt;-0.02,"🔴 Bán phá giá sàn",IF(O351&gt;0.05,"🔵 Bán cao hơn","🟢 Đúng giá sàn TMĐT")))</f>
        <v/>
      </c>
      <c r="Q351" s="3" t="n"/>
      <c r="R351" s="4" t="n"/>
      <c r="S351" s="4" t="n"/>
    </row>
    <row r="352">
      <c r="A352" s="3" t="n">
        <v>351</v>
      </c>
      <c r="B352" s="3" t="inlineStr">
        <is>
          <t>KH002</t>
        </is>
      </c>
      <c r="C352" s="4" t="inlineStr">
        <is>
          <t>Nguyễn Hoàng Phú</t>
        </is>
      </c>
      <c r="D352" s="3" t="inlineStr">
        <is>
          <t>HCM</t>
        </is>
      </c>
      <c r="E352" s="3" t="inlineStr">
        <is>
          <t>BẢO TRÂM</t>
        </is>
      </c>
      <c r="F352" s="3" t="inlineStr">
        <is>
          <t>Shopee</t>
        </is>
      </c>
      <c r="G352" s="3" t="inlineStr">
        <is>
          <t>KBY2-105CO</t>
        </is>
      </c>
      <c r="H352" s="4" t="inlineStr">
        <is>
          <t>Khoan inox KingBlue KBY2-105CO</t>
        </is>
      </c>
      <c r="I352" s="3" t="inlineStr">
        <is>
          <t>Cái</t>
        </is>
      </c>
      <c r="J352" s="5" t="n">
        <v>116000</v>
      </c>
      <c r="K352" s="5" t="n">
        <v>144000</v>
      </c>
      <c r="L352" s="6" t="n">
        <v>186000</v>
      </c>
      <c r="M352" s="5" t="n"/>
      <c r="N352" s="5">
        <f>IF(AND(ISNUMBER(M352),ISNUMBER(L352)),M352-L352,"")</f>
        <v/>
      </c>
      <c r="O352" s="7">
        <f>IF(AND(ISNUMBER(M352),ISNUMBER(L352),L352&gt;0),(M352-L352)/L352,"")</f>
        <v/>
      </c>
      <c r="P352" s="3">
        <f>IF(O352="","",IF(O352&lt;-0.02,"🔴 Bán phá giá sàn",IF(O352&gt;0.05,"🔵 Bán cao hơn","🟢 Đúng giá sàn TMĐT")))</f>
        <v/>
      </c>
      <c r="Q352" s="3" t="n"/>
      <c r="R352" s="4" t="n"/>
      <c r="S352" s="4" t="n"/>
    </row>
    <row r="353">
      <c r="A353" s="3" t="n">
        <v>352</v>
      </c>
      <c r="B353" s="3" t="inlineStr">
        <is>
          <t>KH002</t>
        </is>
      </c>
      <c r="C353" s="4" t="inlineStr">
        <is>
          <t>Nguyễn Hoàng Phú</t>
        </is>
      </c>
      <c r="D353" s="3" t="inlineStr">
        <is>
          <t>HCM</t>
        </is>
      </c>
      <c r="E353" s="3" t="inlineStr">
        <is>
          <t>BẢO TRÂM</t>
        </is>
      </c>
      <c r="F353" s="3" t="inlineStr">
        <is>
          <t>Shopee</t>
        </is>
      </c>
      <c r="G353" s="3" t="inlineStr">
        <is>
          <t>KBY2-120CO</t>
        </is>
      </c>
      <c r="H353" s="4" t="inlineStr">
        <is>
          <t>Khoan inox KingBlue KBY2-120CO</t>
        </is>
      </c>
      <c r="I353" s="3" t="inlineStr">
        <is>
          <t>Cái</t>
        </is>
      </c>
      <c r="J353" s="5" t="n">
        <v>162000</v>
      </c>
      <c r="K353" s="5" t="n">
        <v>201000</v>
      </c>
      <c r="L353" s="6" t="n">
        <v>259000</v>
      </c>
      <c r="M353" s="5" t="n"/>
      <c r="N353" s="5">
        <f>IF(AND(ISNUMBER(M353),ISNUMBER(L353)),M353-L353,"")</f>
        <v/>
      </c>
      <c r="O353" s="7">
        <f>IF(AND(ISNUMBER(M353),ISNUMBER(L353),L353&gt;0),(M353-L353)/L353,"")</f>
        <v/>
      </c>
      <c r="P353" s="3">
        <f>IF(O353="","",IF(O353&lt;-0.02,"🔴 Bán phá giá sàn",IF(O353&gt;0.05,"🔵 Bán cao hơn","🟢 Đúng giá sàn TMĐT")))</f>
        <v/>
      </c>
      <c r="Q353" s="3" t="n"/>
      <c r="R353" s="4" t="n"/>
      <c r="S353" s="4" t="n"/>
    </row>
    <row r="354">
      <c r="A354" s="3" t="n">
        <v>353</v>
      </c>
      <c r="B354" s="3" t="inlineStr">
        <is>
          <t>KH002</t>
        </is>
      </c>
      <c r="C354" s="4" t="inlineStr">
        <is>
          <t>Nguyễn Hoàng Phú</t>
        </is>
      </c>
      <c r="D354" s="3" t="inlineStr">
        <is>
          <t>HCM</t>
        </is>
      </c>
      <c r="E354" s="3" t="inlineStr">
        <is>
          <t>BẢO TRÂM</t>
        </is>
      </c>
      <c r="F354" s="3" t="inlineStr">
        <is>
          <t>Shopee</t>
        </is>
      </c>
      <c r="G354" s="3" t="inlineStr">
        <is>
          <t>KBY2-130CO</t>
        </is>
      </c>
      <c r="H354" s="4" t="inlineStr">
        <is>
          <t>Khoan inox KingBlue KBY2-130CO</t>
        </is>
      </c>
      <c r="I354" s="3" t="inlineStr">
        <is>
          <t>Cái</t>
        </is>
      </c>
      <c r="J354" s="5" t="n">
        <v>190000</v>
      </c>
      <c r="K354" s="5" t="n">
        <v>236000</v>
      </c>
      <c r="L354" s="6" t="n">
        <v>304000</v>
      </c>
      <c r="M354" s="5" t="n"/>
      <c r="N354" s="5">
        <f>IF(AND(ISNUMBER(M354),ISNUMBER(L354)),M354-L354,"")</f>
        <v/>
      </c>
      <c r="O354" s="7">
        <f>IF(AND(ISNUMBER(M354),ISNUMBER(L354),L354&gt;0),(M354-L354)/L354,"")</f>
        <v/>
      </c>
      <c r="P354" s="3">
        <f>IF(O354="","",IF(O354&lt;-0.02,"🔴 Bán phá giá sàn",IF(O354&gt;0.05,"🔵 Bán cao hơn","🟢 Đúng giá sàn TMĐT")))</f>
        <v/>
      </c>
      <c r="Q354" s="3" t="n"/>
      <c r="R354" s="4" t="n"/>
      <c r="S354" s="4" t="n"/>
    </row>
    <row r="355">
      <c r="A355" s="3" t="n">
        <v>354</v>
      </c>
      <c r="B355" s="3" t="inlineStr">
        <is>
          <t>KH002</t>
        </is>
      </c>
      <c r="C355" s="4" t="inlineStr">
        <is>
          <t>Nguyễn Hoàng Phú</t>
        </is>
      </c>
      <c r="D355" s="3" t="inlineStr">
        <is>
          <t>HCM</t>
        </is>
      </c>
      <c r="E355" s="3" t="inlineStr">
        <is>
          <t>BẢO TRÂM</t>
        </is>
      </c>
      <c r="F355" s="3" t="inlineStr">
        <is>
          <t>Shopee</t>
        </is>
      </c>
      <c r="G355" s="3" t="inlineStr">
        <is>
          <t>KBB-08MM</t>
        </is>
      </c>
      <c r="H355" s="4" t="inlineStr">
        <is>
          <t>Khoan Kính KingBlue KBB-08MM</t>
        </is>
      </c>
      <c r="I355" s="3" t="inlineStr">
        <is>
          <t>Cái</t>
        </is>
      </c>
      <c r="J355" s="5" t="n">
        <v>269000</v>
      </c>
      <c r="K355" s="5" t="n">
        <v>317000</v>
      </c>
      <c r="L355" s="6" t="n">
        <v>390000</v>
      </c>
      <c r="M355" s="5" t="n"/>
      <c r="N355" s="5">
        <f>IF(AND(ISNUMBER(M355),ISNUMBER(L355)),M355-L355,"")</f>
        <v/>
      </c>
      <c r="O355" s="7">
        <f>IF(AND(ISNUMBER(M355),ISNUMBER(L355),L355&gt;0),(M355-L355)/L355,"")</f>
        <v/>
      </c>
      <c r="P355" s="3">
        <f>IF(O355="","",IF(O355&lt;-0.02,"🔴 Bán phá giá sàn",IF(O355&gt;0.05,"🔵 Bán cao hơn","🟢 Đúng giá sàn TMĐT")))</f>
        <v/>
      </c>
      <c r="Q355" s="3" t="n"/>
      <c r="R355" s="4" t="n"/>
      <c r="S355" s="4" t="n"/>
    </row>
    <row r="356">
      <c r="A356" s="3" t="n">
        <v>355</v>
      </c>
      <c r="B356" s="3" t="inlineStr">
        <is>
          <t>KH002</t>
        </is>
      </c>
      <c r="C356" s="4" t="inlineStr">
        <is>
          <t>Nguyễn Hoàng Phú</t>
        </is>
      </c>
      <c r="D356" s="3" t="inlineStr">
        <is>
          <t>HCM</t>
        </is>
      </c>
      <c r="E356" s="3" t="inlineStr">
        <is>
          <t>BẢO TRÂM</t>
        </is>
      </c>
      <c r="F356" s="3" t="inlineStr">
        <is>
          <t>Shopee</t>
        </is>
      </c>
      <c r="G356" s="3" t="inlineStr">
        <is>
          <t>KBB-16MM</t>
        </is>
      </c>
      <c r="H356" s="4" t="inlineStr">
        <is>
          <t>Khoan Kính KingBlue KBB-16MM</t>
        </is>
      </c>
      <c r="I356" s="3" t="inlineStr">
        <is>
          <t>Cái</t>
        </is>
      </c>
      <c r="J356" s="5" t="n">
        <v>269000</v>
      </c>
      <c r="K356" s="5" t="n">
        <v>317000</v>
      </c>
      <c r="L356" s="6" t="n">
        <v>390000</v>
      </c>
      <c r="M356" s="5" t="n"/>
      <c r="N356" s="5">
        <f>IF(AND(ISNUMBER(M356),ISNUMBER(L356)),M356-L356,"")</f>
        <v/>
      </c>
      <c r="O356" s="7">
        <f>IF(AND(ISNUMBER(M356),ISNUMBER(L356),L356&gt;0),(M356-L356)/L356,"")</f>
        <v/>
      </c>
      <c r="P356" s="3">
        <f>IF(O356="","",IF(O356&lt;-0.02,"🔴 Bán phá giá sàn",IF(O356&gt;0.05,"🔵 Bán cao hơn","🟢 Đúng giá sàn TMĐT")))</f>
        <v/>
      </c>
      <c r="Q356" s="3" t="n"/>
      <c r="R356" s="4" t="n"/>
      <c r="S356" s="4" t="n"/>
    </row>
    <row r="357">
      <c r="A357" s="3" t="n">
        <v>356</v>
      </c>
      <c r="B357" s="3" t="inlineStr">
        <is>
          <t>KH002</t>
        </is>
      </c>
      <c r="C357" s="4" t="inlineStr">
        <is>
          <t>Nguyễn Hoàng Phú</t>
        </is>
      </c>
      <c r="D357" s="3" t="inlineStr">
        <is>
          <t>HCM</t>
        </is>
      </c>
      <c r="E357" s="3" t="inlineStr">
        <is>
          <t>BẢO TRÂM</t>
        </is>
      </c>
      <c r="F357" s="3" t="inlineStr">
        <is>
          <t>Shopee</t>
        </is>
      </c>
      <c r="G357" s="3" t="inlineStr">
        <is>
          <t>KBB-27MM</t>
        </is>
      </c>
      <c r="H357" s="4" t="inlineStr">
        <is>
          <t>Khoan Kính KingBlue KBB-27MM</t>
        </is>
      </c>
      <c r="I357" s="3" t="inlineStr">
        <is>
          <t>Cái</t>
        </is>
      </c>
      <c r="J357" s="5" t="n">
        <v>269000</v>
      </c>
      <c r="K357" s="5" t="n">
        <v>317000</v>
      </c>
      <c r="L357" s="6" t="n">
        <v>390000</v>
      </c>
      <c r="M357" s="5" t="n"/>
      <c r="N357" s="5">
        <f>IF(AND(ISNUMBER(M357),ISNUMBER(L357)),M357-L357,"")</f>
        <v/>
      </c>
      <c r="O357" s="7">
        <f>IF(AND(ISNUMBER(M357),ISNUMBER(L357),L357&gt;0),(M357-L357)/L357,"")</f>
        <v/>
      </c>
      <c r="P357" s="3">
        <f>IF(O357="","",IF(O357&lt;-0.02,"🔴 Bán phá giá sàn",IF(O357&gt;0.05,"🔵 Bán cao hơn","🟢 Đúng giá sàn TMĐT")))</f>
        <v/>
      </c>
      <c r="Q357" s="3" t="n"/>
      <c r="R357" s="4" t="n"/>
      <c r="S357" s="4" t="n"/>
    </row>
    <row r="358">
      <c r="A358" s="3" t="n">
        <v>357</v>
      </c>
      <c r="B358" s="3" t="inlineStr">
        <is>
          <t>KH002</t>
        </is>
      </c>
      <c r="C358" s="4" t="inlineStr">
        <is>
          <t>Nguyễn Hoàng Phú</t>
        </is>
      </c>
      <c r="D358" s="3" t="inlineStr">
        <is>
          <t>HCM</t>
        </is>
      </c>
      <c r="E358" s="3" t="inlineStr">
        <is>
          <t>BẢO TRÂM</t>
        </is>
      </c>
      <c r="F358" s="3" t="inlineStr">
        <is>
          <t>Shopee</t>
        </is>
      </c>
      <c r="G358" s="3" t="inlineStr">
        <is>
          <t>KBB-35MM</t>
        </is>
      </c>
      <c r="H358" s="4" t="inlineStr">
        <is>
          <t>Khoan Kính KingBlue KBB-35MM</t>
        </is>
      </c>
      <c r="I358" s="3" t="inlineStr">
        <is>
          <t>Cái</t>
        </is>
      </c>
      <c r="J358" s="5" t="n">
        <v>269000</v>
      </c>
      <c r="K358" s="5" t="n">
        <v>317000</v>
      </c>
      <c r="L358" s="6" t="n">
        <v>390000</v>
      </c>
      <c r="M358" s="5" t="n"/>
      <c r="N358" s="5">
        <f>IF(AND(ISNUMBER(M358),ISNUMBER(L358)),M358-L358,"")</f>
        <v/>
      </c>
      <c r="O358" s="7">
        <f>IF(AND(ISNUMBER(M358),ISNUMBER(L358),L358&gt;0),(M358-L358)/L358,"")</f>
        <v/>
      </c>
      <c r="P358" s="3">
        <f>IF(O358="","",IF(O358&lt;-0.02,"🔴 Bán phá giá sàn",IF(O358&gt;0.05,"🔵 Bán cao hơn","🟢 Đúng giá sàn TMĐT")))</f>
        <v/>
      </c>
      <c r="Q358" s="3" t="n"/>
      <c r="R358" s="4" t="n"/>
      <c r="S358" s="4" t="n"/>
    </row>
    <row r="359">
      <c r="A359" s="3" t="n">
        <v>358</v>
      </c>
      <c r="B359" s="3" t="inlineStr">
        <is>
          <t>KH002</t>
        </is>
      </c>
      <c r="C359" s="4" t="inlineStr">
        <is>
          <t>Nguyễn Hoàng Phú</t>
        </is>
      </c>
      <c r="D359" s="3" t="inlineStr">
        <is>
          <t>HCM</t>
        </is>
      </c>
      <c r="E359" s="3" t="inlineStr">
        <is>
          <t>BẢO TRÂM</t>
        </is>
      </c>
      <c r="F359" s="3" t="inlineStr">
        <is>
          <t>Shopee</t>
        </is>
      </c>
      <c r="G359" s="3" t="inlineStr">
        <is>
          <t>KBB-60MM</t>
        </is>
      </c>
      <c r="H359" s="4" t="inlineStr">
        <is>
          <t>Khoan Kính KingBlue KBB-60MM</t>
        </is>
      </c>
      <c r="I359" s="3" t="inlineStr">
        <is>
          <t>Cái</t>
        </is>
      </c>
      <c r="J359" s="5" t="n">
        <v>269000</v>
      </c>
      <c r="K359" s="5" t="n">
        <v>317000</v>
      </c>
      <c r="L359" s="6" t="n">
        <v>390000</v>
      </c>
      <c r="M359" s="5" t="n"/>
      <c r="N359" s="5">
        <f>IF(AND(ISNUMBER(M359),ISNUMBER(L359)),M359-L359,"")</f>
        <v/>
      </c>
      <c r="O359" s="7">
        <f>IF(AND(ISNUMBER(M359),ISNUMBER(L359),L359&gt;0),(M359-L359)/L359,"")</f>
        <v/>
      </c>
      <c r="P359" s="3">
        <f>IF(O359="","",IF(O359&lt;-0.02,"🔴 Bán phá giá sàn",IF(O359&gt;0.05,"🔵 Bán cao hơn","🟢 Đúng giá sàn TMĐT")))</f>
        <v/>
      </c>
      <c r="Q359" s="3" t="n"/>
      <c r="R359" s="4" t="n"/>
      <c r="S359" s="4" t="n"/>
    </row>
    <row r="360">
      <c r="A360" s="3" t="n">
        <v>359</v>
      </c>
      <c r="B360" s="3" t="inlineStr">
        <is>
          <t>KH002</t>
        </is>
      </c>
      <c r="C360" s="4" t="inlineStr">
        <is>
          <t>Nguyễn Hoàng Phú</t>
        </is>
      </c>
      <c r="D360" s="3" t="inlineStr">
        <is>
          <t>HCM</t>
        </is>
      </c>
      <c r="E360" s="3" t="inlineStr">
        <is>
          <t>BẢO TRÂM</t>
        </is>
      </c>
      <c r="F360" s="3" t="inlineStr">
        <is>
          <t>Shopee</t>
        </is>
      </c>
      <c r="G360" s="3" t="inlineStr">
        <is>
          <t>KRLK-27*370</t>
        </is>
      </c>
      <c r="H360" s="4" t="inlineStr">
        <is>
          <t>Khoan rút lõi bê tông nước + khô KRLK-27*370</t>
        </is>
      </c>
      <c r="I360" s="3" t="inlineStr">
        <is>
          <t>Cái</t>
        </is>
      </c>
      <c r="J360" s="5" t="n">
        <v>145000</v>
      </c>
      <c r="K360" s="5" t="n">
        <v>174000</v>
      </c>
      <c r="L360" s="6" t="n">
        <v>218000</v>
      </c>
      <c r="M360" s="5" t="n"/>
      <c r="N360" s="5">
        <f>IF(AND(ISNUMBER(M360),ISNUMBER(L360)),M360-L360,"")</f>
        <v/>
      </c>
      <c r="O360" s="7">
        <f>IF(AND(ISNUMBER(M360),ISNUMBER(L360),L360&gt;0),(M360-L360)/L360,"")</f>
        <v/>
      </c>
      <c r="P360" s="3">
        <f>IF(O360="","",IF(O360&lt;-0.02,"🔴 Bán phá giá sàn",IF(O360&gt;0.05,"🔵 Bán cao hơn","🟢 Đúng giá sàn TMĐT")))</f>
        <v/>
      </c>
      <c r="Q360" s="3" t="n"/>
      <c r="R360" s="4" t="n"/>
      <c r="S360" s="4" t="n"/>
    </row>
    <row r="361">
      <c r="A361" s="3" t="n">
        <v>360</v>
      </c>
      <c r="B361" s="3" t="inlineStr">
        <is>
          <t>KH002</t>
        </is>
      </c>
      <c r="C361" s="4" t="inlineStr">
        <is>
          <t>Nguyễn Hoàng Phú</t>
        </is>
      </c>
      <c r="D361" s="3" t="inlineStr">
        <is>
          <t>HCM</t>
        </is>
      </c>
      <c r="E361" s="3" t="inlineStr">
        <is>
          <t>BẢO TRÂM</t>
        </is>
      </c>
      <c r="F361" s="3" t="inlineStr">
        <is>
          <t>Shopee</t>
        </is>
      </c>
      <c r="G361" s="3" t="inlineStr">
        <is>
          <t>KRLK-32*370</t>
        </is>
      </c>
      <c r="H361" s="4" t="inlineStr">
        <is>
          <t>Khoan rút lõi bê tông nước + khô KRLK-32*370</t>
        </is>
      </c>
      <c r="I361" s="3" t="inlineStr">
        <is>
          <t>Cái</t>
        </is>
      </c>
      <c r="J361" s="5" t="n">
        <v>154000</v>
      </c>
      <c r="K361" s="5" t="n">
        <v>185000</v>
      </c>
      <c r="L361" s="6" t="n">
        <v>231000</v>
      </c>
      <c r="M361" s="5" t="n"/>
      <c r="N361" s="5">
        <f>IF(AND(ISNUMBER(M361),ISNUMBER(L361)),M361-L361,"")</f>
        <v/>
      </c>
      <c r="O361" s="7">
        <f>IF(AND(ISNUMBER(M361),ISNUMBER(L361),L361&gt;0),(M361-L361)/L361,"")</f>
        <v/>
      </c>
      <c r="P361" s="3">
        <f>IF(O361="","",IF(O361&lt;-0.02,"🔴 Bán phá giá sàn",IF(O361&gt;0.05,"🔵 Bán cao hơn","🟢 Đúng giá sàn TMĐT")))</f>
        <v/>
      </c>
      <c r="Q361" s="3" t="n"/>
      <c r="R361" s="4" t="n"/>
      <c r="S361" s="4" t="n"/>
    </row>
    <row r="362">
      <c r="A362" s="3" t="n">
        <v>361</v>
      </c>
      <c r="B362" s="3" t="inlineStr">
        <is>
          <t>KH002</t>
        </is>
      </c>
      <c r="C362" s="4" t="inlineStr">
        <is>
          <t>Nguyễn Hoàng Phú</t>
        </is>
      </c>
      <c r="D362" s="3" t="inlineStr">
        <is>
          <t>HCM</t>
        </is>
      </c>
      <c r="E362" s="3" t="inlineStr">
        <is>
          <t>BẢO TRÂM</t>
        </is>
      </c>
      <c r="F362" s="3" t="inlineStr">
        <is>
          <t>Shopee</t>
        </is>
      </c>
      <c r="G362" s="3" t="inlineStr">
        <is>
          <t>KRLK-36*370</t>
        </is>
      </c>
      <c r="H362" s="4" t="inlineStr">
        <is>
          <t>Khoan rút lõi bê tông nước + khô KRLK-36*370</t>
        </is>
      </c>
      <c r="I362" s="3" t="inlineStr">
        <is>
          <t>Cái</t>
        </is>
      </c>
      <c r="J362" s="5" t="n">
        <v>173000</v>
      </c>
      <c r="K362" s="5" t="n">
        <v>208000</v>
      </c>
      <c r="L362" s="6" t="n">
        <v>260000</v>
      </c>
      <c r="M362" s="5" t="n"/>
      <c r="N362" s="5">
        <f>IF(AND(ISNUMBER(M362),ISNUMBER(L362)),M362-L362,"")</f>
        <v/>
      </c>
      <c r="O362" s="7">
        <f>IF(AND(ISNUMBER(M362),ISNUMBER(L362),L362&gt;0),(M362-L362)/L362,"")</f>
        <v/>
      </c>
      <c r="P362" s="3">
        <f>IF(O362="","",IF(O362&lt;-0.02,"🔴 Bán phá giá sàn",IF(O362&gt;0.05,"🔵 Bán cao hơn","🟢 Đúng giá sàn TMĐT")))</f>
        <v/>
      </c>
      <c r="Q362" s="3" t="n"/>
      <c r="R362" s="4" t="n"/>
      <c r="S362" s="4" t="n"/>
    </row>
    <row r="363">
      <c r="A363" s="3" t="n">
        <v>362</v>
      </c>
      <c r="B363" s="3" t="inlineStr">
        <is>
          <t>KH002</t>
        </is>
      </c>
      <c r="C363" s="4" t="inlineStr">
        <is>
          <t>Nguyễn Hoàng Phú</t>
        </is>
      </c>
      <c r="D363" s="3" t="inlineStr">
        <is>
          <t>HCM</t>
        </is>
      </c>
      <c r="E363" s="3" t="inlineStr">
        <is>
          <t>BẢO TRÂM</t>
        </is>
      </c>
      <c r="F363" s="3" t="inlineStr">
        <is>
          <t>Shopee</t>
        </is>
      </c>
      <c r="G363" s="3" t="inlineStr">
        <is>
          <t>KRLK-40*370</t>
        </is>
      </c>
      <c r="H363" s="4" t="inlineStr">
        <is>
          <t>Khoan rút lõi bê tông nước + khô KRLK-40*370</t>
        </is>
      </c>
      <c r="I363" s="3" t="inlineStr">
        <is>
          <t>Cái</t>
        </is>
      </c>
      <c r="J363" s="5" t="n">
        <v>193000</v>
      </c>
      <c r="K363" s="5" t="n">
        <v>232000</v>
      </c>
      <c r="L363" s="6" t="n">
        <v>290000</v>
      </c>
      <c r="M363" s="5" t="n"/>
      <c r="N363" s="5">
        <f>IF(AND(ISNUMBER(M363),ISNUMBER(L363)),M363-L363,"")</f>
        <v/>
      </c>
      <c r="O363" s="7">
        <f>IF(AND(ISNUMBER(M363),ISNUMBER(L363),L363&gt;0),(M363-L363)/L363,"")</f>
        <v/>
      </c>
      <c r="P363" s="3">
        <f>IF(O363="","",IF(O363&lt;-0.02,"🔴 Bán phá giá sàn",IF(O363&gt;0.05,"🔵 Bán cao hơn","🟢 Đúng giá sàn TMĐT")))</f>
        <v/>
      </c>
      <c r="Q363" s="3" t="n"/>
      <c r="R363" s="4" t="n"/>
      <c r="S363" s="4" t="n"/>
    </row>
    <row r="364">
      <c r="A364" s="3" t="n">
        <v>363</v>
      </c>
      <c r="B364" s="3" t="inlineStr">
        <is>
          <t>KH002</t>
        </is>
      </c>
      <c r="C364" s="4" t="inlineStr">
        <is>
          <t>Nguyễn Hoàng Phú</t>
        </is>
      </c>
      <c r="D364" s="3" t="inlineStr">
        <is>
          <t>HCM</t>
        </is>
      </c>
      <c r="E364" s="3" t="inlineStr">
        <is>
          <t>BẢO TRÂM</t>
        </is>
      </c>
      <c r="F364" s="3" t="inlineStr">
        <is>
          <t>Shopee</t>
        </is>
      </c>
      <c r="G364" s="3" t="inlineStr">
        <is>
          <t>KRLK-44*370</t>
        </is>
      </c>
      <c r="H364" s="4" t="inlineStr">
        <is>
          <t>Khoan rút lõi bê tông nước + khô KRLK-44*370</t>
        </is>
      </c>
      <c r="I364" s="3" t="inlineStr">
        <is>
          <t>Cái</t>
        </is>
      </c>
      <c r="J364" s="5" t="n">
        <v>212000</v>
      </c>
      <c r="K364" s="5" t="n">
        <v>254000</v>
      </c>
      <c r="L364" s="6" t="n">
        <v>318000</v>
      </c>
      <c r="M364" s="5" t="n"/>
      <c r="N364" s="5">
        <f>IF(AND(ISNUMBER(M364),ISNUMBER(L364)),M364-L364,"")</f>
        <v/>
      </c>
      <c r="O364" s="7">
        <f>IF(AND(ISNUMBER(M364),ISNUMBER(L364),L364&gt;0),(M364-L364)/L364,"")</f>
        <v/>
      </c>
      <c r="P364" s="3">
        <f>IF(O364="","",IF(O364&lt;-0.02,"🔴 Bán phá giá sàn",IF(O364&gt;0.05,"🔵 Bán cao hơn","🟢 Đúng giá sàn TMĐT")))</f>
        <v/>
      </c>
      <c r="Q364" s="3" t="n"/>
      <c r="R364" s="4" t="n"/>
      <c r="S364" s="4" t="n"/>
    </row>
    <row r="365">
      <c r="A365" s="3" t="n">
        <v>364</v>
      </c>
      <c r="B365" s="3" t="inlineStr">
        <is>
          <t>KH002</t>
        </is>
      </c>
      <c r="C365" s="4" t="inlineStr">
        <is>
          <t>Nguyễn Hoàng Phú</t>
        </is>
      </c>
      <c r="D365" s="3" t="inlineStr">
        <is>
          <t>HCM</t>
        </is>
      </c>
      <c r="E365" s="3" t="inlineStr">
        <is>
          <t>BẢO TRÂM</t>
        </is>
      </c>
      <c r="F365" s="3" t="inlineStr">
        <is>
          <t>Shopee</t>
        </is>
      </c>
      <c r="G365" s="3" t="inlineStr">
        <is>
          <t>KRLK-51*370</t>
        </is>
      </c>
      <c r="H365" s="4" t="inlineStr">
        <is>
          <t>Khoan rút lõi bê tông nước + khô KRLK-51*370</t>
        </is>
      </c>
      <c r="I365" s="3" t="inlineStr">
        <is>
          <t>Cái</t>
        </is>
      </c>
      <c r="J365" s="5" t="n">
        <v>231000</v>
      </c>
      <c r="K365" s="5" t="n">
        <v>277000</v>
      </c>
      <c r="L365" s="6" t="n">
        <v>347000</v>
      </c>
      <c r="M365" s="5" t="n"/>
      <c r="N365" s="5">
        <f>IF(AND(ISNUMBER(M365),ISNUMBER(L365)),M365-L365,"")</f>
        <v/>
      </c>
      <c r="O365" s="7">
        <f>IF(AND(ISNUMBER(M365),ISNUMBER(L365),L365&gt;0),(M365-L365)/L365,"")</f>
        <v/>
      </c>
      <c r="P365" s="3">
        <f>IF(O365="","",IF(O365&lt;-0.02,"🔴 Bán phá giá sàn",IF(O365&gt;0.05,"🔵 Bán cao hơn","🟢 Đúng giá sàn TMĐT")))</f>
        <v/>
      </c>
      <c r="Q365" s="3" t="n"/>
      <c r="R365" s="4" t="n"/>
      <c r="S365" s="4" t="n"/>
    </row>
    <row r="366">
      <c r="A366" s="3" t="n">
        <v>365</v>
      </c>
      <c r="B366" s="3" t="inlineStr">
        <is>
          <t>KH002</t>
        </is>
      </c>
      <c r="C366" s="4" t="inlineStr">
        <is>
          <t>Nguyễn Hoàng Phú</t>
        </is>
      </c>
      <c r="D366" s="3" t="inlineStr">
        <is>
          <t>HCM</t>
        </is>
      </c>
      <c r="E366" s="3" t="inlineStr">
        <is>
          <t>BẢO TRÂM</t>
        </is>
      </c>
      <c r="F366" s="3" t="inlineStr">
        <is>
          <t>Shopee</t>
        </is>
      </c>
      <c r="G366" s="3" t="inlineStr">
        <is>
          <t>KRLK-56*370</t>
        </is>
      </c>
      <c r="H366" s="4" t="inlineStr">
        <is>
          <t>Khoan rút lõi bê tông nước + khô KRLK-56*370</t>
        </is>
      </c>
      <c r="I366" s="3" t="inlineStr">
        <is>
          <t>Cái</t>
        </is>
      </c>
      <c r="J366" s="5" t="n">
        <v>244000</v>
      </c>
      <c r="K366" s="5" t="n">
        <v>293000</v>
      </c>
      <c r="L366" s="6" t="n">
        <v>366000</v>
      </c>
      <c r="M366" s="5" t="n"/>
      <c r="N366" s="5">
        <f>IF(AND(ISNUMBER(M366),ISNUMBER(L366)),M366-L366,"")</f>
        <v/>
      </c>
      <c r="O366" s="7">
        <f>IF(AND(ISNUMBER(M366),ISNUMBER(L366),L366&gt;0),(M366-L366)/L366,"")</f>
        <v/>
      </c>
      <c r="P366" s="3">
        <f>IF(O366="","",IF(O366&lt;-0.02,"🔴 Bán phá giá sàn",IF(O366&gt;0.05,"🔵 Bán cao hơn","🟢 Đúng giá sàn TMĐT")))</f>
        <v/>
      </c>
      <c r="Q366" s="3" t="n"/>
      <c r="R366" s="4" t="n"/>
      <c r="S366" s="4" t="n"/>
    </row>
    <row r="367">
      <c r="A367" s="3" t="n">
        <v>366</v>
      </c>
      <c r="B367" s="3" t="inlineStr">
        <is>
          <t>KH002</t>
        </is>
      </c>
      <c r="C367" s="4" t="inlineStr">
        <is>
          <t>Nguyễn Hoàng Phú</t>
        </is>
      </c>
      <c r="D367" s="3" t="inlineStr">
        <is>
          <t>HCM</t>
        </is>
      </c>
      <c r="E367" s="3" t="inlineStr">
        <is>
          <t>BẢO TRÂM</t>
        </is>
      </c>
      <c r="F367" s="3" t="inlineStr">
        <is>
          <t>Shopee</t>
        </is>
      </c>
      <c r="G367" s="3" t="inlineStr">
        <is>
          <t>KRLK-63*370</t>
        </is>
      </c>
      <c r="H367" s="4" t="inlineStr">
        <is>
          <t>Khoan rút lõi bê tông nước + khô KRLK-63*370</t>
        </is>
      </c>
      <c r="I367" s="3" t="inlineStr">
        <is>
          <t>Cái</t>
        </is>
      </c>
      <c r="J367" s="5" t="n">
        <v>282000</v>
      </c>
      <c r="K367" s="5" t="n">
        <v>338000</v>
      </c>
      <c r="L367" s="6" t="n">
        <v>423000</v>
      </c>
      <c r="M367" s="5" t="n"/>
      <c r="N367" s="5">
        <f>IF(AND(ISNUMBER(M367),ISNUMBER(L367)),M367-L367,"")</f>
        <v/>
      </c>
      <c r="O367" s="7">
        <f>IF(AND(ISNUMBER(M367),ISNUMBER(L367),L367&gt;0),(M367-L367)/L367,"")</f>
        <v/>
      </c>
      <c r="P367" s="3">
        <f>IF(O367="","",IF(O367&lt;-0.02,"🔴 Bán phá giá sàn",IF(O367&gt;0.05,"🔵 Bán cao hơn","🟢 Đúng giá sàn TMĐT")))</f>
        <v/>
      </c>
      <c r="Q367" s="3" t="n"/>
      <c r="R367" s="4" t="n"/>
      <c r="S367" s="4" t="n"/>
    </row>
    <row r="368">
      <c r="A368" s="3" t="n">
        <v>367</v>
      </c>
      <c r="B368" s="3" t="inlineStr">
        <is>
          <t>KH002</t>
        </is>
      </c>
      <c r="C368" s="4" t="inlineStr">
        <is>
          <t>Nguyễn Hoàng Phú</t>
        </is>
      </c>
      <c r="D368" s="3" t="inlineStr">
        <is>
          <t>HCM</t>
        </is>
      </c>
      <c r="E368" s="3" t="inlineStr">
        <is>
          <t>BẢO TRÂM</t>
        </is>
      </c>
      <c r="F368" s="3" t="inlineStr">
        <is>
          <t>Shopee</t>
        </is>
      </c>
      <c r="G368" s="3" t="inlineStr">
        <is>
          <t>E3-105DN</t>
        </is>
      </c>
      <c r="H368" s="4" t="inlineStr">
        <is>
          <t>Lưỡi cắt KingBlue E3-105DN</t>
        </is>
      </c>
      <c r="I368" s="3" t="inlineStr">
        <is>
          <t>Cái</t>
        </is>
      </c>
      <c r="J368" s="5" t="n">
        <v>70000</v>
      </c>
      <c r="K368" s="5" t="n">
        <v>83000</v>
      </c>
      <c r="L368" s="6" t="n">
        <v>102000</v>
      </c>
      <c r="M368" s="5" t="n"/>
      <c r="N368" s="5">
        <f>IF(AND(ISNUMBER(M368),ISNUMBER(L368)),M368-L368,"")</f>
        <v/>
      </c>
      <c r="O368" s="7">
        <f>IF(AND(ISNUMBER(M368),ISNUMBER(L368),L368&gt;0),(M368-L368)/L368,"")</f>
        <v/>
      </c>
      <c r="P368" s="3">
        <f>IF(O368="","",IF(O368&lt;-0.02,"🔴 Bán phá giá sàn",IF(O368&gt;0.05,"🔵 Bán cao hơn","🟢 Đúng giá sàn TMĐT")))</f>
        <v/>
      </c>
      <c r="Q368" s="3" t="n"/>
      <c r="R368" s="4" t="n"/>
      <c r="S368" s="4" t="n"/>
    </row>
    <row r="369">
      <c r="A369" s="3" t="n">
        <v>368</v>
      </c>
      <c r="B369" s="3" t="inlineStr">
        <is>
          <t>KH002</t>
        </is>
      </c>
      <c r="C369" s="4" t="inlineStr">
        <is>
          <t>Nguyễn Hoàng Phú</t>
        </is>
      </c>
      <c r="D369" s="3" t="inlineStr">
        <is>
          <t>HCM</t>
        </is>
      </c>
      <c r="E369" s="3" t="inlineStr">
        <is>
          <t>BẢO TRÂM</t>
        </is>
      </c>
      <c r="F369" s="3" t="inlineStr">
        <is>
          <t>Shopee</t>
        </is>
      </c>
      <c r="G369" s="3" t="inlineStr">
        <is>
          <t>E3-125DN</t>
        </is>
      </c>
      <c r="H369" s="4" t="inlineStr">
        <is>
          <t>Lưỡi cắt KingBlue E3-125DN</t>
        </is>
      </c>
      <c r="I369" s="3" t="inlineStr">
        <is>
          <t>Cái</t>
        </is>
      </c>
      <c r="J369" s="5" t="n">
        <v>88000</v>
      </c>
      <c r="K369" s="5" t="n">
        <v>104000</v>
      </c>
      <c r="L369" s="6" t="n">
        <v>128000</v>
      </c>
      <c r="M369" s="5" t="n"/>
      <c r="N369" s="5">
        <f>IF(AND(ISNUMBER(M369),ISNUMBER(L369)),M369-L369,"")</f>
        <v/>
      </c>
      <c r="O369" s="7">
        <f>IF(AND(ISNUMBER(M369),ISNUMBER(L369),L369&gt;0),(M369-L369)/L369,"")</f>
        <v/>
      </c>
      <c r="P369" s="3">
        <f>IF(O369="","",IF(O369&lt;-0.02,"🔴 Bán phá giá sàn",IF(O369&gt;0.05,"🔵 Bán cao hơn","🟢 Đúng giá sàn TMĐT")))</f>
        <v/>
      </c>
      <c r="Q369" s="3" t="n"/>
      <c r="R369" s="4" t="n"/>
      <c r="S369" s="4" t="n"/>
    </row>
    <row r="370">
      <c r="A370" s="3" t="n">
        <v>369</v>
      </c>
      <c r="B370" s="3" t="inlineStr">
        <is>
          <t>KH002</t>
        </is>
      </c>
      <c r="C370" s="4" t="inlineStr">
        <is>
          <t>Nguyễn Hoàng Phú</t>
        </is>
      </c>
      <c r="D370" s="3" t="inlineStr">
        <is>
          <t>HCM</t>
        </is>
      </c>
      <c r="E370" s="3" t="inlineStr">
        <is>
          <t>BẢO TRÂM</t>
        </is>
      </c>
      <c r="F370" s="3" t="inlineStr">
        <is>
          <t>Shopee</t>
        </is>
      </c>
      <c r="G370" s="3" t="inlineStr">
        <is>
          <t>S1-105DN</t>
        </is>
      </c>
      <c r="H370" s="4" t="inlineStr">
        <is>
          <t>Lưỡi cắt KingBlue S1-105DN</t>
        </is>
      </c>
      <c r="I370" s="3" t="inlineStr">
        <is>
          <t>Cái</t>
        </is>
      </c>
      <c r="J370" s="5" t="n">
        <v>60000</v>
      </c>
      <c r="K370" s="5" t="n">
        <v>71000</v>
      </c>
      <c r="L370" s="6" t="n">
        <v>87000</v>
      </c>
      <c r="M370" s="5" t="n"/>
      <c r="N370" s="5">
        <f>IF(AND(ISNUMBER(M370),ISNUMBER(L370)),M370-L370,"")</f>
        <v/>
      </c>
      <c r="O370" s="7">
        <f>IF(AND(ISNUMBER(M370),ISNUMBER(L370),L370&gt;0),(M370-L370)/L370,"")</f>
        <v/>
      </c>
      <c r="P370" s="3">
        <f>IF(O370="","",IF(O370&lt;-0.02,"🔴 Bán phá giá sàn",IF(O370&gt;0.05,"🔵 Bán cao hơn","🟢 Đúng giá sàn TMĐT")))</f>
        <v/>
      </c>
      <c r="Q370" s="3" t="n"/>
      <c r="R370" s="4" t="n"/>
      <c r="S370" s="4" t="n"/>
    </row>
    <row r="371">
      <c r="A371" s="3" t="n">
        <v>370</v>
      </c>
      <c r="B371" s="3" t="inlineStr">
        <is>
          <t>KH002</t>
        </is>
      </c>
      <c r="C371" s="4" t="inlineStr">
        <is>
          <t>Nguyễn Hoàng Phú</t>
        </is>
      </c>
      <c r="D371" s="3" t="inlineStr">
        <is>
          <t>HCM</t>
        </is>
      </c>
      <c r="E371" s="3" t="inlineStr">
        <is>
          <t>BẢO TRÂM</t>
        </is>
      </c>
      <c r="F371" s="3" t="inlineStr">
        <is>
          <t>Shopee</t>
        </is>
      </c>
      <c r="G371" s="3" t="inlineStr">
        <is>
          <t>S1-125DN</t>
        </is>
      </c>
      <c r="H371" s="4" t="inlineStr">
        <is>
          <t>Lưỡi cắt KingBlue S1-125DN</t>
        </is>
      </c>
      <c r="I371" s="3" t="inlineStr">
        <is>
          <t>Cái</t>
        </is>
      </c>
      <c r="J371" s="5" t="n">
        <v>80000</v>
      </c>
      <c r="K371" s="5" t="n">
        <v>94000</v>
      </c>
      <c r="L371" s="6" t="n">
        <v>116000</v>
      </c>
      <c r="M371" s="5" t="n"/>
      <c r="N371" s="5">
        <f>IF(AND(ISNUMBER(M371),ISNUMBER(L371)),M371-L371,"")</f>
        <v/>
      </c>
      <c r="O371" s="7">
        <f>IF(AND(ISNUMBER(M371),ISNUMBER(L371),L371&gt;0),(M371-L371)/L371,"")</f>
        <v/>
      </c>
      <c r="P371" s="3">
        <f>IF(O371="","",IF(O371&lt;-0.02,"🔴 Bán phá giá sàn",IF(O371&gt;0.05,"🔵 Bán cao hơn","🟢 Đúng giá sàn TMĐT")))</f>
        <v/>
      </c>
      <c r="Q371" s="3" t="n"/>
      <c r="R371" s="4" t="n"/>
      <c r="S371" s="4" t="n"/>
    </row>
    <row r="372">
      <c r="A372" s="3" t="n">
        <v>371</v>
      </c>
      <c r="B372" s="3" t="inlineStr">
        <is>
          <t>KH002</t>
        </is>
      </c>
      <c r="C372" s="4" t="inlineStr">
        <is>
          <t>Nguyễn Hoàng Phú</t>
        </is>
      </c>
      <c r="D372" s="3" t="inlineStr">
        <is>
          <t>HCM</t>
        </is>
      </c>
      <c r="E372" s="3" t="inlineStr">
        <is>
          <t>BẢO TRÂM</t>
        </is>
      </c>
      <c r="F372" s="3" t="inlineStr">
        <is>
          <t>Shopee</t>
        </is>
      </c>
      <c r="G372" s="3" t="inlineStr">
        <is>
          <t>TS-114R</t>
        </is>
      </c>
      <c r="H372" s="4" t="inlineStr">
        <is>
          <t>Lưỡi cắt KingBlue TS-114R</t>
        </is>
      </c>
      <c r="I372" s="3" t="inlineStr">
        <is>
          <t>Cái</t>
        </is>
      </c>
      <c r="J372" s="5" t="n">
        <v>53000</v>
      </c>
      <c r="K372" s="5" t="n">
        <v>63000</v>
      </c>
      <c r="L372" s="6" t="n">
        <v>77000</v>
      </c>
      <c r="M372" s="5" t="n"/>
      <c r="N372" s="5">
        <f>IF(AND(ISNUMBER(M372),ISNUMBER(L372)),M372-L372,"")</f>
        <v/>
      </c>
      <c r="O372" s="7">
        <f>IF(AND(ISNUMBER(M372),ISNUMBER(L372),L372&gt;0),(M372-L372)/L372,"")</f>
        <v/>
      </c>
      <c r="P372" s="3">
        <f>IF(O372="","",IF(O372&lt;-0.02,"🔴 Bán phá giá sàn",IF(O372&gt;0.05,"🔵 Bán cao hơn","🟢 Đúng giá sàn TMĐT")))</f>
        <v/>
      </c>
      <c r="Q372" s="3" t="n"/>
      <c r="R372" s="4" t="n"/>
      <c r="S372" s="4" t="n"/>
    </row>
    <row r="373">
      <c r="A373" s="3" t="n">
        <v>372</v>
      </c>
      <c r="B373" s="3" t="inlineStr">
        <is>
          <t>KH002</t>
        </is>
      </c>
      <c r="C373" s="4" t="inlineStr">
        <is>
          <t>Nguyễn Hoàng Phú</t>
        </is>
      </c>
      <c r="D373" s="3" t="inlineStr">
        <is>
          <t>HCM</t>
        </is>
      </c>
      <c r="E373" s="3" t="inlineStr">
        <is>
          <t>BẢO TRÂM</t>
        </is>
      </c>
      <c r="F373" s="3" t="inlineStr">
        <is>
          <t>Shopee</t>
        </is>
      </c>
      <c r="G373" s="3" t="inlineStr">
        <is>
          <t>V1</t>
        </is>
      </c>
      <c r="H373" s="4" t="inlineStr">
        <is>
          <t>Lưỡi cắt KingBlue V1 110ĐN</t>
        </is>
      </c>
      <c r="I373" s="3" t="inlineStr">
        <is>
          <t>Cái</t>
        </is>
      </c>
      <c r="J373" s="5" t="n">
        <v>59000</v>
      </c>
      <c r="K373" s="5" t="n">
        <v>70000</v>
      </c>
      <c r="L373" s="6" t="n">
        <v>86000</v>
      </c>
      <c r="M373" s="5" t="n"/>
      <c r="N373" s="5">
        <f>IF(AND(ISNUMBER(M373),ISNUMBER(L373)),M373-L373,"")</f>
        <v/>
      </c>
      <c r="O373" s="7">
        <f>IF(AND(ISNUMBER(M373),ISNUMBER(L373),L373&gt;0),(M373-L373)/L373,"")</f>
        <v/>
      </c>
      <c r="P373" s="3">
        <f>IF(O373="","",IF(O373&lt;-0.02,"🔴 Bán phá giá sàn",IF(O373&gt;0.05,"🔵 Bán cao hơn","🟢 Đúng giá sàn TMĐT")))</f>
        <v/>
      </c>
      <c r="Q373" s="3" t="n"/>
      <c r="R373" s="4" t="n"/>
      <c r="S373" s="4" t="n"/>
    </row>
    <row r="374">
      <c r="A374" s="3" t="n">
        <v>373</v>
      </c>
      <c r="B374" s="3" t="inlineStr">
        <is>
          <t>KH002</t>
        </is>
      </c>
      <c r="C374" s="4" t="inlineStr">
        <is>
          <t>Nguyễn Hoàng Phú</t>
        </is>
      </c>
      <c r="D374" s="3" t="inlineStr">
        <is>
          <t>HCM</t>
        </is>
      </c>
      <c r="E374" s="3" t="inlineStr">
        <is>
          <t>BẢO TRÂM</t>
        </is>
      </c>
      <c r="F374" s="3" t="inlineStr">
        <is>
          <t>Shopee</t>
        </is>
      </c>
      <c r="G374" s="3" t="inlineStr">
        <is>
          <t>X1-110x30T</t>
        </is>
      </c>
      <c r="H374" s="4" t="inlineStr">
        <is>
          <t>Lưỡi cưa Kingblue X1-110x30T (Cưa gỗ)-NEW</t>
        </is>
      </c>
      <c r="I374" s="3" t="inlineStr">
        <is>
          <t>Cái</t>
        </is>
      </c>
      <c r="J374" s="5" t="n">
        <v>88000</v>
      </c>
      <c r="K374" s="5" t="n">
        <v>104000</v>
      </c>
      <c r="L374" s="6" t="n">
        <v>128000</v>
      </c>
      <c r="M374" s="5" t="n"/>
      <c r="N374" s="5">
        <f>IF(AND(ISNUMBER(M374),ISNUMBER(L374)),M374-L374,"")</f>
        <v/>
      </c>
      <c r="O374" s="7">
        <f>IF(AND(ISNUMBER(M374),ISNUMBER(L374),L374&gt;0),(M374-L374)/L374,"")</f>
        <v/>
      </c>
      <c r="P374" s="3">
        <f>IF(O374="","",IF(O374&lt;-0.02,"🔴 Bán phá giá sàn",IF(O374&gt;0.05,"🔵 Bán cao hơn","🟢 Đúng giá sàn TMĐT")))</f>
        <v/>
      </c>
      <c r="Q374" s="3" t="n"/>
      <c r="R374" s="4" t="n"/>
      <c r="S374" s="4" t="n"/>
    </row>
    <row r="375">
      <c r="A375" s="3" t="n">
        <v>374</v>
      </c>
      <c r="B375" s="3" t="inlineStr">
        <is>
          <t>KH002</t>
        </is>
      </c>
      <c r="C375" s="4" t="inlineStr">
        <is>
          <t>Nguyễn Hoàng Phú</t>
        </is>
      </c>
      <c r="D375" s="3" t="inlineStr">
        <is>
          <t>HCM</t>
        </is>
      </c>
      <c r="E375" s="3" t="inlineStr">
        <is>
          <t>BẢO TRÂM</t>
        </is>
      </c>
      <c r="F375" s="3" t="inlineStr">
        <is>
          <t>Shopee</t>
        </is>
      </c>
      <c r="G375" s="3" t="inlineStr">
        <is>
          <t>KBA-UL1200</t>
        </is>
      </c>
      <c r="H375" s="4" t="inlineStr">
        <is>
          <t>Máy rửa xe áp lực cao KBA-UL1200</t>
        </is>
      </c>
      <c r="I375" s="3" t="inlineStr">
        <is>
          <t>Cái</t>
        </is>
      </c>
      <c r="J375" s="5" t="n">
        <v>1290000</v>
      </c>
      <c r="K375" s="5" t="n">
        <v>1450000</v>
      </c>
      <c r="L375" s="6" t="n">
        <v>1680000</v>
      </c>
      <c r="M375" s="5" t="n"/>
      <c r="N375" s="5">
        <f>IF(AND(ISNUMBER(M375),ISNUMBER(L375)),M375-L375,"")</f>
        <v/>
      </c>
      <c r="O375" s="7">
        <f>IF(AND(ISNUMBER(M375),ISNUMBER(L375),L375&gt;0),(M375-L375)/L375,"")</f>
        <v/>
      </c>
      <c r="P375" s="3">
        <f>IF(O375="","",IF(O375&lt;-0.02,"🔴 Bán phá giá sàn",IF(O375&gt;0.05,"🔵 Bán cao hơn","🟢 Đúng giá sàn TMĐT")))</f>
        <v/>
      </c>
      <c r="Q375" s="3" t="n"/>
      <c r="R375" s="4" t="n"/>
      <c r="S375" s="4" t="n"/>
    </row>
    <row r="376">
      <c r="A376" s="3" t="n">
        <v>375</v>
      </c>
      <c r="B376" s="3" t="inlineStr">
        <is>
          <t>KH002</t>
        </is>
      </c>
      <c r="C376" s="4" t="inlineStr">
        <is>
          <t>Nguyễn Hoàng Phú</t>
        </is>
      </c>
      <c r="D376" s="3" t="inlineStr">
        <is>
          <t>HCM</t>
        </is>
      </c>
      <c r="E376" s="3" t="inlineStr">
        <is>
          <t>BẢO TRÂM</t>
        </is>
      </c>
      <c r="F376" s="3" t="inlineStr">
        <is>
          <t>Shopee</t>
        </is>
      </c>
      <c r="G376" s="3" t="inlineStr">
        <is>
          <t>V100R</t>
        </is>
      </c>
      <c r="H376" s="4" t="inlineStr">
        <is>
          <t>Mũi bắn vít chống trượt KingBlue V100R</t>
        </is>
      </c>
      <c r="I376" s="3" t="inlineStr">
        <is>
          <t>Vỉ</t>
        </is>
      </c>
      <c r="J376" s="5" t="n">
        <v>29000</v>
      </c>
      <c r="K376" s="5" t="n">
        <v>37000</v>
      </c>
      <c r="L376" s="6" t="n">
        <v>48000</v>
      </c>
      <c r="M376" s="5" t="n"/>
      <c r="N376" s="5">
        <f>IF(AND(ISNUMBER(M376),ISNUMBER(L376)),M376-L376,"")</f>
        <v/>
      </c>
      <c r="O376" s="7">
        <f>IF(AND(ISNUMBER(M376),ISNUMBER(L376),L376&gt;0),(M376-L376)/L376,"")</f>
        <v/>
      </c>
      <c r="P376" s="3">
        <f>IF(O376="","",IF(O376&lt;-0.02,"🔴 Bán phá giá sàn",IF(O376&gt;0.05,"🔵 Bán cao hơn","🟢 Đúng giá sàn TMĐT")))</f>
        <v/>
      </c>
      <c r="Q376" s="3" t="n"/>
      <c r="R376" s="4" t="n"/>
      <c r="S376" s="4" t="n"/>
    </row>
    <row r="377">
      <c r="A377" s="3" t="n">
        <v>376</v>
      </c>
      <c r="B377" s="3" t="inlineStr">
        <is>
          <t>KH002</t>
        </is>
      </c>
      <c r="C377" s="4" t="inlineStr">
        <is>
          <t>Nguyễn Hoàng Phú</t>
        </is>
      </c>
      <c r="D377" s="3" t="inlineStr">
        <is>
          <t>HCM</t>
        </is>
      </c>
      <c r="E377" s="3" t="inlineStr">
        <is>
          <t>BẢO TRÂM</t>
        </is>
      </c>
      <c r="F377" s="3" t="inlineStr">
        <is>
          <t>Shopee</t>
        </is>
      </c>
      <c r="G377" s="3" t="inlineStr">
        <is>
          <t>V150R</t>
        </is>
      </c>
      <c r="H377" s="4" t="inlineStr">
        <is>
          <t>Mũi bắn vít chống trượt KingBlue V150R</t>
        </is>
      </c>
      <c r="I377" s="3" t="inlineStr">
        <is>
          <t>Vỉ</t>
        </is>
      </c>
      <c r="J377" s="5" t="n">
        <v>40000</v>
      </c>
      <c r="K377" s="5" t="n">
        <v>50000</v>
      </c>
      <c r="L377" s="6" t="n">
        <v>66000</v>
      </c>
      <c r="M377" s="5" t="n"/>
      <c r="N377" s="5">
        <f>IF(AND(ISNUMBER(M377),ISNUMBER(L377)),M377-L377,"")</f>
        <v/>
      </c>
      <c r="O377" s="7">
        <f>IF(AND(ISNUMBER(M377),ISNUMBER(L377),L377&gt;0),(M377-L377)/L377,"")</f>
        <v/>
      </c>
      <c r="P377" s="3">
        <f>IF(O377="","",IF(O377&lt;-0.02,"🔴 Bán phá giá sàn",IF(O377&gt;0.05,"🔵 Bán cao hơn","🟢 Đúng giá sàn TMĐT")))</f>
        <v/>
      </c>
      <c r="Q377" s="3" t="n"/>
      <c r="R377" s="4" t="n"/>
      <c r="S377" s="4" t="n"/>
    </row>
    <row r="378">
      <c r="A378" s="3" t="n">
        <v>377</v>
      </c>
      <c r="B378" s="3" t="inlineStr">
        <is>
          <t>KH002</t>
        </is>
      </c>
      <c r="C378" s="4" t="inlineStr">
        <is>
          <t>Nguyễn Hoàng Phú</t>
        </is>
      </c>
      <c r="D378" s="3" t="inlineStr">
        <is>
          <t>HCM</t>
        </is>
      </c>
      <c r="E378" s="3" t="inlineStr">
        <is>
          <t>BẢO TRÂM</t>
        </is>
      </c>
      <c r="F378" s="3" t="inlineStr">
        <is>
          <t>Shopee</t>
        </is>
      </c>
      <c r="G378" s="3" t="inlineStr">
        <is>
          <t>V65R</t>
        </is>
      </c>
      <c r="H378" s="4" t="inlineStr">
        <is>
          <t>Mũi bắn vít chống trượt KingBlue V65R</t>
        </is>
      </c>
      <c r="I378" s="3" t="inlineStr">
        <is>
          <t>Vỉ</t>
        </is>
      </c>
      <c r="J378" s="5" t="n">
        <v>20000</v>
      </c>
      <c r="K378" s="5" t="n">
        <v>25000</v>
      </c>
      <c r="L378" s="6" t="n">
        <v>33000</v>
      </c>
      <c r="M378" s="5" t="n"/>
      <c r="N378" s="5">
        <f>IF(AND(ISNUMBER(M378),ISNUMBER(L378)),M378-L378,"")</f>
        <v/>
      </c>
      <c r="O378" s="7">
        <f>IF(AND(ISNUMBER(M378),ISNUMBER(L378),L378&gt;0),(M378-L378)/L378,"")</f>
        <v/>
      </c>
      <c r="P378" s="3">
        <f>IF(O378="","",IF(O378&lt;-0.02,"🔴 Bán phá giá sàn",IF(O378&gt;0.05,"🔵 Bán cao hơn","🟢 Đúng giá sàn TMĐT")))</f>
        <v/>
      </c>
      <c r="Q378" s="3" t="n"/>
      <c r="R378" s="4" t="n"/>
      <c r="S378" s="4" t="n"/>
    </row>
    <row r="379">
      <c r="A379" s="3" t="n">
        <v>378</v>
      </c>
      <c r="B379" s="3" t="inlineStr">
        <is>
          <t>KH002</t>
        </is>
      </c>
      <c r="C379" s="4" t="inlineStr">
        <is>
          <t>Nguyễn Hoàng Phú</t>
        </is>
      </c>
      <c r="D379" s="3" t="inlineStr">
        <is>
          <t>HCM</t>
        </is>
      </c>
      <c r="E379" s="3" t="inlineStr">
        <is>
          <t>BẢO TRÂM</t>
        </is>
      </c>
      <c r="F379" s="3" t="inlineStr">
        <is>
          <t>Shopee</t>
        </is>
      </c>
      <c r="G379" s="3" t="inlineStr"/>
      <c r="H379" s="4" t="inlineStr">
        <is>
          <t>Mũi đục bê tông KBVd-14*250*22</t>
        </is>
      </c>
      <c r="I379" s="3" t="inlineStr">
        <is>
          <t>Cái</t>
        </is>
      </c>
      <c r="J379" s="5" t="n">
        <v>269000</v>
      </c>
      <c r="K379" s="5" t="n">
        <v>317000</v>
      </c>
      <c r="L379" s="6" t="n">
        <v>390000</v>
      </c>
      <c r="M379" s="5" t="n"/>
      <c r="N379" s="5">
        <f>IF(AND(ISNUMBER(M379),ISNUMBER(L379)),M379-L379,"")</f>
        <v/>
      </c>
      <c r="O379" s="7">
        <f>IF(AND(ISNUMBER(M379),ISNUMBER(L379),L379&gt;0),(M379-L379)/L379,"")</f>
        <v/>
      </c>
      <c r="P379" s="3">
        <f>IF(O379="","",IF(O379&lt;-0.02,"🔴 Bán phá giá sàn",IF(O379&gt;0.05,"🔵 Bán cao hơn","🟢 Đúng giá sàn TMĐT")))</f>
        <v/>
      </c>
      <c r="Q379" s="3" t="n"/>
      <c r="R379" s="4" t="n"/>
      <c r="S379" s="4" t="n"/>
    </row>
    <row r="380">
      <c r="A380" s="3" t="n">
        <v>379</v>
      </c>
      <c r="B380" s="3" t="inlineStr">
        <is>
          <t>KH002</t>
        </is>
      </c>
      <c r="C380" s="4" t="inlineStr">
        <is>
          <t>Nguyễn Hoàng Phú</t>
        </is>
      </c>
      <c r="D380" s="3" t="inlineStr">
        <is>
          <t>HCM</t>
        </is>
      </c>
      <c r="E380" s="3" t="inlineStr">
        <is>
          <t>BẢO TRÂM</t>
        </is>
      </c>
      <c r="F380" s="3" t="inlineStr">
        <is>
          <t>Shopee</t>
        </is>
      </c>
      <c r="G380" s="3" t="inlineStr"/>
      <c r="H380" s="4" t="inlineStr">
        <is>
          <t>Mũi đục bê tông KBVd-17*280*25</t>
        </is>
      </c>
      <c r="I380" s="3" t="inlineStr">
        <is>
          <t>Cái</t>
        </is>
      </c>
      <c r="J380" s="5" t="n">
        <v>269000</v>
      </c>
      <c r="K380" s="5" t="n">
        <v>317000</v>
      </c>
      <c r="L380" s="6" t="n">
        <v>390000</v>
      </c>
      <c r="M380" s="5" t="n"/>
      <c r="N380" s="5">
        <f>IF(AND(ISNUMBER(M380),ISNUMBER(L380)),M380-L380,"")</f>
        <v/>
      </c>
      <c r="O380" s="7">
        <f>IF(AND(ISNUMBER(M380),ISNUMBER(L380),L380&gt;0),(M380-L380)/L380,"")</f>
        <v/>
      </c>
      <c r="P380" s="3">
        <f>IF(O380="","",IF(O380&lt;-0.02,"🔴 Bán phá giá sàn",IF(O380&gt;0.05,"🔵 Bán cao hơn","🟢 Đúng giá sàn TMĐT")))</f>
        <v/>
      </c>
      <c r="Q380" s="3" t="n"/>
      <c r="R380" s="4" t="n"/>
      <c r="S380" s="4" t="n"/>
    </row>
    <row r="381">
      <c r="A381" s="3" t="n">
        <v>380</v>
      </c>
      <c r="B381" s="3" t="inlineStr">
        <is>
          <t>KH002</t>
        </is>
      </c>
      <c r="C381" s="4" t="inlineStr">
        <is>
          <t>Nguyễn Hoàng Phú</t>
        </is>
      </c>
      <c r="D381" s="3" t="inlineStr">
        <is>
          <t>HCM</t>
        </is>
      </c>
      <c r="E381" s="3" t="inlineStr">
        <is>
          <t>BẢO TRÂM</t>
        </is>
      </c>
      <c r="F381" s="3" t="inlineStr">
        <is>
          <t>Shopee</t>
        </is>
      </c>
      <c r="G381" s="3" t="inlineStr"/>
      <c r="H381" s="4" t="inlineStr">
        <is>
          <t>Mũi đục bê tông KBVn 30*420</t>
        </is>
      </c>
      <c r="I381" s="3" t="inlineStr">
        <is>
          <t>Cái</t>
        </is>
      </c>
      <c r="J381" s="5" t="n">
        <v>269000</v>
      </c>
      <c r="K381" s="5" t="n">
        <v>317000</v>
      </c>
      <c r="L381" s="6" t="n">
        <v>390000</v>
      </c>
      <c r="M381" s="5" t="n"/>
      <c r="N381" s="5">
        <f>IF(AND(ISNUMBER(M381),ISNUMBER(L381)),M381-L381,"")</f>
        <v/>
      </c>
      <c r="O381" s="7">
        <f>IF(AND(ISNUMBER(M381),ISNUMBER(L381),L381&gt;0),(M381-L381)/L381,"")</f>
        <v/>
      </c>
      <c r="P381" s="3">
        <f>IF(O381="","",IF(O381&lt;-0.02,"🔴 Bán phá giá sàn",IF(O381&gt;0.05,"🔵 Bán cao hơn","🟢 Đúng giá sàn TMĐT")))</f>
        <v/>
      </c>
      <c r="Q381" s="3" t="n"/>
      <c r="R381" s="4" t="n"/>
      <c r="S381" s="4" t="n"/>
    </row>
    <row r="382">
      <c r="A382" s="3" t="n">
        <v>381</v>
      </c>
      <c r="B382" s="3" t="inlineStr">
        <is>
          <t>KH002</t>
        </is>
      </c>
      <c r="C382" s="4" t="inlineStr">
        <is>
          <t>Nguyễn Hoàng Phú</t>
        </is>
      </c>
      <c r="D382" s="3" t="inlineStr">
        <is>
          <t>HCM</t>
        </is>
      </c>
      <c r="E382" s="3" t="inlineStr">
        <is>
          <t>BẢO TRÂM</t>
        </is>
      </c>
      <c r="F382" s="3" t="inlineStr">
        <is>
          <t>Shopee</t>
        </is>
      </c>
      <c r="G382" s="3" t="inlineStr"/>
      <c r="H382" s="4" t="inlineStr">
        <is>
          <t>Mũi đục bê tông KBVn-14*250</t>
        </is>
      </c>
      <c r="I382" s="3" t="inlineStr">
        <is>
          <t>Cái</t>
        </is>
      </c>
      <c r="J382" s="5" t="n">
        <v>269000</v>
      </c>
      <c r="K382" s="5" t="n">
        <v>317000</v>
      </c>
      <c r="L382" s="6" t="n">
        <v>390000</v>
      </c>
      <c r="M382" s="5" t="n"/>
      <c r="N382" s="5">
        <f>IF(AND(ISNUMBER(M382),ISNUMBER(L382)),M382-L382,"")</f>
        <v/>
      </c>
      <c r="O382" s="7">
        <f>IF(AND(ISNUMBER(M382),ISNUMBER(L382),L382&gt;0),(M382-L382)/L382,"")</f>
        <v/>
      </c>
      <c r="P382" s="3">
        <f>IF(O382="","",IF(O382&lt;-0.02,"🔴 Bán phá giá sàn",IF(O382&gt;0.05,"🔵 Bán cao hơn","🟢 Đúng giá sàn TMĐT")))</f>
        <v/>
      </c>
      <c r="Q382" s="3" t="n"/>
      <c r="R382" s="4" t="n"/>
      <c r="S382" s="4" t="n"/>
    </row>
    <row r="383">
      <c r="A383" s="3" t="n">
        <v>382</v>
      </c>
      <c r="B383" s="3" t="inlineStr">
        <is>
          <t>KH002</t>
        </is>
      </c>
      <c r="C383" s="4" t="inlineStr">
        <is>
          <t>Nguyễn Hoàng Phú</t>
        </is>
      </c>
      <c r="D383" s="3" t="inlineStr">
        <is>
          <t>HCM</t>
        </is>
      </c>
      <c r="E383" s="3" t="inlineStr">
        <is>
          <t>BẢO TRÂM</t>
        </is>
      </c>
      <c r="F383" s="3" t="inlineStr">
        <is>
          <t>Shopee</t>
        </is>
      </c>
      <c r="G383" s="3" t="inlineStr"/>
      <c r="H383" s="4" t="inlineStr">
        <is>
          <t>Mũi đục bê tông KBVn-17*280</t>
        </is>
      </c>
      <c r="I383" s="3" t="inlineStr">
        <is>
          <t>Cái</t>
        </is>
      </c>
      <c r="J383" s="5" t="n">
        <v>269000</v>
      </c>
      <c r="K383" s="5" t="n">
        <v>317000</v>
      </c>
      <c r="L383" s="6" t="n">
        <v>390000</v>
      </c>
      <c r="M383" s="5" t="n"/>
      <c r="N383" s="5">
        <f>IF(AND(ISNUMBER(M383),ISNUMBER(L383)),M383-L383,"")</f>
        <v/>
      </c>
      <c r="O383" s="7">
        <f>IF(AND(ISNUMBER(M383),ISNUMBER(L383),L383&gt;0),(M383-L383)/L383,"")</f>
        <v/>
      </c>
      <c r="P383" s="3">
        <f>IF(O383="","",IF(O383&lt;-0.02,"🔴 Bán phá giá sàn",IF(O383&gt;0.05,"🔵 Bán cao hơn","🟢 Đúng giá sàn TMĐT")))</f>
        <v/>
      </c>
      <c r="Q383" s="3" t="n"/>
      <c r="R383" s="4" t="n"/>
      <c r="S383" s="4" t="n"/>
    </row>
    <row r="384">
      <c r="A384" s="3" t="n">
        <v>383</v>
      </c>
      <c r="B384" s="3" t="inlineStr">
        <is>
          <t>KH002</t>
        </is>
      </c>
      <c r="C384" s="4" t="inlineStr">
        <is>
          <t>Nguyễn Hoàng Phú</t>
        </is>
      </c>
      <c r="D384" s="3" t="inlineStr">
        <is>
          <t>HCM</t>
        </is>
      </c>
      <c r="E384" s="3" t="inlineStr">
        <is>
          <t>BẢO TRÂM</t>
        </is>
      </c>
      <c r="F384" s="3" t="inlineStr">
        <is>
          <t>Shopee</t>
        </is>
      </c>
      <c r="G384" s="3" t="inlineStr">
        <is>
          <t>KBL2-06*160</t>
        </is>
      </c>
      <c r="H384" s="4" t="inlineStr">
        <is>
          <t>Mũi khoan bê tông gài 2 cạnh KBL2-06*160</t>
        </is>
      </c>
      <c r="I384" s="3" t="inlineStr">
        <is>
          <t>Cái</t>
        </is>
      </c>
      <c r="J384" s="5" t="n">
        <v>23000</v>
      </c>
      <c r="K384" s="5" t="n">
        <v>28000</v>
      </c>
      <c r="L384" s="6" t="n">
        <v>36000</v>
      </c>
      <c r="M384" s="5" t="n"/>
      <c r="N384" s="5">
        <f>IF(AND(ISNUMBER(M384),ISNUMBER(L384)),M384-L384,"")</f>
        <v/>
      </c>
      <c r="O384" s="7">
        <f>IF(AND(ISNUMBER(M384),ISNUMBER(L384),L384&gt;0),(M384-L384)/L384,"")</f>
        <v/>
      </c>
      <c r="P384" s="3">
        <f>IF(O384="","",IF(O384&lt;-0.02,"🔴 Bán phá giá sàn",IF(O384&gt;0.05,"🔵 Bán cao hơn","🟢 Đúng giá sàn TMĐT")))</f>
        <v/>
      </c>
      <c r="Q384" s="3" t="n"/>
      <c r="R384" s="4" t="n"/>
      <c r="S384" s="4" t="n"/>
    </row>
    <row r="385">
      <c r="A385" s="3" t="n">
        <v>384</v>
      </c>
      <c r="B385" s="3" t="inlineStr">
        <is>
          <t>KH002</t>
        </is>
      </c>
      <c r="C385" s="4" t="inlineStr">
        <is>
          <t>Nguyễn Hoàng Phú</t>
        </is>
      </c>
      <c r="D385" s="3" t="inlineStr">
        <is>
          <t>HCM</t>
        </is>
      </c>
      <c r="E385" s="3" t="inlineStr">
        <is>
          <t>BẢO TRÂM</t>
        </is>
      </c>
      <c r="F385" s="3" t="inlineStr">
        <is>
          <t>Shopee</t>
        </is>
      </c>
      <c r="G385" s="3" t="inlineStr">
        <is>
          <t>KBL2-08*160</t>
        </is>
      </c>
      <c r="H385" s="4" t="inlineStr">
        <is>
          <t>Mũi khoan bê tông gài 2 cạnh KBL2-08*160</t>
        </is>
      </c>
      <c r="I385" s="3" t="inlineStr">
        <is>
          <t>Cái</t>
        </is>
      </c>
      <c r="J385" s="5" t="n">
        <v>25000</v>
      </c>
      <c r="K385" s="5" t="n">
        <v>31000</v>
      </c>
      <c r="L385" s="6" t="n">
        <v>39000</v>
      </c>
      <c r="M385" s="5" t="n"/>
      <c r="N385" s="5">
        <f>IF(AND(ISNUMBER(M385),ISNUMBER(L385)),M385-L385,"")</f>
        <v/>
      </c>
      <c r="O385" s="7">
        <f>IF(AND(ISNUMBER(M385),ISNUMBER(L385),L385&gt;0),(M385-L385)/L385,"")</f>
        <v/>
      </c>
      <c r="P385" s="3">
        <f>IF(O385="","",IF(O385&lt;-0.02,"🔴 Bán phá giá sàn",IF(O385&gt;0.05,"🔵 Bán cao hơn","🟢 Đúng giá sàn TMĐT")))</f>
        <v/>
      </c>
      <c r="Q385" s="3" t="n"/>
      <c r="R385" s="4" t="n"/>
      <c r="S385" s="4" t="n"/>
    </row>
    <row r="386">
      <c r="A386" s="3" t="n">
        <v>385</v>
      </c>
      <c r="B386" s="3" t="inlineStr">
        <is>
          <t>KH002</t>
        </is>
      </c>
      <c r="C386" s="4" t="inlineStr">
        <is>
          <t>Nguyễn Hoàng Phú</t>
        </is>
      </c>
      <c r="D386" s="3" t="inlineStr">
        <is>
          <t>HCM</t>
        </is>
      </c>
      <c r="E386" s="3" t="inlineStr">
        <is>
          <t>BẢO TRÂM</t>
        </is>
      </c>
      <c r="F386" s="3" t="inlineStr">
        <is>
          <t>Shopee</t>
        </is>
      </c>
      <c r="G386" s="3" t="inlineStr">
        <is>
          <t>KBL2-10*160</t>
        </is>
      </c>
      <c r="H386" s="4" t="inlineStr">
        <is>
          <t>Mũi khoan bê tông gài 2 cạnh KBL2-10*160</t>
        </is>
      </c>
      <c r="I386" s="3" t="inlineStr">
        <is>
          <t>Cái</t>
        </is>
      </c>
      <c r="J386" s="5" t="n">
        <v>25000</v>
      </c>
      <c r="K386" s="5" t="n">
        <v>31000</v>
      </c>
      <c r="L386" s="6" t="n">
        <v>39000</v>
      </c>
      <c r="M386" s="5" t="n"/>
      <c r="N386" s="5">
        <f>IF(AND(ISNUMBER(M386),ISNUMBER(L386)),M386-L386,"")</f>
        <v/>
      </c>
      <c r="O386" s="7">
        <f>IF(AND(ISNUMBER(M386),ISNUMBER(L386),L386&gt;0),(M386-L386)/L386,"")</f>
        <v/>
      </c>
      <c r="P386" s="3">
        <f>IF(O386="","",IF(O386&lt;-0.02,"🔴 Bán phá giá sàn",IF(O386&gt;0.05,"🔵 Bán cao hơn","🟢 Đúng giá sàn TMĐT")))</f>
        <v/>
      </c>
      <c r="Q386" s="3" t="n"/>
      <c r="R386" s="4" t="n"/>
      <c r="S386" s="4" t="n"/>
    </row>
    <row r="387">
      <c r="A387" s="3" t="n">
        <v>386</v>
      </c>
      <c r="B387" s="3" t="inlineStr">
        <is>
          <t>KH002</t>
        </is>
      </c>
      <c r="C387" s="4" t="inlineStr">
        <is>
          <t>Nguyễn Hoàng Phú</t>
        </is>
      </c>
      <c r="D387" s="3" t="inlineStr">
        <is>
          <t>HCM</t>
        </is>
      </c>
      <c r="E387" s="3" t="inlineStr">
        <is>
          <t>BẢO TRÂM</t>
        </is>
      </c>
      <c r="F387" s="3" t="inlineStr">
        <is>
          <t>Shopee</t>
        </is>
      </c>
      <c r="G387" s="3" t="inlineStr">
        <is>
          <t>KBL2-12*160</t>
        </is>
      </c>
      <c r="H387" s="4" t="inlineStr">
        <is>
          <t>Mũi khoan bê tông gài 2 cạnh KBL2-12*160</t>
        </is>
      </c>
      <c r="I387" s="3" t="inlineStr">
        <is>
          <t>Cái</t>
        </is>
      </c>
      <c r="J387" s="5" t="n">
        <v>28000</v>
      </c>
      <c r="K387" s="5" t="n">
        <v>34000</v>
      </c>
      <c r="L387" s="6" t="n">
        <v>43000</v>
      </c>
      <c r="M387" s="5" t="n"/>
      <c r="N387" s="5">
        <f>IF(AND(ISNUMBER(M387),ISNUMBER(L387)),M387-L387,"")</f>
        <v/>
      </c>
      <c r="O387" s="7">
        <f>IF(AND(ISNUMBER(M387),ISNUMBER(L387),L387&gt;0),(M387-L387)/L387,"")</f>
        <v/>
      </c>
      <c r="P387" s="3">
        <f>IF(O387="","",IF(O387&lt;-0.02,"🔴 Bán phá giá sàn",IF(O387&gt;0.05,"🔵 Bán cao hơn","🟢 Đúng giá sàn TMĐT")))</f>
        <v/>
      </c>
      <c r="Q387" s="3" t="n"/>
      <c r="R387" s="4" t="n"/>
      <c r="S387" s="4" t="n"/>
    </row>
    <row r="388">
      <c r="A388" s="3" t="n">
        <v>387</v>
      </c>
      <c r="B388" s="3" t="inlineStr">
        <is>
          <t>KH002</t>
        </is>
      </c>
      <c r="C388" s="4" t="inlineStr">
        <is>
          <t>Nguyễn Hoàng Phú</t>
        </is>
      </c>
      <c r="D388" s="3" t="inlineStr">
        <is>
          <t>HCM</t>
        </is>
      </c>
      <c r="E388" s="3" t="inlineStr">
        <is>
          <t>BẢO TRÂM</t>
        </is>
      </c>
      <c r="F388" s="3" t="inlineStr">
        <is>
          <t>Shopee</t>
        </is>
      </c>
      <c r="G388" s="3" t="inlineStr">
        <is>
          <t>KBL2-08*310</t>
        </is>
      </c>
      <c r="H388" s="4" t="inlineStr">
        <is>
          <t>Mũi khoan bê tông gài xuyên tường 2 cạnh KBL2-08*310</t>
        </is>
      </c>
      <c r="I388" s="3" t="inlineStr">
        <is>
          <t>Cái</t>
        </is>
      </c>
      <c r="J388" s="5" t="n">
        <v>40000</v>
      </c>
      <c r="K388" s="5" t="n">
        <v>49000</v>
      </c>
      <c r="L388" s="6" t="n">
        <v>62000</v>
      </c>
      <c r="M388" s="5" t="n"/>
      <c r="N388" s="5">
        <f>IF(AND(ISNUMBER(M388),ISNUMBER(L388)),M388-L388,"")</f>
        <v/>
      </c>
      <c r="O388" s="7">
        <f>IF(AND(ISNUMBER(M388),ISNUMBER(L388),L388&gt;0),(M388-L388)/L388,"")</f>
        <v/>
      </c>
      <c r="P388" s="3">
        <f>IF(O388="","",IF(O388&lt;-0.02,"🔴 Bán phá giá sàn",IF(O388&gt;0.05,"🔵 Bán cao hơn","🟢 Đúng giá sàn TMĐT")))</f>
        <v/>
      </c>
      <c r="Q388" s="3" t="n"/>
      <c r="R388" s="4" t="n"/>
      <c r="S388" s="4" t="n"/>
    </row>
    <row r="389">
      <c r="A389" s="3" t="n">
        <v>388</v>
      </c>
      <c r="B389" s="3" t="inlineStr">
        <is>
          <t>KH002</t>
        </is>
      </c>
      <c r="C389" s="4" t="inlineStr">
        <is>
          <t>Nguyễn Hoàng Phú</t>
        </is>
      </c>
      <c r="D389" s="3" t="inlineStr">
        <is>
          <t>HCM</t>
        </is>
      </c>
      <c r="E389" s="3" t="inlineStr">
        <is>
          <t>BẢO TRÂM</t>
        </is>
      </c>
      <c r="F389" s="3" t="inlineStr">
        <is>
          <t>Shopee</t>
        </is>
      </c>
      <c r="G389" s="3" t="inlineStr">
        <is>
          <t>KBL2-10*310</t>
        </is>
      </c>
      <c r="H389" s="4" t="inlineStr">
        <is>
          <t>Mũi khoan bê tông gài xuyên tường 2 cạnh KBL2-10*310</t>
        </is>
      </c>
      <c r="I389" s="3" t="inlineStr">
        <is>
          <t>Cái</t>
        </is>
      </c>
      <c r="J389" s="5" t="n">
        <v>44000</v>
      </c>
      <c r="K389" s="5" t="n">
        <v>54000</v>
      </c>
      <c r="L389" s="6" t="n">
        <v>68000</v>
      </c>
      <c r="M389" s="5" t="n"/>
      <c r="N389" s="5">
        <f>IF(AND(ISNUMBER(M389),ISNUMBER(L389)),M389-L389,"")</f>
        <v/>
      </c>
      <c r="O389" s="7">
        <f>IF(AND(ISNUMBER(M389),ISNUMBER(L389),L389&gt;0),(M389-L389)/L389,"")</f>
        <v/>
      </c>
      <c r="P389" s="3">
        <f>IF(O389="","",IF(O389&lt;-0.02,"🔴 Bán phá giá sàn",IF(O389&gt;0.05,"🔵 Bán cao hơn","🟢 Đúng giá sàn TMĐT")))</f>
        <v/>
      </c>
      <c r="Q389" s="3" t="n"/>
      <c r="R389" s="4" t="n"/>
      <c r="S389" s="4" t="n"/>
    </row>
    <row r="390">
      <c r="A390" s="3" t="n">
        <v>389</v>
      </c>
      <c r="B390" s="3" t="inlineStr">
        <is>
          <t>KH002</t>
        </is>
      </c>
      <c r="C390" s="4" t="inlineStr">
        <is>
          <t>Nguyễn Hoàng Phú</t>
        </is>
      </c>
      <c r="D390" s="3" t="inlineStr">
        <is>
          <t>HCM</t>
        </is>
      </c>
      <c r="E390" s="3" t="inlineStr">
        <is>
          <t>BẢO TRÂM</t>
        </is>
      </c>
      <c r="F390" s="3" t="inlineStr">
        <is>
          <t>Shopee</t>
        </is>
      </c>
      <c r="G390" s="3" t="inlineStr">
        <is>
          <t>KBL2-12*310</t>
        </is>
      </c>
      <c r="H390" s="4" t="inlineStr">
        <is>
          <t>Mũi khoan bê tông gài xuyên tường 2 cạnh KBL2-12*310</t>
        </is>
      </c>
      <c r="I390" s="3" t="inlineStr">
        <is>
          <t>Cái</t>
        </is>
      </c>
      <c r="J390" s="5" t="n">
        <v>45000</v>
      </c>
      <c r="K390" s="5" t="n">
        <v>55000</v>
      </c>
      <c r="L390" s="6" t="n">
        <v>70000</v>
      </c>
      <c r="M390" s="5" t="n"/>
      <c r="N390" s="5">
        <f>IF(AND(ISNUMBER(M390),ISNUMBER(L390)),M390-L390,"")</f>
        <v/>
      </c>
      <c r="O390" s="7">
        <f>IF(AND(ISNUMBER(M390),ISNUMBER(L390),L390&gt;0),(M390-L390)/L390,"")</f>
        <v/>
      </c>
      <c r="P390" s="3">
        <f>IF(O390="","",IF(O390&lt;-0.02,"🔴 Bán phá giá sàn",IF(O390&gt;0.05,"🔵 Bán cao hơn","🟢 Đúng giá sàn TMĐT")))</f>
        <v/>
      </c>
      <c r="Q390" s="3" t="n"/>
      <c r="R390" s="4" t="n"/>
      <c r="S390" s="4" t="n"/>
    </row>
    <row r="391">
      <c r="A391" s="3" t="n">
        <v>390</v>
      </c>
      <c r="B391" s="3" t="inlineStr">
        <is>
          <t>KH002</t>
        </is>
      </c>
      <c r="C391" s="4" t="inlineStr">
        <is>
          <t>Nguyễn Hoàng Phú</t>
        </is>
      </c>
      <c r="D391" s="3" t="inlineStr">
        <is>
          <t>HCM</t>
        </is>
      </c>
      <c r="E391" s="3" t="inlineStr">
        <is>
          <t>BẢO TRÂM</t>
        </is>
      </c>
      <c r="F391" s="3" t="inlineStr">
        <is>
          <t>Shopee</t>
        </is>
      </c>
      <c r="G391" s="3" t="inlineStr">
        <is>
          <t>KBL2-16*310</t>
        </is>
      </c>
      <c r="H391" s="4" t="inlineStr">
        <is>
          <t>Mũi khoan bê tông gài xuyên tường 2 cạnh KBL2-16*310</t>
        </is>
      </c>
      <c r="I391" s="3" t="inlineStr">
        <is>
          <t>Cái</t>
        </is>
      </c>
      <c r="J391" s="5" t="n">
        <v>67000</v>
      </c>
      <c r="K391" s="5" t="n">
        <v>82000</v>
      </c>
      <c r="L391" s="6" t="n">
        <v>104000</v>
      </c>
      <c r="M391" s="5" t="n"/>
      <c r="N391" s="5">
        <f>IF(AND(ISNUMBER(M391),ISNUMBER(L391)),M391-L391,"")</f>
        <v/>
      </c>
      <c r="O391" s="7">
        <f>IF(AND(ISNUMBER(M391),ISNUMBER(L391),L391&gt;0),(M391-L391)/L391,"")</f>
        <v/>
      </c>
      <c r="P391" s="3">
        <f>IF(O391="","",IF(O391&lt;-0.02,"🔴 Bán phá giá sàn",IF(O391&gt;0.05,"🔵 Bán cao hơn","🟢 Đúng giá sàn TMĐT")))</f>
        <v/>
      </c>
      <c r="Q391" s="3" t="n"/>
      <c r="R391" s="4" t="n"/>
      <c r="S391" s="4" t="n"/>
    </row>
    <row r="392">
      <c r="A392" s="3" t="n">
        <v>391</v>
      </c>
      <c r="B392" s="3" t="inlineStr">
        <is>
          <t>KH002</t>
        </is>
      </c>
      <c r="C392" s="4" t="inlineStr">
        <is>
          <t>Nguyễn Hoàng Phú</t>
        </is>
      </c>
      <c r="D392" s="3" t="inlineStr">
        <is>
          <t>HCM</t>
        </is>
      </c>
      <c r="E392" s="3" t="inlineStr">
        <is>
          <t>BẢO TRÂM</t>
        </is>
      </c>
      <c r="F392" s="3" t="inlineStr">
        <is>
          <t>Shopee</t>
        </is>
      </c>
      <c r="G392" s="3" t="inlineStr">
        <is>
          <t>KBL2-3.2*90</t>
        </is>
      </c>
      <c r="H392" s="4" t="inlineStr">
        <is>
          <t>Mũi khoan bê tông không tắc kê KBL2-3.2*90</t>
        </is>
      </c>
      <c r="I392" s="3" t="inlineStr">
        <is>
          <t>Cái</t>
        </is>
      </c>
      <c r="J392" s="5" t="n">
        <v>23000</v>
      </c>
      <c r="K392" s="5" t="n">
        <v>29000</v>
      </c>
      <c r="L392" s="6" t="n">
        <v>38000</v>
      </c>
      <c r="M392" s="5" t="n"/>
      <c r="N392" s="5">
        <f>IF(AND(ISNUMBER(M392),ISNUMBER(L392)),M392-L392,"")</f>
        <v/>
      </c>
      <c r="O392" s="7">
        <f>IF(AND(ISNUMBER(M392),ISNUMBER(L392),L392&gt;0),(M392-L392)/L392,"")</f>
        <v/>
      </c>
      <c r="P392" s="3">
        <f>IF(O392="","",IF(O392&lt;-0.02,"🔴 Bán phá giá sàn",IF(O392&gt;0.05,"🔵 Bán cao hơn","🟢 Đúng giá sàn TMĐT")))</f>
        <v/>
      </c>
      <c r="Q392" s="3" t="n"/>
      <c r="R392" s="4" t="n"/>
      <c r="S392" s="4" t="n"/>
    </row>
    <row r="393">
      <c r="A393" s="3" t="n">
        <v>392</v>
      </c>
      <c r="B393" s="3" t="inlineStr">
        <is>
          <t>KH002</t>
        </is>
      </c>
      <c r="C393" s="4" t="inlineStr">
        <is>
          <t>Nguyễn Hoàng Phú</t>
        </is>
      </c>
      <c r="D393" s="3" t="inlineStr">
        <is>
          <t>HCM</t>
        </is>
      </c>
      <c r="E393" s="3" t="inlineStr">
        <is>
          <t>BẢO TRÂM</t>
        </is>
      </c>
      <c r="F393" s="3" t="inlineStr">
        <is>
          <t>Shopee</t>
        </is>
      </c>
      <c r="G393" s="3" t="inlineStr">
        <is>
          <t>KBL2-3.5*110</t>
        </is>
      </c>
      <c r="H393" s="4" t="inlineStr">
        <is>
          <t>Mũi khoan bê tông không tắc kê KBL2-3.5*110</t>
        </is>
      </c>
      <c r="I393" s="3" t="inlineStr">
        <is>
          <t>Cái</t>
        </is>
      </c>
      <c r="J393" s="5" t="n">
        <v>23000</v>
      </c>
      <c r="K393" s="5" t="n">
        <v>29000</v>
      </c>
      <c r="L393" s="6" t="n">
        <v>38000</v>
      </c>
      <c r="M393" s="5" t="n"/>
      <c r="N393" s="5">
        <f>IF(AND(ISNUMBER(M393),ISNUMBER(L393)),M393-L393,"")</f>
        <v/>
      </c>
      <c r="O393" s="7">
        <f>IF(AND(ISNUMBER(M393),ISNUMBER(L393),L393&gt;0),(M393-L393)/L393,"")</f>
        <v/>
      </c>
      <c r="P393" s="3">
        <f>IF(O393="","",IF(O393&lt;-0.02,"🔴 Bán phá giá sàn",IF(O393&gt;0.05,"🔵 Bán cao hơn","🟢 Đúng giá sàn TMĐT")))</f>
        <v/>
      </c>
      <c r="Q393" s="3" t="n"/>
      <c r="R393" s="4" t="n"/>
      <c r="S393" s="4" t="n"/>
    </row>
    <row r="394">
      <c r="A394" s="3" t="n">
        <v>393</v>
      </c>
      <c r="B394" s="3" t="inlineStr">
        <is>
          <t>KH002</t>
        </is>
      </c>
      <c r="C394" s="4" t="inlineStr">
        <is>
          <t>Nguyễn Hoàng Phú</t>
        </is>
      </c>
      <c r="D394" s="3" t="inlineStr">
        <is>
          <t>HCM</t>
        </is>
      </c>
      <c r="E394" s="3" t="inlineStr">
        <is>
          <t>BẢO TRÂM</t>
        </is>
      </c>
      <c r="F394" s="3" t="inlineStr">
        <is>
          <t>Shopee</t>
        </is>
      </c>
      <c r="G394" s="3" t="inlineStr">
        <is>
          <t>KBL2-4.2*110</t>
        </is>
      </c>
      <c r="H394" s="4" t="inlineStr">
        <is>
          <t>Mũi khoan bê tông không tắc kê KBL2-4.2*110</t>
        </is>
      </c>
      <c r="I394" s="3" t="inlineStr">
        <is>
          <t>Cái</t>
        </is>
      </c>
      <c r="J394" s="5" t="n">
        <v>23000</v>
      </c>
      <c r="K394" s="5" t="n">
        <v>29000</v>
      </c>
      <c r="L394" s="6" t="n">
        <v>38000</v>
      </c>
      <c r="M394" s="5" t="n"/>
      <c r="N394" s="5">
        <f>IF(AND(ISNUMBER(M394),ISNUMBER(L394)),M394-L394,"")</f>
        <v/>
      </c>
      <c r="O394" s="7">
        <f>IF(AND(ISNUMBER(M394),ISNUMBER(L394),L394&gt;0),(M394-L394)/L394,"")</f>
        <v/>
      </c>
      <c r="P394" s="3">
        <f>IF(O394="","",IF(O394&lt;-0.02,"🔴 Bán phá giá sàn",IF(O394&gt;0.05,"🔵 Bán cao hơn","🟢 Đúng giá sàn TMĐT")))</f>
        <v/>
      </c>
      <c r="Q394" s="3" t="n"/>
      <c r="R394" s="4" t="n"/>
      <c r="S394" s="4" t="n"/>
    </row>
    <row r="395">
      <c r="A395" s="3" t="n">
        <v>394</v>
      </c>
      <c r="B395" s="3" t="inlineStr">
        <is>
          <t>KH002</t>
        </is>
      </c>
      <c r="C395" s="4" t="inlineStr">
        <is>
          <t>Nguyễn Hoàng Phú</t>
        </is>
      </c>
      <c r="D395" s="3" t="inlineStr">
        <is>
          <t>HCM</t>
        </is>
      </c>
      <c r="E395" s="3" t="inlineStr">
        <is>
          <t>BẢO TRÂM</t>
        </is>
      </c>
      <c r="F395" s="3" t="inlineStr">
        <is>
          <t>Shopee</t>
        </is>
      </c>
      <c r="G395" s="3" t="inlineStr">
        <is>
          <t>KBS-12*280</t>
        </is>
      </c>
      <c r="H395" s="4" t="inlineStr">
        <is>
          <t>Mũi khoan đá chuôi lục giác KBS-12*280</t>
        </is>
      </c>
      <c r="I395" s="3" t="inlineStr">
        <is>
          <t>Cái</t>
        </is>
      </c>
      <c r="J395" s="5" t="n">
        <v>99000</v>
      </c>
      <c r="K395" s="5" t="n">
        <v>121000</v>
      </c>
      <c r="L395" s="6" t="n">
        <v>154000</v>
      </c>
      <c r="M395" s="5" t="n"/>
      <c r="N395" s="5">
        <f>IF(AND(ISNUMBER(M395),ISNUMBER(L395)),M395-L395,"")</f>
        <v/>
      </c>
      <c r="O395" s="7">
        <f>IF(AND(ISNUMBER(M395),ISNUMBER(L395),L395&gt;0),(M395-L395)/L395,"")</f>
        <v/>
      </c>
      <c r="P395" s="3">
        <f>IF(O395="","",IF(O395&lt;-0.02,"🔴 Bán phá giá sàn",IF(O395&gt;0.05,"🔵 Bán cao hơn","🟢 Đúng giá sàn TMĐT")))</f>
        <v/>
      </c>
      <c r="Q395" s="3" t="n"/>
      <c r="R395" s="4" t="n"/>
      <c r="S395" s="4" t="n"/>
    </row>
    <row r="396">
      <c r="A396" s="3" t="n">
        <v>395</v>
      </c>
      <c r="B396" s="3" t="inlineStr">
        <is>
          <t>KH002</t>
        </is>
      </c>
      <c r="C396" s="4" t="inlineStr">
        <is>
          <t>Nguyễn Hoàng Phú</t>
        </is>
      </c>
      <c r="D396" s="3" t="inlineStr">
        <is>
          <t>HCM</t>
        </is>
      </c>
      <c r="E396" s="3" t="inlineStr">
        <is>
          <t>BẢO TRÂM</t>
        </is>
      </c>
      <c r="F396" s="3" t="inlineStr">
        <is>
          <t>Shopee</t>
        </is>
      </c>
      <c r="G396" s="3" t="inlineStr">
        <is>
          <t>KBS-14*280</t>
        </is>
      </c>
      <c r="H396" s="4" t="inlineStr">
        <is>
          <t>Mũi khoan đá chuôi lục giác KBS-14*280</t>
        </is>
      </c>
      <c r="I396" s="3" t="inlineStr">
        <is>
          <t>Cái</t>
        </is>
      </c>
      <c r="J396" s="5" t="n">
        <v>81000</v>
      </c>
      <c r="K396" s="5" t="n">
        <v>99000</v>
      </c>
      <c r="L396" s="6" t="n">
        <v>126000</v>
      </c>
      <c r="M396" s="5" t="n"/>
      <c r="N396" s="5">
        <f>IF(AND(ISNUMBER(M396),ISNUMBER(L396)),M396-L396,"")</f>
        <v/>
      </c>
      <c r="O396" s="7">
        <f>IF(AND(ISNUMBER(M396),ISNUMBER(L396),L396&gt;0),(M396-L396)/L396,"")</f>
        <v/>
      </c>
      <c r="P396" s="3">
        <f>IF(O396="","",IF(O396&lt;-0.02,"🔴 Bán phá giá sàn",IF(O396&gt;0.05,"🔵 Bán cao hơn","🟢 Đúng giá sàn TMĐT")))</f>
        <v/>
      </c>
      <c r="Q396" s="3" t="n"/>
      <c r="R396" s="4" t="n"/>
      <c r="S396" s="4" t="n"/>
    </row>
    <row r="397">
      <c r="A397" s="3" t="n">
        <v>396</v>
      </c>
      <c r="B397" s="3" t="inlineStr">
        <is>
          <t>KH002</t>
        </is>
      </c>
      <c r="C397" s="4" t="inlineStr">
        <is>
          <t>Nguyễn Hoàng Phú</t>
        </is>
      </c>
      <c r="D397" s="3" t="inlineStr">
        <is>
          <t>HCM</t>
        </is>
      </c>
      <c r="E397" s="3" t="inlineStr">
        <is>
          <t>BẢO TRÂM</t>
        </is>
      </c>
      <c r="F397" s="3" t="inlineStr">
        <is>
          <t>Shopee</t>
        </is>
      </c>
      <c r="G397" s="3" t="inlineStr">
        <is>
          <t>KBS-16*280</t>
        </is>
      </c>
      <c r="H397" s="4" t="inlineStr">
        <is>
          <t>Mũi khoan đá chuôi lục giác KBS-16*280</t>
        </is>
      </c>
      <c r="I397" s="3" t="inlineStr">
        <is>
          <t>Cái</t>
        </is>
      </c>
      <c r="J397" s="5" t="n">
        <v>89000</v>
      </c>
      <c r="K397" s="5" t="n">
        <v>109000</v>
      </c>
      <c r="L397" s="6" t="n">
        <v>138000</v>
      </c>
      <c r="M397" s="5" t="n"/>
      <c r="N397" s="5">
        <f>IF(AND(ISNUMBER(M397),ISNUMBER(L397)),M397-L397,"")</f>
        <v/>
      </c>
      <c r="O397" s="7">
        <f>IF(AND(ISNUMBER(M397),ISNUMBER(L397),L397&gt;0),(M397-L397)/L397,"")</f>
        <v/>
      </c>
      <c r="P397" s="3">
        <f>IF(O397="","",IF(O397&lt;-0.02,"🔴 Bán phá giá sàn",IF(O397&gt;0.05,"🔵 Bán cao hơn","🟢 Đúng giá sàn TMĐT")))</f>
        <v/>
      </c>
      <c r="Q397" s="3" t="n"/>
      <c r="R397" s="4" t="n"/>
      <c r="S397" s="4" t="n"/>
    </row>
    <row r="398">
      <c r="A398" s="3" t="n">
        <v>397</v>
      </c>
      <c r="B398" s="3" t="inlineStr">
        <is>
          <t>KH002</t>
        </is>
      </c>
      <c r="C398" s="4" t="inlineStr">
        <is>
          <t>Nguyễn Hoàng Phú</t>
        </is>
      </c>
      <c r="D398" s="3" t="inlineStr">
        <is>
          <t>HCM</t>
        </is>
      </c>
      <c r="E398" s="3" t="inlineStr">
        <is>
          <t>BẢO TRÂM</t>
        </is>
      </c>
      <c r="F398" s="3" t="inlineStr">
        <is>
          <t>Shopee</t>
        </is>
      </c>
      <c r="G398" s="3" t="inlineStr">
        <is>
          <t>KBS-18*280</t>
        </is>
      </c>
      <c r="H398" s="4" t="inlineStr">
        <is>
          <t>Mũi khoan đá chuôi lục giác KBS-18*280</t>
        </is>
      </c>
      <c r="I398" s="3" t="inlineStr">
        <is>
          <t>Cái</t>
        </is>
      </c>
      <c r="J398" s="5" t="n">
        <v>95000</v>
      </c>
      <c r="K398" s="5" t="n">
        <v>116000</v>
      </c>
      <c r="L398" s="6" t="n">
        <v>147000</v>
      </c>
      <c r="M398" s="5" t="n"/>
      <c r="N398" s="5">
        <f>IF(AND(ISNUMBER(M398),ISNUMBER(L398)),M398-L398,"")</f>
        <v/>
      </c>
      <c r="O398" s="7">
        <f>IF(AND(ISNUMBER(M398),ISNUMBER(L398),L398&gt;0),(M398-L398)/L398,"")</f>
        <v/>
      </c>
      <c r="P398" s="3">
        <f>IF(O398="","",IF(O398&lt;-0.02,"🔴 Bán phá giá sàn",IF(O398&gt;0.05,"🔵 Bán cao hơn","🟢 Đúng giá sàn TMĐT")))</f>
        <v/>
      </c>
      <c r="Q398" s="3" t="n"/>
      <c r="R398" s="4" t="n"/>
      <c r="S398" s="4" t="n"/>
    </row>
    <row r="399">
      <c r="A399" s="3" t="n">
        <v>398</v>
      </c>
      <c r="B399" s="3" t="inlineStr">
        <is>
          <t>KH002</t>
        </is>
      </c>
      <c r="C399" s="4" t="inlineStr">
        <is>
          <t>Nguyễn Hoàng Phú</t>
        </is>
      </c>
      <c r="D399" s="3" t="inlineStr">
        <is>
          <t>HCM</t>
        </is>
      </c>
      <c r="E399" s="3" t="inlineStr">
        <is>
          <t>BẢO TRÂM</t>
        </is>
      </c>
      <c r="F399" s="3" t="inlineStr">
        <is>
          <t>Shopee</t>
        </is>
      </c>
      <c r="G399" s="3" t="inlineStr">
        <is>
          <t>KBS-20*280</t>
        </is>
      </c>
      <c r="H399" s="4" t="inlineStr">
        <is>
          <t>Mũi khoan đá chuôi lục giác KBS-20*280</t>
        </is>
      </c>
      <c r="I399" s="3" t="inlineStr">
        <is>
          <t>Cái</t>
        </is>
      </c>
      <c r="J399" s="5" t="n">
        <v>98000</v>
      </c>
      <c r="K399" s="5" t="n">
        <v>120000</v>
      </c>
      <c r="L399" s="6" t="n">
        <v>152000</v>
      </c>
      <c r="M399" s="5" t="n"/>
      <c r="N399" s="5">
        <f>IF(AND(ISNUMBER(M399),ISNUMBER(L399)),M399-L399,"")</f>
        <v/>
      </c>
      <c r="O399" s="7">
        <f>IF(AND(ISNUMBER(M399),ISNUMBER(L399),L399&gt;0),(M399-L399)/L399,"")</f>
        <v/>
      </c>
      <c r="P399" s="3">
        <f>IF(O399="","",IF(O399&lt;-0.02,"🔴 Bán phá giá sàn",IF(O399&gt;0.05,"🔵 Bán cao hơn","🟢 Đúng giá sàn TMĐT")))</f>
        <v/>
      </c>
      <c r="Q399" s="3" t="n"/>
      <c r="R399" s="4" t="n"/>
      <c r="S399" s="4" t="n"/>
    </row>
    <row r="400">
      <c r="A400" s="3" t="n">
        <v>399</v>
      </c>
      <c r="B400" s="3" t="inlineStr">
        <is>
          <t>KH002</t>
        </is>
      </c>
      <c r="C400" s="4" t="inlineStr">
        <is>
          <t>Nguyễn Hoàng Phú</t>
        </is>
      </c>
      <c r="D400" s="3" t="inlineStr">
        <is>
          <t>HCM</t>
        </is>
      </c>
      <c r="E400" s="3" t="inlineStr">
        <is>
          <t>BẢO TRÂM</t>
        </is>
      </c>
      <c r="F400" s="3" t="inlineStr">
        <is>
          <t>Shopee</t>
        </is>
      </c>
      <c r="G400" s="3" t="inlineStr">
        <is>
          <t>KBS-22*280</t>
        </is>
      </c>
      <c r="H400" s="4" t="inlineStr">
        <is>
          <t>Mũi khoan đá chuôi lục giác KBS-22*280</t>
        </is>
      </c>
      <c r="I400" s="3" t="inlineStr">
        <is>
          <t>Cái</t>
        </is>
      </c>
      <c r="J400" s="5" t="n">
        <v>111000</v>
      </c>
      <c r="K400" s="5" t="n">
        <v>135000</v>
      </c>
      <c r="L400" s="6" t="n">
        <v>172000</v>
      </c>
      <c r="M400" s="5" t="n"/>
      <c r="N400" s="5">
        <f>IF(AND(ISNUMBER(M400),ISNUMBER(L400)),M400-L400,"")</f>
        <v/>
      </c>
      <c r="O400" s="7">
        <f>IF(AND(ISNUMBER(M400),ISNUMBER(L400),L400&gt;0),(M400-L400)/L400,"")</f>
        <v/>
      </c>
      <c r="P400" s="3">
        <f>IF(O400="","",IF(O400&lt;-0.02,"🔴 Bán phá giá sàn",IF(O400&gt;0.05,"🔵 Bán cao hơn","🟢 Đúng giá sàn TMĐT")))</f>
        <v/>
      </c>
      <c r="Q400" s="3" t="n"/>
      <c r="R400" s="4" t="n"/>
      <c r="S400" s="4" t="n"/>
    </row>
    <row r="401">
      <c r="A401" s="3" t="n">
        <v>400</v>
      </c>
      <c r="B401" s="3" t="inlineStr">
        <is>
          <t>KH002</t>
        </is>
      </c>
      <c r="C401" s="4" t="inlineStr">
        <is>
          <t>Nguyễn Hoàng Phú</t>
        </is>
      </c>
      <c r="D401" s="3" t="inlineStr">
        <is>
          <t>HCM</t>
        </is>
      </c>
      <c r="E401" s="3" t="inlineStr">
        <is>
          <t>BẢO TRÂM</t>
        </is>
      </c>
      <c r="F401" s="3" t="inlineStr">
        <is>
          <t>Shopee</t>
        </is>
      </c>
      <c r="G401" s="3" t="inlineStr">
        <is>
          <t>KBK-06</t>
        </is>
      </c>
      <c r="H401" s="4" t="inlineStr">
        <is>
          <t>Mũi khoan đá KBK-06</t>
        </is>
      </c>
      <c r="I401" s="3" t="inlineStr">
        <is>
          <t>Cái</t>
        </is>
      </c>
      <c r="J401" s="5" t="n">
        <v>22000</v>
      </c>
      <c r="K401" s="5" t="n">
        <v>27000</v>
      </c>
      <c r="L401" s="6" t="n">
        <v>35000</v>
      </c>
      <c r="M401" s="5" t="n"/>
      <c r="N401" s="5">
        <f>IF(AND(ISNUMBER(M401),ISNUMBER(L401)),M401-L401,"")</f>
        <v/>
      </c>
      <c r="O401" s="7">
        <f>IF(AND(ISNUMBER(M401),ISNUMBER(L401),L401&gt;0),(M401-L401)/L401,"")</f>
        <v/>
      </c>
      <c r="P401" s="3">
        <f>IF(O401="","",IF(O401&lt;-0.02,"🔴 Bán phá giá sàn",IF(O401&gt;0.05,"🔵 Bán cao hơn","🟢 Đúng giá sàn TMĐT")))</f>
        <v/>
      </c>
      <c r="Q401" s="3" t="n"/>
      <c r="R401" s="4" t="n"/>
      <c r="S401" s="4" t="n"/>
    </row>
    <row r="402">
      <c r="A402" s="3" t="n">
        <v>401</v>
      </c>
      <c r="B402" s="3" t="inlineStr">
        <is>
          <t>KH002</t>
        </is>
      </c>
      <c r="C402" s="4" t="inlineStr">
        <is>
          <t>Nguyễn Hoàng Phú</t>
        </is>
      </c>
      <c r="D402" s="3" t="inlineStr">
        <is>
          <t>HCM</t>
        </is>
      </c>
      <c r="E402" s="3" t="inlineStr">
        <is>
          <t>BẢO TRÂM</t>
        </is>
      </c>
      <c r="F402" s="3" t="inlineStr">
        <is>
          <t>Shopee</t>
        </is>
      </c>
      <c r="G402" s="3" t="inlineStr">
        <is>
          <t>KBK-08</t>
        </is>
      </c>
      <c r="H402" s="4" t="inlineStr">
        <is>
          <t>Mũi khoan đá KBK-08</t>
        </is>
      </c>
      <c r="I402" s="3" t="inlineStr">
        <is>
          <t>Cái</t>
        </is>
      </c>
      <c r="J402" s="5" t="n">
        <v>25000</v>
      </c>
      <c r="K402" s="5" t="n">
        <v>31000</v>
      </c>
      <c r="L402" s="6" t="n">
        <v>40000</v>
      </c>
      <c r="M402" s="5" t="n"/>
      <c r="N402" s="5">
        <f>IF(AND(ISNUMBER(M402),ISNUMBER(L402)),M402-L402,"")</f>
        <v/>
      </c>
      <c r="O402" s="7">
        <f>IF(AND(ISNUMBER(M402),ISNUMBER(L402),L402&gt;0),(M402-L402)/L402,"")</f>
        <v/>
      </c>
      <c r="P402" s="3">
        <f>IF(O402="","",IF(O402&lt;-0.02,"🔴 Bán phá giá sàn",IF(O402&gt;0.05,"🔵 Bán cao hơn","🟢 Đúng giá sàn TMĐT")))</f>
        <v/>
      </c>
      <c r="Q402" s="3" t="n"/>
      <c r="R402" s="4" t="n"/>
      <c r="S402" s="4" t="n"/>
    </row>
    <row r="403">
      <c r="A403" s="3" t="n">
        <v>402</v>
      </c>
      <c r="B403" s="3" t="inlineStr">
        <is>
          <t>KH002</t>
        </is>
      </c>
      <c r="C403" s="4" t="inlineStr">
        <is>
          <t>Nguyễn Hoàng Phú</t>
        </is>
      </c>
      <c r="D403" s="3" t="inlineStr">
        <is>
          <t>HCM</t>
        </is>
      </c>
      <c r="E403" s="3" t="inlineStr">
        <is>
          <t>BẢO TRÂM</t>
        </is>
      </c>
      <c r="F403" s="3" t="inlineStr">
        <is>
          <t>Shopee</t>
        </is>
      </c>
      <c r="G403" s="3" t="inlineStr">
        <is>
          <t>KBK-10</t>
        </is>
      </c>
      <c r="H403" s="4" t="inlineStr">
        <is>
          <t>Mũi khoan đá KBK-10</t>
        </is>
      </c>
      <c r="I403" s="3" t="inlineStr">
        <is>
          <t>Cái</t>
        </is>
      </c>
      <c r="J403" s="5" t="n">
        <v>32000</v>
      </c>
      <c r="K403" s="5" t="n">
        <v>40000</v>
      </c>
      <c r="L403" s="6" t="n">
        <v>51000</v>
      </c>
      <c r="M403" s="5" t="n"/>
      <c r="N403" s="5">
        <f>IF(AND(ISNUMBER(M403),ISNUMBER(L403)),M403-L403,"")</f>
        <v/>
      </c>
      <c r="O403" s="7">
        <f>IF(AND(ISNUMBER(M403),ISNUMBER(L403),L403&gt;0),(M403-L403)/L403,"")</f>
        <v/>
      </c>
      <c r="P403" s="3">
        <f>IF(O403="","",IF(O403&lt;-0.02,"🔴 Bán phá giá sàn",IF(O403&gt;0.05,"🔵 Bán cao hơn","🟢 Đúng giá sàn TMĐT")))</f>
        <v/>
      </c>
      <c r="Q403" s="3" t="n"/>
      <c r="R403" s="4" t="n"/>
      <c r="S403" s="4" t="n"/>
    </row>
    <row r="404">
      <c r="A404" s="3" t="n">
        <v>403</v>
      </c>
      <c r="B404" s="3" t="inlineStr">
        <is>
          <t>KH002</t>
        </is>
      </c>
      <c r="C404" s="4" t="inlineStr">
        <is>
          <t>Nguyễn Hoàng Phú</t>
        </is>
      </c>
      <c r="D404" s="3" t="inlineStr">
        <is>
          <t>HCM</t>
        </is>
      </c>
      <c r="E404" s="3" t="inlineStr">
        <is>
          <t>BẢO TRÂM</t>
        </is>
      </c>
      <c r="F404" s="3" t="inlineStr">
        <is>
          <t>Shopee</t>
        </is>
      </c>
      <c r="G404" s="3" t="inlineStr">
        <is>
          <t>KBK-100</t>
        </is>
      </c>
      <c r="H404" s="4" t="inlineStr">
        <is>
          <t>Mũi khoan đá KBK-100</t>
        </is>
      </c>
      <c r="I404" s="3" t="inlineStr">
        <is>
          <t>Cái</t>
        </is>
      </c>
      <c r="J404" s="5" t="n">
        <v>342000</v>
      </c>
      <c r="K404" s="5" t="n">
        <v>424000</v>
      </c>
      <c r="L404" s="6" t="n">
        <v>547000</v>
      </c>
      <c r="M404" s="5" t="n"/>
      <c r="N404" s="5">
        <f>IF(AND(ISNUMBER(M404),ISNUMBER(L404)),M404-L404,"")</f>
        <v/>
      </c>
      <c r="O404" s="7">
        <f>IF(AND(ISNUMBER(M404),ISNUMBER(L404),L404&gt;0),(M404-L404)/L404,"")</f>
        <v/>
      </c>
      <c r="P404" s="3">
        <f>IF(O404="","",IF(O404&lt;-0.02,"🔴 Bán phá giá sàn",IF(O404&gt;0.05,"🔵 Bán cao hơn","🟢 Đúng giá sàn TMĐT")))</f>
        <v/>
      </c>
      <c r="Q404" s="3" t="n"/>
      <c r="R404" s="4" t="n"/>
      <c r="S404" s="4" t="n"/>
    </row>
    <row r="405">
      <c r="A405" s="3" t="n">
        <v>404</v>
      </c>
      <c r="B405" s="3" t="inlineStr">
        <is>
          <t>KH002</t>
        </is>
      </c>
      <c r="C405" s="4" t="inlineStr">
        <is>
          <t>Nguyễn Hoàng Phú</t>
        </is>
      </c>
      <c r="D405" s="3" t="inlineStr">
        <is>
          <t>HCM</t>
        </is>
      </c>
      <c r="E405" s="3" t="inlineStr">
        <is>
          <t>BẢO TRÂM</t>
        </is>
      </c>
      <c r="F405" s="3" t="inlineStr">
        <is>
          <t>Shopee</t>
        </is>
      </c>
      <c r="G405" s="3" t="inlineStr">
        <is>
          <t>KBK-110</t>
        </is>
      </c>
      <c r="H405" s="4" t="inlineStr">
        <is>
          <t>Mũi khoan đá KBK-110</t>
        </is>
      </c>
      <c r="I405" s="3" t="inlineStr">
        <is>
          <t>Cái</t>
        </is>
      </c>
      <c r="J405" s="5" t="n">
        <v>387000</v>
      </c>
      <c r="K405" s="5" t="n">
        <v>480000</v>
      </c>
      <c r="L405" s="6" t="n">
        <v>619000</v>
      </c>
      <c r="M405" s="5" t="n"/>
      <c r="N405" s="5">
        <f>IF(AND(ISNUMBER(M405),ISNUMBER(L405)),M405-L405,"")</f>
        <v/>
      </c>
      <c r="O405" s="7">
        <f>IF(AND(ISNUMBER(M405),ISNUMBER(L405),L405&gt;0),(M405-L405)/L405,"")</f>
        <v/>
      </c>
      <c r="P405" s="3">
        <f>IF(O405="","",IF(O405&lt;-0.02,"🔴 Bán phá giá sàn",IF(O405&gt;0.05,"🔵 Bán cao hơn","🟢 Đúng giá sàn TMĐT")))</f>
        <v/>
      </c>
      <c r="Q405" s="3" t="n"/>
      <c r="R405" s="4" t="n"/>
      <c r="S405" s="4" t="n"/>
    </row>
    <row r="406">
      <c r="A406" s="3" t="n">
        <v>405</v>
      </c>
      <c r="B406" s="3" t="inlineStr">
        <is>
          <t>KH002</t>
        </is>
      </c>
      <c r="C406" s="4" t="inlineStr">
        <is>
          <t>Nguyễn Hoàng Phú</t>
        </is>
      </c>
      <c r="D406" s="3" t="inlineStr">
        <is>
          <t>HCM</t>
        </is>
      </c>
      <c r="E406" s="3" t="inlineStr">
        <is>
          <t>BẢO TRÂM</t>
        </is>
      </c>
      <c r="F406" s="3" t="inlineStr">
        <is>
          <t>Shopee</t>
        </is>
      </c>
      <c r="G406" s="3" t="inlineStr">
        <is>
          <t>KBK-12</t>
        </is>
      </c>
      <c r="H406" s="4" t="inlineStr">
        <is>
          <t>Mũi khoan đá KBK-12</t>
        </is>
      </c>
      <c r="I406" s="3" t="inlineStr">
        <is>
          <t>Cái</t>
        </is>
      </c>
      <c r="J406" s="5" t="n">
        <v>37000</v>
      </c>
      <c r="K406" s="5" t="n">
        <v>46000</v>
      </c>
      <c r="L406" s="6" t="n">
        <v>59000</v>
      </c>
      <c r="M406" s="5" t="n"/>
      <c r="N406" s="5">
        <f>IF(AND(ISNUMBER(M406),ISNUMBER(L406)),M406-L406,"")</f>
        <v/>
      </c>
      <c r="O406" s="7">
        <f>IF(AND(ISNUMBER(M406),ISNUMBER(L406),L406&gt;0),(M406-L406)/L406,"")</f>
        <v/>
      </c>
      <c r="P406" s="3">
        <f>IF(O406="","",IF(O406&lt;-0.02,"🔴 Bán phá giá sàn",IF(O406&gt;0.05,"🔵 Bán cao hơn","🟢 Đúng giá sàn TMĐT")))</f>
        <v/>
      </c>
      <c r="Q406" s="3" t="n"/>
      <c r="R406" s="4" t="n"/>
      <c r="S406" s="4" t="n"/>
    </row>
    <row r="407">
      <c r="A407" s="3" t="n">
        <v>406</v>
      </c>
      <c r="B407" s="3" t="inlineStr">
        <is>
          <t>KH002</t>
        </is>
      </c>
      <c r="C407" s="4" t="inlineStr">
        <is>
          <t>Nguyễn Hoàng Phú</t>
        </is>
      </c>
      <c r="D407" s="3" t="inlineStr">
        <is>
          <t>HCM</t>
        </is>
      </c>
      <c r="E407" s="3" t="inlineStr">
        <is>
          <t>BẢO TRÂM</t>
        </is>
      </c>
      <c r="F407" s="3" t="inlineStr">
        <is>
          <t>Shopee</t>
        </is>
      </c>
      <c r="G407" s="3" t="inlineStr">
        <is>
          <t>KBK-14</t>
        </is>
      </c>
      <c r="H407" s="4" t="inlineStr">
        <is>
          <t>Mũi khoan đá KBK-14</t>
        </is>
      </c>
      <c r="I407" s="3" t="inlineStr">
        <is>
          <t>Cái</t>
        </is>
      </c>
      <c r="J407" s="5" t="n">
        <v>45000</v>
      </c>
      <c r="K407" s="5" t="n">
        <v>56000</v>
      </c>
      <c r="L407" s="6" t="n">
        <v>72000</v>
      </c>
      <c r="M407" s="5" t="n"/>
      <c r="N407" s="5">
        <f>IF(AND(ISNUMBER(M407),ISNUMBER(L407)),M407-L407,"")</f>
        <v/>
      </c>
      <c r="O407" s="7">
        <f>IF(AND(ISNUMBER(M407),ISNUMBER(L407),L407&gt;0),(M407-L407)/L407,"")</f>
        <v/>
      </c>
      <c r="P407" s="3">
        <f>IF(O407="","",IF(O407&lt;-0.02,"🔴 Bán phá giá sàn",IF(O407&gt;0.05,"🔵 Bán cao hơn","🟢 Đúng giá sàn TMĐT")))</f>
        <v/>
      </c>
      <c r="Q407" s="3" t="n"/>
      <c r="R407" s="4" t="n"/>
      <c r="S407" s="4" t="n"/>
    </row>
    <row r="408">
      <c r="A408" s="3" t="n">
        <v>407</v>
      </c>
      <c r="B408" s="3" t="inlineStr">
        <is>
          <t>KH002</t>
        </is>
      </c>
      <c r="C408" s="4" t="inlineStr">
        <is>
          <t>Nguyễn Hoàng Phú</t>
        </is>
      </c>
      <c r="D408" s="3" t="inlineStr">
        <is>
          <t>HCM</t>
        </is>
      </c>
      <c r="E408" s="3" t="inlineStr">
        <is>
          <t>BẢO TRÂM</t>
        </is>
      </c>
      <c r="F408" s="3" t="inlineStr">
        <is>
          <t>Shopee</t>
        </is>
      </c>
      <c r="G408" s="3" t="inlineStr">
        <is>
          <t>KBK-16</t>
        </is>
      </c>
      <c r="H408" s="4" t="inlineStr">
        <is>
          <t>Mũi khoan đá KBK-16</t>
        </is>
      </c>
      <c r="I408" s="3" t="inlineStr">
        <is>
          <t>Cái</t>
        </is>
      </c>
      <c r="J408" s="5" t="n">
        <v>48000</v>
      </c>
      <c r="K408" s="5" t="n">
        <v>60000</v>
      </c>
      <c r="L408" s="6" t="n">
        <v>77000</v>
      </c>
      <c r="M408" s="5" t="n"/>
      <c r="N408" s="5">
        <f>IF(AND(ISNUMBER(M408),ISNUMBER(L408)),M408-L408,"")</f>
        <v/>
      </c>
      <c r="O408" s="7">
        <f>IF(AND(ISNUMBER(M408),ISNUMBER(L408),L408&gt;0),(M408-L408)/L408,"")</f>
        <v/>
      </c>
      <c r="P408" s="3">
        <f>IF(O408="","",IF(O408&lt;-0.02,"🔴 Bán phá giá sàn",IF(O408&gt;0.05,"🔵 Bán cao hơn","🟢 Đúng giá sàn TMĐT")))</f>
        <v/>
      </c>
      <c r="Q408" s="3" t="n"/>
      <c r="R408" s="4" t="n"/>
      <c r="S408" s="4" t="n"/>
    </row>
    <row r="409">
      <c r="A409" s="3" t="n">
        <v>408</v>
      </c>
      <c r="B409" s="3" t="inlineStr">
        <is>
          <t>KH002</t>
        </is>
      </c>
      <c r="C409" s="4" t="inlineStr">
        <is>
          <t>Nguyễn Hoàng Phú</t>
        </is>
      </c>
      <c r="D409" s="3" t="inlineStr">
        <is>
          <t>HCM</t>
        </is>
      </c>
      <c r="E409" s="3" t="inlineStr">
        <is>
          <t>BẢO TRÂM</t>
        </is>
      </c>
      <c r="F409" s="3" t="inlineStr">
        <is>
          <t>Shopee</t>
        </is>
      </c>
      <c r="G409" s="3" t="inlineStr">
        <is>
          <t>KBK-18</t>
        </is>
      </c>
      <c r="H409" s="4" t="inlineStr">
        <is>
          <t>Mũi khoan đá KBK-18</t>
        </is>
      </c>
      <c r="I409" s="3" t="inlineStr">
        <is>
          <t>Cái</t>
        </is>
      </c>
      <c r="J409" s="5" t="n">
        <v>57000</v>
      </c>
      <c r="K409" s="5" t="n">
        <v>71000</v>
      </c>
      <c r="L409" s="6" t="n">
        <v>91000</v>
      </c>
      <c r="M409" s="5" t="n"/>
      <c r="N409" s="5">
        <f>IF(AND(ISNUMBER(M409),ISNUMBER(L409)),M409-L409,"")</f>
        <v/>
      </c>
      <c r="O409" s="7">
        <f>IF(AND(ISNUMBER(M409),ISNUMBER(L409),L409&gt;0),(M409-L409)/L409,"")</f>
        <v/>
      </c>
      <c r="P409" s="3">
        <f>IF(O409="","",IF(O409&lt;-0.02,"🔴 Bán phá giá sàn",IF(O409&gt;0.05,"🔵 Bán cao hơn","🟢 Đúng giá sàn TMĐT")))</f>
        <v/>
      </c>
      <c r="Q409" s="3" t="n"/>
      <c r="R409" s="4" t="n"/>
      <c r="S409" s="4" t="n"/>
    </row>
    <row r="410">
      <c r="A410" s="3" t="n">
        <v>409</v>
      </c>
      <c r="B410" s="3" t="inlineStr">
        <is>
          <t>KH002</t>
        </is>
      </c>
      <c r="C410" s="4" t="inlineStr">
        <is>
          <t>Nguyễn Hoàng Phú</t>
        </is>
      </c>
      <c r="D410" s="3" t="inlineStr">
        <is>
          <t>HCM</t>
        </is>
      </c>
      <c r="E410" s="3" t="inlineStr">
        <is>
          <t>BẢO TRÂM</t>
        </is>
      </c>
      <c r="F410" s="3" t="inlineStr">
        <is>
          <t>Shopee</t>
        </is>
      </c>
      <c r="G410" s="3" t="inlineStr">
        <is>
          <t>KBK-21</t>
        </is>
      </c>
      <c r="H410" s="4" t="inlineStr">
        <is>
          <t>Mũi khoan đá KBK-21</t>
        </is>
      </c>
      <c r="I410" s="3" t="inlineStr">
        <is>
          <t>Cái</t>
        </is>
      </c>
      <c r="J410" s="5" t="n">
        <v>64000</v>
      </c>
      <c r="K410" s="5" t="n">
        <v>79000</v>
      </c>
      <c r="L410" s="6" t="n">
        <v>102000</v>
      </c>
      <c r="M410" s="5" t="n"/>
      <c r="N410" s="5">
        <f>IF(AND(ISNUMBER(M410),ISNUMBER(L410)),M410-L410,"")</f>
        <v/>
      </c>
      <c r="O410" s="7">
        <f>IF(AND(ISNUMBER(M410),ISNUMBER(L410),L410&gt;0),(M410-L410)/L410,"")</f>
        <v/>
      </c>
      <c r="P410" s="3">
        <f>IF(O410="","",IF(O410&lt;-0.02,"🔴 Bán phá giá sàn",IF(O410&gt;0.05,"🔵 Bán cao hơn","🟢 Đúng giá sàn TMĐT")))</f>
        <v/>
      </c>
      <c r="Q410" s="3" t="n"/>
      <c r="R410" s="4" t="n"/>
      <c r="S410" s="4" t="n"/>
    </row>
    <row r="411">
      <c r="A411" s="3" t="n">
        <v>410</v>
      </c>
      <c r="B411" s="3" t="inlineStr">
        <is>
          <t>KH002</t>
        </is>
      </c>
      <c r="C411" s="4" t="inlineStr">
        <is>
          <t>Nguyễn Hoàng Phú</t>
        </is>
      </c>
      <c r="D411" s="3" t="inlineStr">
        <is>
          <t>HCM</t>
        </is>
      </c>
      <c r="E411" s="3" t="inlineStr">
        <is>
          <t>BẢO TRÂM</t>
        </is>
      </c>
      <c r="F411" s="3" t="inlineStr">
        <is>
          <t>Shopee</t>
        </is>
      </c>
      <c r="G411" s="3" t="inlineStr">
        <is>
          <t>KBK-25</t>
        </is>
      </c>
      <c r="H411" s="4" t="inlineStr">
        <is>
          <t>Mũi khoan đá KBK-25</t>
        </is>
      </c>
      <c r="I411" s="3" t="inlineStr">
        <is>
          <t>Cái</t>
        </is>
      </c>
      <c r="J411" s="5" t="n">
        <v>77000</v>
      </c>
      <c r="K411" s="5" t="n">
        <v>95000</v>
      </c>
      <c r="L411" s="6" t="n">
        <v>123000</v>
      </c>
      <c r="M411" s="5" t="n"/>
      <c r="N411" s="5">
        <f>IF(AND(ISNUMBER(M411),ISNUMBER(L411)),M411-L411,"")</f>
        <v/>
      </c>
      <c r="O411" s="7">
        <f>IF(AND(ISNUMBER(M411),ISNUMBER(L411),L411&gt;0),(M411-L411)/L411,"")</f>
        <v/>
      </c>
      <c r="P411" s="3">
        <f>IF(O411="","",IF(O411&lt;-0.02,"🔴 Bán phá giá sàn",IF(O411&gt;0.05,"🔵 Bán cao hơn","🟢 Đúng giá sàn TMĐT")))</f>
        <v/>
      </c>
      <c r="Q411" s="3" t="n"/>
      <c r="R411" s="4" t="n"/>
      <c r="S411" s="4" t="n"/>
    </row>
    <row r="412">
      <c r="A412" s="3" t="n">
        <v>411</v>
      </c>
      <c r="B412" s="3" t="inlineStr">
        <is>
          <t>KH002</t>
        </is>
      </c>
      <c r="C412" s="4" t="inlineStr">
        <is>
          <t>Nguyễn Hoàng Phú</t>
        </is>
      </c>
      <c r="D412" s="3" t="inlineStr">
        <is>
          <t>HCM</t>
        </is>
      </c>
      <c r="E412" s="3" t="inlineStr">
        <is>
          <t>BẢO TRÂM</t>
        </is>
      </c>
      <c r="F412" s="3" t="inlineStr">
        <is>
          <t>Shopee</t>
        </is>
      </c>
      <c r="G412" s="3" t="inlineStr">
        <is>
          <t>KBK-27</t>
        </is>
      </c>
      <c r="H412" s="4" t="inlineStr">
        <is>
          <t>Mũi khoan đá KBK-27</t>
        </is>
      </c>
      <c r="I412" s="3" t="inlineStr">
        <is>
          <t>Cái</t>
        </is>
      </c>
      <c r="J412" s="5" t="n">
        <v>84000</v>
      </c>
      <c r="K412" s="5" t="n">
        <v>104000</v>
      </c>
      <c r="L412" s="6" t="n">
        <v>134000</v>
      </c>
      <c r="M412" s="5" t="n"/>
      <c r="N412" s="5">
        <f>IF(AND(ISNUMBER(M412),ISNUMBER(L412)),M412-L412,"")</f>
        <v/>
      </c>
      <c r="O412" s="7">
        <f>IF(AND(ISNUMBER(M412),ISNUMBER(L412),L412&gt;0),(M412-L412)/L412,"")</f>
        <v/>
      </c>
      <c r="P412" s="3">
        <f>IF(O412="","",IF(O412&lt;-0.02,"🔴 Bán phá giá sàn",IF(O412&gt;0.05,"🔵 Bán cao hơn","🟢 Đúng giá sàn TMĐT")))</f>
        <v/>
      </c>
      <c r="Q412" s="3" t="n"/>
      <c r="R412" s="4" t="n"/>
      <c r="S412" s="4" t="n"/>
    </row>
    <row r="413">
      <c r="A413" s="3" t="n">
        <v>412</v>
      </c>
      <c r="B413" s="3" t="inlineStr">
        <is>
          <t>KH002</t>
        </is>
      </c>
      <c r="C413" s="4" t="inlineStr">
        <is>
          <t>Nguyễn Hoàng Phú</t>
        </is>
      </c>
      <c r="D413" s="3" t="inlineStr">
        <is>
          <t>HCM</t>
        </is>
      </c>
      <c r="E413" s="3" t="inlineStr">
        <is>
          <t>BẢO TRÂM</t>
        </is>
      </c>
      <c r="F413" s="3" t="inlineStr">
        <is>
          <t>Shopee</t>
        </is>
      </c>
      <c r="G413" s="3" t="inlineStr">
        <is>
          <t>KBK-30</t>
        </is>
      </c>
      <c r="H413" s="4" t="inlineStr">
        <is>
          <t>Mũi khoan đá KBK-30</t>
        </is>
      </c>
      <c r="I413" s="3" t="inlineStr">
        <is>
          <t>Cái</t>
        </is>
      </c>
      <c r="J413" s="5" t="n">
        <v>91000</v>
      </c>
      <c r="K413" s="5" t="n">
        <v>113000</v>
      </c>
      <c r="L413" s="6" t="n">
        <v>146000</v>
      </c>
      <c r="M413" s="5" t="n"/>
      <c r="N413" s="5">
        <f>IF(AND(ISNUMBER(M413),ISNUMBER(L413)),M413-L413,"")</f>
        <v/>
      </c>
      <c r="O413" s="7">
        <f>IF(AND(ISNUMBER(M413),ISNUMBER(L413),L413&gt;0),(M413-L413)/L413,"")</f>
        <v/>
      </c>
      <c r="P413" s="3">
        <f>IF(O413="","",IF(O413&lt;-0.02,"🔴 Bán phá giá sàn",IF(O413&gt;0.05,"🔵 Bán cao hơn","🟢 Đúng giá sàn TMĐT")))</f>
        <v/>
      </c>
      <c r="Q413" s="3" t="n"/>
      <c r="R413" s="4" t="n"/>
      <c r="S413" s="4" t="n"/>
    </row>
    <row r="414">
      <c r="A414" s="3" t="n">
        <v>413</v>
      </c>
      <c r="B414" s="3" t="inlineStr">
        <is>
          <t>KH002</t>
        </is>
      </c>
      <c r="C414" s="4" t="inlineStr">
        <is>
          <t>Nguyễn Hoàng Phú</t>
        </is>
      </c>
      <c r="D414" s="3" t="inlineStr">
        <is>
          <t>HCM</t>
        </is>
      </c>
      <c r="E414" s="3" t="inlineStr">
        <is>
          <t>BẢO TRÂM</t>
        </is>
      </c>
      <c r="F414" s="3" t="inlineStr">
        <is>
          <t>Shopee</t>
        </is>
      </c>
      <c r="G414" s="3" t="inlineStr">
        <is>
          <t>KBK-32</t>
        </is>
      </c>
      <c r="H414" s="4" t="inlineStr">
        <is>
          <t>Mũi khoan đá KBK-32</t>
        </is>
      </c>
      <c r="I414" s="3" t="inlineStr">
        <is>
          <t>Cái</t>
        </is>
      </c>
      <c r="J414" s="5" t="n">
        <v>96000</v>
      </c>
      <c r="K414" s="5" t="n">
        <v>119000</v>
      </c>
      <c r="L414" s="6" t="n">
        <v>154000</v>
      </c>
      <c r="M414" s="5" t="n"/>
      <c r="N414" s="5">
        <f>IF(AND(ISNUMBER(M414),ISNUMBER(L414)),M414-L414,"")</f>
        <v/>
      </c>
      <c r="O414" s="7">
        <f>IF(AND(ISNUMBER(M414),ISNUMBER(L414),L414&gt;0),(M414-L414)/L414,"")</f>
        <v/>
      </c>
      <c r="P414" s="3">
        <f>IF(O414="","",IF(O414&lt;-0.02,"🔴 Bán phá giá sàn",IF(O414&gt;0.05,"🔵 Bán cao hơn","🟢 Đúng giá sàn TMĐT")))</f>
        <v/>
      </c>
      <c r="Q414" s="3" t="n"/>
      <c r="R414" s="4" t="n"/>
      <c r="S414" s="4" t="n"/>
    </row>
    <row r="415">
      <c r="A415" s="3" t="n">
        <v>414</v>
      </c>
      <c r="B415" s="3" t="inlineStr">
        <is>
          <t>KH002</t>
        </is>
      </c>
      <c r="C415" s="4" t="inlineStr">
        <is>
          <t>Nguyễn Hoàng Phú</t>
        </is>
      </c>
      <c r="D415" s="3" t="inlineStr">
        <is>
          <t>HCM</t>
        </is>
      </c>
      <c r="E415" s="3" t="inlineStr">
        <is>
          <t>BẢO TRÂM</t>
        </is>
      </c>
      <c r="F415" s="3" t="inlineStr">
        <is>
          <t>Shopee</t>
        </is>
      </c>
      <c r="G415" s="3" t="inlineStr">
        <is>
          <t>KBK-35</t>
        </is>
      </c>
      <c r="H415" s="4" t="inlineStr">
        <is>
          <t>Mũi khoan đá KBK-35</t>
        </is>
      </c>
      <c r="I415" s="3" t="inlineStr">
        <is>
          <t>Cái</t>
        </is>
      </c>
      <c r="J415" s="5" t="n">
        <v>104000</v>
      </c>
      <c r="K415" s="5" t="n">
        <v>129000</v>
      </c>
      <c r="L415" s="6" t="n">
        <v>166000</v>
      </c>
      <c r="M415" s="5" t="n"/>
      <c r="N415" s="5">
        <f>IF(AND(ISNUMBER(M415),ISNUMBER(L415)),M415-L415,"")</f>
        <v/>
      </c>
      <c r="O415" s="7">
        <f>IF(AND(ISNUMBER(M415),ISNUMBER(L415),L415&gt;0),(M415-L415)/L415,"")</f>
        <v/>
      </c>
      <c r="P415" s="3">
        <f>IF(O415="","",IF(O415&lt;-0.02,"🔴 Bán phá giá sàn",IF(O415&gt;0.05,"🔵 Bán cao hơn","🟢 Đúng giá sàn TMĐT")))</f>
        <v/>
      </c>
      <c r="Q415" s="3" t="n"/>
      <c r="R415" s="4" t="n"/>
      <c r="S415" s="4" t="n"/>
    </row>
    <row r="416">
      <c r="A416" s="3" t="n">
        <v>415</v>
      </c>
      <c r="B416" s="3" t="inlineStr">
        <is>
          <t>KH002</t>
        </is>
      </c>
      <c r="C416" s="4" t="inlineStr">
        <is>
          <t>Nguyễn Hoàng Phú</t>
        </is>
      </c>
      <c r="D416" s="3" t="inlineStr">
        <is>
          <t>HCM</t>
        </is>
      </c>
      <c r="E416" s="3" t="inlineStr">
        <is>
          <t>BẢO TRÂM</t>
        </is>
      </c>
      <c r="F416" s="3" t="inlineStr">
        <is>
          <t>Shopee</t>
        </is>
      </c>
      <c r="G416" s="3" t="inlineStr">
        <is>
          <t>KBK-38</t>
        </is>
      </c>
      <c r="H416" s="4" t="inlineStr">
        <is>
          <t>Mũi khoan đá KBK-38</t>
        </is>
      </c>
      <c r="I416" s="3" t="inlineStr">
        <is>
          <t>Cái</t>
        </is>
      </c>
      <c r="J416" s="5" t="n">
        <v>114000</v>
      </c>
      <c r="K416" s="5" t="n">
        <v>141000</v>
      </c>
      <c r="L416" s="6" t="n">
        <v>182000</v>
      </c>
      <c r="M416" s="5" t="n"/>
      <c r="N416" s="5">
        <f>IF(AND(ISNUMBER(M416),ISNUMBER(L416)),M416-L416,"")</f>
        <v/>
      </c>
      <c r="O416" s="7">
        <f>IF(AND(ISNUMBER(M416),ISNUMBER(L416),L416&gt;0),(M416-L416)/L416,"")</f>
        <v/>
      </c>
      <c r="P416" s="3">
        <f>IF(O416="","",IF(O416&lt;-0.02,"🔴 Bán phá giá sàn",IF(O416&gt;0.05,"🔵 Bán cao hơn","🟢 Đúng giá sàn TMĐT")))</f>
        <v/>
      </c>
      <c r="Q416" s="3" t="n"/>
      <c r="R416" s="4" t="n"/>
      <c r="S416" s="4" t="n"/>
    </row>
    <row r="417">
      <c r="A417" s="3" t="n">
        <v>416</v>
      </c>
      <c r="B417" s="3" t="inlineStr">
        <is>
          <t>KH002</t>
        </is>
      </c>
      <c r="C417" s="4" t="inlineStr">
        <is>
          <t>Nguyễn Hoàng Phú</t>
        </is>
      </c>
      <c r="D417" s="3" t="inlineStr">
        <is>
          <t>HCM</t>
        </is>
      </c>
      <c r="E417" s="3" t="inlineStr">
        <is>
          <t>BẢO TRÂM</t>
        </is>
      </c>
      <c r="F417" s="3" t="inlineStr">
        <is>
          <t>Shopee</t>
        </is>
      </c>
      <c r="G417" s="3" t="inlineStr">
        <is>
          <t>KBK-40</t>
        </is>
      </c>
      <c r="H417" s="4" t="inlineStr">
        <is>
          <t>Mũi khoan đá KBK-40</t>
        </is>
      </c>
      <c r="I417" s="3" t="inlineStr">
        <is>
          <t>Cái</t>
        </is>
      </c>
      <c r="J417" s="5" t="n">
        <v>120000</v>
      </c>
      <c r="K417" s="5" t="n">
        <v>149000</v>
      </c>
      <c r="L417" s="6" t="n">
        <v>192000</v>
      </c>
      <c r="M417" s="5" t="n"/>
      <c r="N417" s="5">
        <f>IF(AND(ISNUMBER(M417),ISNUMBER(L417)),M417-L417,"")</f>
        <v/>
      </c>
      <c r="O417" s="7">
        <f>IF(AND(ISNUMBER(M417),ISNUMBER(L417),L417&gt;0),(M417-L417)/L417,"")</f>
        <v/>
      </c>
      <c r="P417" s="3">
        <f>IF(O417="","",IF(O417&lt;-0.02,"🔴 Bán phá giá sàn",IF(O417&gt;0.05,"🔵 Bán cao hơn","🟢 Đúng giá sàn TMĐT")))</f>
        <v/>
      </c>
      <c r="Q417" s="3" t="n"/>
      <c r="R417" s="4" t="n"/>
      <c r="S417" s="4" t="n"/>
    </row>
    <row r="418">
      <c r="A418" s="3" t="n">
        <v>417</v>
      </c>
      <c r="B418" s="3" t="inlineStr">
        <is>
          <t>KH002</t>
        </is>
      </c>
      <c r="C418" s="4" t="inlineStr">
        <is>
          <t>Nguyễn Hoàng Phú</t>
        </is>
      </c>
      <c r="D418" s="3" t="inlineStr">
        <is>
          <t>HCM</t>
        </is>
      </c>
      <c r="E418" s="3" t="inlineStr">
        <is>
          <t>BẢO TRÂM</t>
        </is>
      </c>
      <c r="F418" s="3" t="inlineStr">
        <is>
          <t>Shopee</t>
        </is>
      </c>
      <c r="G418" s="3" t="inlineStr">
        <is>
          <t>KBK-42</t>
        </is>
      </c>
      <c r="H418" s="4" t="inlineStr">
        <is>
          <t>Mũi khoan đá KBK-42</t>
        </is>
      </c>
      <c r="I418" s="3" t="inlineStr">
        <is>
          <t>Cái</t>
        </is>
      </c>
      <c r="J418" s="5" t="n">
        <v>129000</v>
      </c>
      <c r="K418" s="5" t="n">
        <v>160000</v>
      </c>
      <c r="L418" s="6" t="n">
        <v>206000</v>
      </c>
      <c r="M418" s="5" t="n"/>
      <c r="N418" s="5">
        <f>IF(AND(ISNUMBER(M418),ISNUMBER(L418)),M418-L418,"")</f>
        <v/>
      </c>
      <c r="O418" s="7">
        <f>IF(AND(ISNUMBER(M418),ISNUMBER(L418),L418&gt;0),(M418-L418)/L418,"")</f>
        <v/>
      </c>
      <c r="P418" s="3">
        <f>IF(O418="","",IF(O418&lt;-0.02,"🔴 Bán phá giá sàn",IF(O418&gt;0.05,"🔵 Bán cao hơn","🟢 Đúng giá sàn TMĐT")))</f>
        <v/>
      </c>
      <c r="Q418" s="3" t="n"/>
      <c r="R418" s="4" t="n"/>
      <c r="S418" s="4" t="n"/>
    </row>
    <row r="419">
      <c r="A419" s="3" t="n">
        <v>418</v>
      </c>
      <c r="B419" s="3" t="inlineStr">
        <is>
          <t>KH002</t>
        </is>
      </c>
      <c r="C419" s="4" t="inlineStr">
        <is>
          <t>Nguyễn Hoàng Phú</t>
        </is>
      </c>
      <c r="D419" s="3" t="inlineStr">
        <is>
          <t>HCM</t>
        </is>
      </c>
      <c r="E419" s="3" t="inlineStr">
        <is>
          <t>BẢO TRÂM</t>
        </is>
      </c>
      <c r="F419" s="3" t="inlineStr">
        <is>
          <t>Shopee</t>
        </is>
      </c>
      <c r="G419" s="3" t="inlineStr">
        <is>
          <t>KBK-45</t>
        </is>
      </c>
      <c r="H419" s="4" t="inlineStr">
        <is>
          <t>Mũi khoan đá KBK-45</t>
        </is>
      </c>
      <c r="I419" s="3" t="inlineStr">
        <is>
          <t>Cái</t>
        </is>
      </c>
      <c r="J419" s="5" t="n">
        <v>140000</v>
      </c>
      <c r="K419" s="5" t="n">
        <v>174000</v>
      </c>
      <c r="L419" s="6" t="n">
        <v>224000</v>
      </c>
      <c r="M419" s="5" t="n"/>
      <c r="N419" s="5">
        <f>IF(AND(ISNUMBER(M419),ISNUMBER(L419)),M419-L419,"")</f>
        <v/>
      </c>
      <c r="O419" s="7">
        <f>IF(AND(ISNUMBER(M419),ISNUMBER(L419),L419&gt;0),(M419-L419)/L419,"")</f>
        <v/>
      </c>
      <c r="P419" s="3">
        <f>IF(O419="","",IF(O419&lt;-0.02,"🔴 Bán phá giá sàn",IF(O419&gt;0.05,"🔵 Bán cao hơn","🟢 Đúng giá sàn TMĐT")))</f>
        <v/>
      </c>
      <c r="Q419" s="3" t="n"/>
      <c r="R419" s="4" t="n"/>
      <c r="S419" s="4" t="n"/>
    </row>
    <row r="420">
      <c r="A420" s="3" t="n">
        <v>419</v>
      </c>
      <c r="B420" s="3" t="inlineStr">
        <is>
          <t>KH002</t>
        </is>
      </c>
      <c r="C420" s="4" t="inlineStr">
        <is>
          <t>Nguyễn Hoàng Phú</t>
        </is>
      </c>
      <c r="D420" s="3" t="inlineStr">
        <is>
          <t>HCM</t>
        </is>
      </c>
      <c r="E420" s="3" t="inlineStr">
        <is>
          <t>BẢO TRÂM</t>
        </is>
      </c>
      <c r="F420" s="3" t="inlineStr">
        <is>
          <t>Shopee</t>
        </is>
      </c>
      <c r="G420" s="3" t="inlineStr">
        <is>
          <t>KBK-50</t>
        </is>
      </c>
      <c r="H420" s="4" t="inlineStr">
        <is>
          <t>Mũi khoan đá KBK-50</t>
        </is>
      </c>
      <c r="I420" s="3" t="inlineStr">
        <is>
          <t>Cái</t>
        </is>
      </c>
      <c r="J420" s="5" t="n">
        <v>153000</v>
      </c>
      <c r="K420" s="5" t="n">
        <v>190000</v>
      </c>
      <c r="L420" s="6" t="n">
        <v>245000</v>
      </c>
      <c r="M420" s="5" t="n"/>
      <c r="N420" s="5">
        <f>IF(AND(ISNUMBER(M420),ISNUMBER(L420)),M420-L420,"")</f>
        <v/>
      </c>
      <c r="O420" s="7">
        <f>IF(AND(ISNUMBER(M420),ISNUMBER(L420),L420&gt;0),(M420-L420)/L420,"")</f>
        <v/>
      </c>
      <c r="P420" s="3">
        <f>IF(O420="","",IF(O420&lt;-0.02,"🔴 Bán phá giá sàn",IF(O420&gt;0.05,"🔵 Bán cao hơn","🟢 Đúng giá sàn TMĐT")))</f>
        <v/>
      </c>
      <c r="Q420" s="3" t="n"/>
      <c r="R420" s="4" t="n"/>
      <c r="S420" s="4" t="n"/>
    </row>
    <row r="421">
      <c r="A421" s="3" t="n">
        <v>420</v>
      </c>
      <c r="B421" s="3" t="inlineStr">
        <is>
          <t>KH002</t>
        </is>
      </c>
      <c r="C421" s="4" t="inlineStr">
        <is>
          <t>Nguyễn Hoàng Phú</t>
        </is>
      </c>
      <c r="D421" s="3" t="inlineStr">
        <is>
          <t>HCM</t>
        </is>
      </c>
      <c r="E421" s="3" t="inlineStr">
        <is>
          <t>BẢO TRÂM</t>
        </is>
      </c>
      <c r="F421" s="3" t="inlineStr">
        <is>
          <t>Shopee</t>
        </is>
      </c>
      <c r="G421" s="3" t="inlineStr">
        <is>
          <t>KBK-55</t>
        </is>
      </c>
      <c r="H421" s="4" t="inlineStr">
        <is>
          <t>Mũi khoan đá KBK-55</t>
        </is>
      </c>
      <c r="I421" s="3" t="inlineStr">
        <is>
          <t>Cái</t>
        </is>
      </c>
      <c r="J421" s="5" t="n">
        <v>169000</v>
      </c>
      <c r="K421" s="5" t="n">
        <v>209000</v>
      </c>
      <c r="L421" s="6" t="n">
        <v>270000</v>
      </c>
      <c r="M421" s="5" t="n"/>
      <c r="N421" s="5">
        <f>IF(AND(ISNUMBER(M421),ISNUMBER(L421)),M421-L421,"")</f>
        <v/>
      </c>
      <c r="O421" s="7">
        <f>IF(AND(ISNUMBER(M421),ISNUMBER(L421),L421&gt;0),(M421-L421)/L421,"")</f>
        <v/>
      </c>
      <c r="P421" s="3">
        <f>IF(O421="","",IF(O421&lt;-0.02,"🔴 Bán phá giá sàn",IF(O421&gt;0.05,"🔵 Bán cao hơn","🟢 Đúng giá sàn TMĐT")))</f>
        <v/>
      </c>
      <c r="Q421" s="3" t="n"/>
      <c r="R421" s="4" t="n"/>
      <c r="S421" s="4" t="n"/>
    </row>
    <row r="422">
      <c r="A422" s="3" t="n">
        <v>421</v>
      </c>
      <c r="B422" s="3" t="inlineStr">
        <is>
          <t>KH002</t>
        </is>
      </c>
      <c r="C422" s="4" t="inlineStr">
        <is>
          <t>Nguyễn Hoàng Phú</t>
        </is>
      </c>
      <c r="D422" s="3" t="inlineStr">
        <is>
          <t>HCM</t>
        </is>
      </c>
      <c r="E422" s="3" t="inlineStr">
        <is>
          <t>BẢO TRÂM</t>
        </is>
      </c>
      <c r="F422" s="3" t="inlineStr">
        <is>
          <t>Shopee</t>
        </is>
      </c>
      <c r="G422" s="3" t="inlineStr">
        <is>
          <t>KBK-60</t>
        </is>
      </c>
      <c r="H422" s="4" t="inlineStr">
        <is>
          <t>Mũi khoan đá KBK-60</t>
        </is>
      </c>
      <c r="I422" s="3" t="inlineStr">
        <is>
          <t>Cái</t>
        </is>
      </c>
      <c r="J422" s="5" t="n">
        <v>182000</v>
      </c>
      <c r="K422" s="5" t="n">
        <v>226000</v>
      </c>
      <c r="L422" s="6" t="n">
        <v>291000</v>
      </c>
      <c r="M422" s="5" t="n"/>
      <c r="N422" s="5">
        <f>IF(AND(ISNUMBER(M422),ISNUMBER(L422)),M422-L422,"")</f>
        <v/>
      </c>
      <c r="O422" s="7">
        <f>IF(AND(ISNUMBER(M422),ISNUMBER(L422),L422&gt;0),(M422-L422)/L422,"")</f>
        <v/>
      </c>
      <c r="P422" s="3">
        <f>IF(O422="","",IF(O422&lt;-0.02,"🔴 Bán phá giá sàn",IF(O422&gt;0.05,"🔵 Bán cao hơn","🟢 Đúng giá sàn TMĐT")))</f>
        <v/>
      </c>
      <c r="Q422" s="3" t="n"/>
      <c r="R422" s="4" t="n"/>
      <c r="S422" s="4" t="n"/>
    </row>
    <row r="423">
      <c r="A423" s="3" t="n">
        <v>422</v>
      </c>
      <c r="B423" s="3" t="inlineStr">
        <is>
          <t>KH002</t>
        </is>
      </c>
      <c r="C423" s="4" t="inlineStr">
        <is>
          <t>Nguyễn Hoàng Phú</t>
        </is>
      </c>
      <c r="D423" s="3" t="inlineStr">
        <is>
          <t>HCM</t>
        </is>
      </c>
      <c r="E423" s="3" t="inlineStr">
        <is>
          <t>BẢO TRÂM</t>
        </is>
      </c>
      <c r="F423" s="3" t="inlineStr">
        <is>
          <t>Shopee</t>
        </is>
      </c>
      <c r="G423" s="3" t="inlineStr">
        <is>
          <t>KBK-65</t>
        </is>
      </c>
      <c r="H423" s="4" t="inlineStr">
        <is>
          <t>Mũi khoan đá KBK-65</t>
        </is>
      </c>
      <c r="I423" s="3" t="inlineStr">
        <is>
          <t>Cái</t>
        </is>
      </c>
      <c r="J423" s="5" t="n">
        <v>195000</v>
      </c>
      <c r="K423" s="5" t="n">
        <v>242000</v>
      </c>
      <c r="L423" s="6" t="n">
        <v>312000</v>
      </c>
      <c r="M423" s="5" t="n"/>
      <c r="N423" s="5">
        <f>IF(AND(ISNUMBER(M423),ISNUMBER(L423)),M423-L423,"")</f>
        <v/>
      </c>
      <c r="O423" s="7">
        <f>IF(AND(ISNUMBER(M423),ISNUMBER(L423),L423&gt;0),(M423-L423)/L423,"")</f>
        <v/>
      </c>
      <c r="P423" s="3">
        <f>IF(O423="","",IF(O423&lt;-0.02,"🔴 Bán phá giá sàn",IF(O423&gt;0.05,"🔵 Bán cao hơn","🟢 Đúng giá sàn TMĐT")))</f>
        <v/>
      </c>
      <c r="Q423" s="3" t="n"/>
      <c r="R423" s="4" t="n"/>
      <c r="S423" s="4" t="n"/>
    </row>
    <row r="424">
      <c r="A424" s="3" t="n">
        <v>423</v>
      </c>
      <c r="B424" s="3" t="inlineStr">
        <is>
          <t>KH002</t>
        </is>
      </c>
      <c r="C424" s="4" t="inlineStr">
        <is>
          <t>Nguyễn Hoàng Phú</t>
        </is>
      </c>
      <c r="D424" s="3" t="inlineStr">
        <is>
          <t>HCM</t>
        </is>
      </c>
      <c r="E424" s="3" t="inlineStr">
        <is>
          <t>BẢO TRÂM</t>
        </is>
      </c>
      <c r="F424" s="3" t="inlineStr">
        <is>
          <t>Shopee</t>
        </is>
      </c>
      <c r="G424" s="3" t="inlineStr">
        <is>
          <t>KBK-80</t>
        </is>
      </c>
      <c r="H424" s="4" t="inlineStr">
        <is>
          <t>Mũi khoan đá KBK-80</t>
        </is>
      </c>
      <c r="I424" s="3" t="inlineStr">
        <is>
          <t>Cái</t>
        </is>
      </c>
      <c r="J424" s="5" t="n">
        <v>260000</v>
      </c>
      <c r="K424" s="5" t="n">
        <v>322000</v>
      </c>
      <c r="L424" s="6" t="n">
        <v>416000</v>
      </c>
      <c r="M424" s="5" t="n"/>
      <c r="N424" s="5">
        <f>IF(AND(ISNUMBER(M424),ISNUMBER(L424)),M424-L424,"")</f>
        <v/>
      </c>
      <c r="O424" s="7">
        <f>IF(AND(ISNUMBER(M424),ISNUMBER(L424),L424&gt;0),(M424-L424)/L424,"")</f>
        <v/>
      </c>
      <c r="P424" s="3">
        <f>IF(O424="","",IF(O424&lt;-0.02,"🔴 Bán phá giá sàn",IF(O424&gt;0.05,"🔵 Bán cao hơn","🟢 Đúng giá sàn TMĐT")))</f>
        <v/>
      </c>
      <c r="Q424" s="3" t="n"/>
      <c r="R424" s="4" t="n"/>
      <c r="S424" s="4" t="n"/>
    </row>
    <row r="425">
      <c r="A425" s="3" t="n">
        <v>424</v>
      </c>
      <c r="B425" s="3" t="inlineStr">
        <is>
          <t>KH002</t>
        </is>
      </c>
      <c r="C425" s="4" t="inlineStr">
        <is>
          <t>Nguyễn Hoàng Phú</t>
        </is>
      </c>
      <c r="D425" s="3" t="inlineStr">
        <is>
          <t>HCM</t>
        </is>
      </c>
      <c r="E425" s="3" t="inlineStr">
        <is>
          <t>BẢO TRÂM</t>
        </is>
      </c>
      <c r="F425" s="3" t="inlineStr">
        <is>
          <t>Shopee</t>
        </is>
      </c>
      <c r="G425" s="3" t="inlineStr">
        <is>
          <t>KBK-85</t>
        </is>
      </c>
      <c r="H425" s="4" t="inlineStr">
        <is>
          <t>Mũi khoan đá KBK-85</t>
        </is>
      </c>
      <c r="I425" s="3" t="inlineStr">
        <is>
          <t>Cái</t>
        </is>
      </c>
      <c r="J425" s="5" t="n">
        <v>301000</v>
      </c>
      <c r="K425" s="5" t="n">
        <v>373000</v>
      </c>
      <c r="L425" s="6" t="n">
        <v>482000</v>
      </c>
      <c r="M425" s="5" t="n"/>
      <c r="N425" s="5">
        <f>IF(AND(ISNUMBER(M425),ISNUMBER(L425)),M425-L425,"")</f>
        <v/>
      </c>
      <c r="O425" s="7">
        <f>IF(AND(ISNUMBER(M425),ISNUMBER(L425),L425&gt;0),(M425-L425)/L425,"")</f>
        <v/>
      </c>
      <c r="P425" s="3">
        <f>IF(O425="","",IF(O425&lt;-0.02,"🔴 Bán phá giá sàn",IF(O425&gt;0.05,"🔵 Bán cao hơn","🟢 Đúng giá sàn TMĐT")))</f>
        <v/>
      </c>
      <c r="Q425" s="3" t="n"/>
      <c r="R425" s="4" t="n"/>
      <c r="S425" s="4" t="n"/>
    </row>
    <row r="426">
      <c r="A426" s="3" t="n">
        <v>425</v>
      </c>
      <c r="B426" s="3" t="inlineStr">
        <is>
          <t>KH002</t>
        </is>
      </c>
      <c r="C426" s="4" t="inlineStr">
        <is>
          <t>Nguyễn Hoàng Phú</t>
        </is>
      </c>
      <c r="D426" s="3" t="inlineStr">
        <is>
          <t>HCM</t>
        </is>
      </c>
      <c r="E426" s="3" t="inlineStr">
        <is>
          <t>BẢO TRÂM</t>
        </is>
      </c>
      <c r="F426" s="3" t="inlineStr">
        <is>
          <t>Shopee</t>
        </is>
      </c>
      <c r="G426" s="3" t="inlineStr">
        <is>
          <t>KBK-90</t>
        </is>
      </c>
      <c r="H426" s="4" t="inlineStr">
        <is>
          <t>Mũi khoan đá KBK-90</t>
        </is>
      </c>
      <c r="I426" s="3" t="inlineStr">
        <is>
          <t>Cái</t>
        </is>
      </c>
      <c r="J426" s="5" t="n">
        <v>315000</v>
      </c>
      <c r="K426" s="5" t="n">
        <v>391000</v>
      </c>
      <c r="L426" s="6" t="n">
        <v>504000</v>
      </c>
      <c r="M426" s="5" t="n"/>
      <c r="N426" s="5">
        <f>IF(AND(ISNUMBER(M426),ISNUMBER(L426)),M426-L426,"")</f>
        <v/>
      </c>
      <c r="O426" s="7">
        <f>IF(AND(ISNUMBER(M426),ISNUMBER(L426),L426&gt;0),(M426-L426)/L426,"")</f>
        <v/>
      </c>
      <c r="P426" s="3">
        <f>IF(O426="","",IF(O426&lt;-0.02,"🔴 Bán phá giá sàn",IF(O426&gt;0.05,"🔵 Bán cao hơn","🟢 Đúng giá sàn TMĐT")))</f>
        <v/>
      </c>
      <c r="Q426" s="3" t="n"/>
      <c r="R426" s="4" t="n"/>
      <c r="S426" s="4" t="n"/>
    </row>
    <row r="427">
      <c r="A427" s="3" t="n">
        <v>426</v>
      </c>
      <c r="B427" s="3" t="inlineStr">
        <is>
          <t>KH002</t>
        </is>
      </c>
      <c r="C427" s="4" t="inlineStr">
        <is>
          <t>Nguyễn Hoàng Phú</t>
        </is>
      </c>
      <c r="D427" s="3" t="inlineStr">
        <is>
          <t>HCM</t>
        </is>
      </c>
      <c r="E427" s="3" t="inlineStr">
        <is>
          <t>BẢO TRÂM</t>
        </is>
      </c>
      <c r="F427" s="3" t="inlineStr">
        <is>
          <t>Shopee</t>
        </is>
      </c>
      <c r="G427" s="3" t="inlineStr">
        <is>
          <t>KBL4S-06*160</t>
        </is>
      </c>
      <c r="H427" s="4" t="inlineStr">
        <is>
          <t>Mũi khoan đa năng chuôi gài 4 cạnh KBL4S-06*160</t>
        </is>
      </c>
      <c r="I427" s="3" t="inlineStr">
        <is>
          <t>Cái</t>
        </is>
      </c>
      <c r="J427" s="5" t="n">
        <v>28000</v>
      </c>
      <c r="K427" s="5" t="n">
        <v>35000</v>
      </c>
      <c r="L427" s="6" t="n">
        <v>45000</v>
      </c>
      <c r="M427" s="5" t="n"/>
      <c r="N427" s="5">
        <f>IF(AND(ISNUMBER(M427),ISNUMBER(L427)),M427-L427,"")</f>
        <v/>
      </c>
      <c r="O427" s="7">
        <f>IF(AND(ISNUMBER(M427),ISNUMBER(L427),L427&gt;0),(M427-L427)/L427,"")</f>
        <v/>
      </c>
      <c r="P427" s="3">
        <f>IF(O427="","",IF(O427&lt;-0.02,"🔴 Bán phá giá sàn",IF(O427&gt;0.05,"🔵 Bán cao hơn","🟢 Đúng giá sàn TMĐT")))</f>
        <v/>
      </c>
      <c r="Q427" s="3" t="n"/>
      <c r="R427" s="4" t="n"/>
      <c r="S427" s="4" t="n"/>
    </row>
    <row r="428">
      <c r="A428" s="3" t="n">
        <v>427</v>
      </c>
      <c r="B428" s="3" t="inlineStr">
        <is>
          <t>KH002</t>
        </is>
      </c>
      <c r="C428" s="4" t="inlineStr">
        <is>
          <t>Nguyễn Hoàng Phú</t>
        </is>
      </c>
      <c r="D428" s="3" t="inlineStr">
        <is>
          <t>HCM</t>
        </is>
      </c>
      <c r="E428" s="3" t="inlineStr">
        <is>
          <t>BẢO TRÂM</t>
        </is>
      </c>
      <c r="F428" s="3" t="inlineStr">
        <is>
          <t>Shopee</t>
        </is>
      </c>
      <c r="G428" s="3" t="inlineStr">
        <is>
          <t>KBL4S-08*160</t>
        </is>
      </c>
      <c r="H428" s="4" t="inlineStr">
        <is>
          <t>Mũi khoan đa năng chuôi gài 4 cạnh KBL4S-08*160</t>
        </is>
      </c>
      <c r="I428" s="3" t="inlineStr">
        <is>
          <t>Cái</t>
        </is>
      </c>
      <c r="J428" s="5" t="n">
        <v>32000</v>
      </c>
      <c r="K428" s="5" t="n">
        <v>40000</v>
      </c>
      <c r="L428" s="6" t="n">
        <v>51000</v>
      </c>
      <c r="M428" s="5" t="n"/>
      <c r="N428" s="5">
        <f>IF(AND(ISNUMBER(M428),ISNUMBER(L428)),M428-L428,"")</f>
        <v/>
      </c>
      <c r="O428" s="7">
        <f>IF(AND(ISNUMBER(M428),ISNUMBER(L428),L428&gt;0),(M428-L428)/L428,"")</f>
        <v/>
      </c>
      <c r="P428" s="3">
        <f>IF(O428="","",IF(O428&lt;-0.02,"🔴 Bán phá giá sàn",IF(O428&gt;0.05,"🔵 Bán cao hơn","🟢 Đúng giá sàn TMĐT")))</f>
        <v/>
      </c>
      <c r="Q428" s="3" t="n"/>
      <c r="R428" s="4" t="n"/>
      <c r="S428" s="4" t="n"/>
    </row>
    <row r="429">
      <c r="A429" s="3" t="n">
        <v>428</v>
      </c>
      <c r="B429" s="3" t="inlineStr">
        <is>
          <t>KH002</t>
        </is>
      </c>
      <c r="C429" s="4" t="inlineStr">
        <is>
          <t>Nguyễn Hoàng Phú</t>
        </is>
      </c>
      <c r="D429" s="3" t="inlineStr">
        <is>
          <t>HCM</t>
        </is>
      </c>
      <c r="E429" s="3" t="inlineStr">
        <is>
          <t>BẢO TRÂM</t>
        </is>
      </c>
      <c r="F429" s="3" t="inlineStr">
        <is>
          <t>Shopee</t>
        </is>
      </c>
      <c r="G429" s="3" t="inlineStr">
        <is>
          <t>KBL4S-10*160</t>
        </is>
      </c>
      <c r="H429" s="4" t="inlineStr">
        <is>
          <t>Mũi khoan đa năng chuôi gài 4 cạnh KBL4S-10*160</t>
        </is>
      </c>
      <c r="I429" s="3" t="inlineStr">
        <is>
          <t>Cái</t>
        </is>
      </c>
      <c r="J429" s="5" t="n">
        <v>40000</v>
      </c>
      <c r="K429" s="5" t="n">
        <v>50000</v>
      </c>
      <c r="L429" s="6" t="n">
        <v>64000</v>
      </c>
      <c r="M429" s="5" t="n"/>
      <c r="N429" s="5">
        <f>IF(AND(ISNUMBER(M429),ISNUMBER(L429)),M429-L429,"")</f>
        <v/>
      </c>
      <c r="O429" s="7">
        <f>IF(AND(ISNUMBER(M429),ISNUMBER(L429),L429&gt;0),(M429-L429)/L429,"")</f>
        <v/>
      </c>
      <c r="P429" s="3">
        <f>IF(O429="","",IF(O429&lt;-0.02,"🔴 Bán phá giá sàn",IF(O429&gt;0.05,"🔵 Bán cao hơn","🟢 Đúng giá sàn TMĐT")))</f>
        <v/>
      </c>
      <c r="Q429" s="3" t="n"/>
      <c r="R429" s="4" t="n"/>
      <c r="S429" s="4" t="n"/>
    </row>
    <row r="430">
      <c r="A430" s="3" t="n">
        <v>429</v>
      </c>
      <c r="B430" s="3" t="inlineStr">
        <is>
          <t>KH002</t>
        </is>
      </c>
      <c r="C430" s="4" t="inlineStr">
        <is>
          <t>Nguyễn Hoàng Phú</t>
        </is>
      </c>
      <c r="D430" s="3" t="inlineStr">
        <is>
          <t>HCM</t>
        </is>
      </c>
      <c r="E430" s="3" t="inlineStr">
        <is>
          <t>BẢO TRÂM</t>
        </is>
      </c>
      <c r="F430" s="3" t="inlineStr">
        <is>
          <t>Shopee</t>
        </is>
      </c>
      <c r="G430" s="3" t="inlineStr">
        <is>
          <t>KBL4S-12*160</t>
        </is>
      </c>
      <c r="H430" s="4" t="inlineStr">
        <is>
          <t>Mũi khoan đa năng chuôi gài 4 cạnh KBL4S-12*160</t>
        </is>
      </c>
      <c r="I430" s="3" t="inlineStr">
        <is>
          <t>Cái</t>
        </is>
      </c>
      <c r="J430" s="5" t="n">
        <v>46000</v>
      </c>
      <c r="K430" s="5" t="n">
        <v>57000</v>
      </c>
      <c r="L430" s="6" t="n">
        <v>74000</v>
      </c>
      <c r="M430" s="5" t="n"/>
      <c r="N430" s="5">
        <f>IF(AND(ISNUMBER(M430),ISNUMBER(L430)),M430-L430,"")</f>
        <v/>
      </c>
      <c r="O430" s="7">
        <f>IF(AND(ISNUMBER(M430),ISNUMBER(L430),L430&gt;0),(M430-L430)/L430,"")</f>
        <v/>
      </c>
      <c r="P430" s="3">
        <f>IF(O430="","",IF(O430&lt;-0.02,"🔴 Bán phá giá sàn",IF(O430&gt;0.05,"🔵 Bán cao hơn","🟢 Đúng giá sàn TMĐT")))</f>
        <v/>
      </c>
      <c r="Q430" s="3" t="n"/>
      <c r="R430" s="4" t="n"/>
      <c r="S430" s="4" t="n"/>
    </row>
    <row r="431">
      <c r="A431" s="3" t="n">
        <v>430</v>
      </c>
      <c r="B431" s="3" t="inlineStr">
        <is>
          <t>KH002</t>
        </is>
      </c>
      <c r="C431" s="4" t="inlineStr">
        <is>
          <t>Nguyễn Hoàng Phú</t>
        </is>
      </c>
      <c r="D431" s="3" t="inlineStr">
        <is>
          <t>HCM</t>
        </is>
      </c>
      <c r="E431" s="3" t="inlineStr">
        <is>
          <t>BẢO TRÂM</t>
        </is>
      </c>
      <c r="F431" s="3" t="inlineStr">
        <is>
          <t>Shopee</t>
        </is>
      </c>
      <c r="G431" s="3" t="inlineStr">
        <is>
          <t>KBH2E-3*120</t>
        </is>
      </c>
      <c r="H431" s="4" t="inlineStr">
        <is>
          <t>Mũi khoan đa năng lục giác 2 cạnh KBH2E-3*120</t>
        </is>
      </c>
      <c r="I431" s="3" t="inlineStr">
        <is>
          <t>Cái</t>
        </is>
      </c>
      <c r="J431" s="5" t="n">
        <v>269000</v>
      </c>
      <c r="K431" s="5" t="n">
        <v>317000</v>
      </c>
      <c r="L431" s="6" t="n">
        <v>390000</v>
      </c>
      <c r="M431" s="5" t="n"/>
      <c r="N431" s="5">
        <f>IF(AND(ISNUMBER(M431),ISNUMBER(L431)),M431-L431,"")</f>
        <v/>
      </c>
      <c r="O431" s="7">
        <f>IF(AND(ISNUMBER(M431),ISNUMBER(L431),L431&gt;0),(M431-L431)/L431,"")</f>
        <v/>
      </c>
      <c r="P431" s="3">
        <f>IF(O431="","",IF(O431&lt;-0.02,"🔴 Bán phá giá sàn",IF(O431&gt;0.05,"🔵 Bán cao hơn","🟢 Đúng giá sàn TMĐT")))</f>
        <v/>
      </c>
      <c r="Q431" s="3" t="n"/>
      <c r="R431" s="4" t="n"/>
      <c r="S431" s="4" t="n"/>
    </row>
    <row r="432">
      <c r="A432" s="3" t="n">
        <v>431</v>
      </c>
      <c r="B432" s="3" t="inlineStr">
        <is>
          <t>KH002</t>
        </is>
      </c>
      <c r="C432" s="4" t="inlineStr">
        <is>
          <t>Nguyễn Hoàng Phú</t>
        </is>
      </c>
      <c r="D432" s="3" t="inlineStr">
        <is>
          <t>HCM</t>
        </is>
      </c>
      <c r="E432" s="3" t="inlineStr">
        <is>
          <t>BẢO TRÂM</t>
        </is>
      </c>
      <c r="F432" s="3" t="inlineStr">
        <is>
          <t>Shopee</t>
        </is>
      </c>
      <c r="G432" s="3" t="inlineStr">
        <is>
          <t>KBH2F-03*95</t>
        </is>
      </c>
      <c r="H432" s="4" t="inlineStr">
        <is>
          <t>Mũi khoan ĐN lục giác 2 cạnh KBH2F-03*95</t>
        </is>
      </c>
      <c r="I432" s="3" t="inlineStr">
        <is>
          <t>Cái</t>
        </is>
      </c>
      <c r="J432" s="5" t="n">
        <v>26000</v>
      </c>
      <c r="K432" s="5" t="n">
        <v>32000</v>
      </c>
      <c r="L432" s="6" t="n">
        <v>42000</v>
      </c>
      <c r="M432" s="5" t="n"/>
      <c r="N432" s="5">
        <f>IF(AND(ISNUMBER(M432),ISNUMBER(L432)),M432-L432,"")</f>
        <v/>
      </c>
      <c r="O432" s="7">
        <f>IF(AND(ISNUMBER(M432),ISNUMBER(L432),L432&gt;0),(M432-L432)/L432,"")</f>
        <v/>
      </c>
      <c r="P432" s="3">
        <f>IF(O432="","",IF(O432&lt;-0.02,"🔴 Bán phá giá sàn",IF(O432&gt;0.05,"🔵 Bán cao hơn","🟢 Đúng giá sàn TMĐT")))</f>
        <v/>
      </c>
      <c r="Q432" s="3" t="n"/>
      <c r="R432" s="4" t="n"/>
      <c r="S432" s="4" t="n"/>
    </row>
    <row r="433">
      <c r="A433" s="3" t="n">
        <v>432</v>
      </c>
      <c r="B433" s="3" t="inlineStr">
        <is>
          <t>KH002</t>
        </is>
      </c>
      <c r="C433" s="4" t="inlineStr">
        <is>
          <t>Nguyễn Hoàng Phú</t>
        </is>
      </c>
      <c r="D433" s="3" t="inlineStr">
        <is>
          <t>HCM</t>
        </is>
      </c>
      <c r="E433" s="3" t="inlineStr">
        <is>
          <t>BẢO TRÂM</t>
        </is>
      </c>
      <c r="F433" s="3" t="inlineStr">
        <is>
          <t>Shopee</t>
        </is>
      </c>
      <c r="G433" s="3" t="inlineStr">
        <is>
          <t>KBH2F-04*95</t>
        </is>
      </c>
      <c r="H433" s="4" t="inlineStr">
        <is>
          <t>Mũi khoan ĐN lục giác 2 cạnh KBH2F-04*95</t>
        </is>
      </c>
      <c r="I433" s="3" t="inlineStr">
        <is>
          <t>Cái</t>
        </is>
      </c>
      <c r="J433" s="5" t="n">
        <v>26000</v>
      </c>
      <c r="K433" s="5" t="n">
        <v>32000</v>
      </c>
      <c r="L433" s="6" t="n">
        <v>42000</v>
      </c>
      <c r="M433" s="5" t="n"/>
      <c r="N433" s="5">
        <f>IF(AND(ISNUMBER(M433),ISNUMBER(L433)),M433-L433,"")</f>
        <v/>
      </c>
      <c r="O433" s="7">
        <f>IF(AND(ISNUMBER(M433),ISNUMBER(L433),L433&gt;0),(M433-L433)/L433,"")</f>
        <v/>
      </c>
      <c r="P433" s="3">
        <f>IF(O433="","",IF(O433&lt;-0.02,"🔴 Bán phá giá sàn",IF(O433&gt;0.05,"🔵 Bán cao hơn","🟢 Đúng giá sàn TMĐT")))</f>
        <v/>
      </c>
      <c r="Q433" s="3" t="n"/>
      <c r="R433" s="4" t="n"/>
      <c r="S433" s="4" t="n"/>
    </row>
    <row r="434">
      <c r="A434" s="3" t="n">
        <v>433</v>
      </c>
      <c r="B434" s="3" t="inlineStr">
        <is>
          <t>KH002</t>
        </is>
      </c>
      <c r="C434" s="4" t="inlineStr">
        <is>
          <t>Nguyễn Hoàng Phú</t>
        </is>
      </c>
      <c r="D434" s="3" t="inlineStr">
        <is>
          <t>HCM</t>
        </is>
      </c>
      <c r="E434" s="3" t="inlineStr">
        <is>
          <t>BẢO TRÂM</t>
        </is>
      </c>
      <c r="F434" s="3" t="inlineStr">
        <is>
          <t>Shopee</t>
        </is>
      </c>
      <c r="G434" s="3" t="inlineStr">
        <is>
          <t>KBH2F-05*95</t>
        </is>
      </c>
      <c r="H434" s="4" t="inlineStr">
        <is>
          <t>Mũi khoan ĐN lục giác 2 cạnh KBH2F-05*95</t>
        </is>
      </c>
      <c r="I434" s="3" t="inlineStr">
        <is>
          <t>Cái</t>
        </is>
      </c>
      <c r="J434" s="5" t="n">
        <v>26000</v>
      </c>
      <c r="K434" s="5" t="n">
        <v>32000</v>
      </c>
      <c r="L434" s="6" t="n">
        <v>42000</v>
      </c>
      <c r="M434" s="5" t="n"/>
      <c r="N434" s="5">
        <f>IF(AND(ISNUMBER(M434),ISNUMBER(L434)),M434-L434,"")</f>
        <v/>
      </c>
      <c r="O434" s="7">
        <f>IF(AND(ISNUMBER(M434),ISNUMBER(L434),L434&gt;0),(M434-L434)/L434,"")</f>
        <v/>
      </c>
      <c r="P434" s="3">
        <f>IF(O434="","",IF(O434&lt;-0.02,"🔴 Bán phá giá sàn",IF(O434&gt;0.05,"🔵 Bán cao hơn","🟢 Đúng giá sàn TMĐT")))</f>
        <v/>
      </c>
      <c r="Q434" s="3" t="n"/>
      <c r="R434" s="4" t="n"/>
      <c r="S434" s="4" t="n"/>
    </row>
    <row r="435">
      <c r="A435" s="3" t="n">
        <v>434</v>
      </c>
      <c r="B435" s="3" t="inlineStr">
        <is>
          <t>KH002</t>
        </is>
      </c>
      <c r="C435" s="4" t="inlineStr">
        <is>
          <t>Nguyễn Hoàng Phú</t>
        </is>
      </c>
      <c r="D435" s="3" t="inlineStr">
        <is>
          <t>HCM</t>
        </is>
      </c>
      <c r="E435" s="3" t="inlineStr">
        <is>
          <t>BẢO TRÂM</t>
        </is>
      </c>
      <c r="F435" s="3" t="inlineStr">
        <is>
          <t>Shopee</t>
        </is>
      </c>
      <c r="G435" s="3" t="inlineStr">
        <is>
          <t>KBH2F-06*95</t>
        </is>
      </c>
      <c r="H435" s="4" t="inlineStr">
        <is>
          <t>Mũi khoan ĐN lục giác 2 cạnh KBH2F-06*95</t>
        </is>
      </c>
      <c r="I435" s="3" t="inlineStr">
        <is>
          <t>Cái</t>
        </is>
      </c>
      <c r="J435" s="5" t="n">
        <v>26000</v>
      </c>
      <c r="K435" s="5" t="n">
        <v>32000</v>
      </c>
      <c r="L435" s="6" t="n">
        <v>42000</v>
      </c>
      <c r="M435" s="5" t="n"/>
      <c r="N435" s="5">
        <f>IF(AND(ISNUMBER(M435),ISNUMBER(L435)),M435-L435,"")</f>
        <v/>
      </c>
      <c r="O435" s="7">
        <f>IF(AND(ISNUMBER(M435),ISNUMBER(L435),L435&gt;0),(M435-L435)/L435,"")</f>
        <v/>
      </c>
      <c r="P435" s="3">
        <f>IF(O435="","",IF(O435&lt;-0.02,"🔴 Bán phá giá sàn",IF(O435&gt;0.05,"🔵 Bán cao hơn","🟢 Đúng giá sàn TMĐT")))</f>
        <v/>
      </c>
      <c r="Q435" s="3" t="n"/>
      <c r="R435" s="4" t="n"/>
      <c r="S435" s="4" t="n"/>
    </row>
    <row r="436">
      <c r="A436" s="3" t="n">
        <v>435</v>
      </c>
      <c r="B436" s="3" t="inlineStr">
        <is>
          <t>KH002</t>
        </is>
      </c>
      <c r="C436" s="4" t="inlineStr">
        <is>
          <t>Nguyễn Hoàng Phú</t>
        </is>
      </c>
      <c r="D436" s="3" t="inlineStr">
        <is>
          <t>HCM</t>
        </is>
      </c>
      <c r="E436" s="3" t="inlineStr">
        <is>
          <t>BẢO TRÂM</t>
        </is>
      </c>
      <c r="F436" s="3" t="inlineStr">
        <is>
          <t>Shopee</t>
        </is>
      </c>
      <c r="G436" s="3" t="inlineStr">
        <is>
          <t>KBH2F-08*95</t>
        </is>
      </c>
      <c r="H436" s="4" t="inlineStr">
        <is>
          <t>Mũi khoan ĐN lục giác 2 cạnh KBH2F-08*95</t>
        </is>
      </c>
      <c r="I436" s="3" t="inlineStr">
        <is>
          <t>Cái</t>
        </is>
      </c>
      <c r="J436" s="5" t="n">
        <v>33000</v>
      </c>
      <c r="K436" s="5" t="n">
        <v>41000</v>
      </c>
      <c r="L436" s="6" t="n">
        <v>53000</v>
      </c>
      <c r="M436" s="5" t="n"/>
      <c r="N436" s="5">
        <f>IF(AND(ISNUMBER(M436),ISNUMBER(L436)),M436-L436,"")</f>
        <v/>
      </c>
      <c r="O436" s="7">
        <f>IF(AND(ISNUMBER(M436),ISNUMBER(L436),L436&gt;0),(M436-L436)/L436,"")</f>
        <v/>
      </c>
      <c r="P436" s="3">
        <f>IF(O436="","",IF(O436&lt;-0.02,"🔴 Bán phá giá sàn",IF(O436&gt;0.05,"🔵 Bán cao hơn","🟢 Đúng giá sàn TMĐT")))</f>
        <v/>
      </c>
      <c r="Q436" s="3" t="n"/>
      <c r="R436" s="4" t="n"/>
      <c r="S436" s="4" t="n"/>
    </row>
    <row r="437">
      <c r="A437" s="3" t="n">
        <v>436</v>
      </c>
      <c r="B437" s="3" t="inlineStr">
        <is>
          <t>KH002</t>
        </is>
      </c>
      <c r="C437" s="4" t="inlineStr">
        <is>
          <t>Nguyễn Hoàng Phú</t>
        </is>
      </c>
      <c r="D437" s="3" t="inlineStr">
        <is>
          <t>HCM</t>
        </is>
      </c>
      <c r="E437" s="3" t="inlineStr">
        <is>
          <t>BẢO TRÂM</t>
        </is>
      </c>
      <c r="F437" s="3" t="inlineStr">
        <is>
          <t>Shopee</t>
        </is>
      </c>
      <c r="G437" s="3" t="inlineStr">
        <is>
          <t>KBH2F-10*95</t>
        </is>
      </c>
      <c r="H437" s="4" t="inlineStr">
        <is>
          <t>Mũi khoan ĐN lục giác 2 cạnh KBH2F-10*95</t>
        </is>
      </c>
      <c r="I437" s="3" t="inlineStr">
        <is>
          <t>Cái</t>
        </is>
      </c>
      <c r="J437" s="5" t="n">
        <v>42000</v>
      </c>
      <c r="K437" s="5" t="n">
        <v>52000</v>
      </c>
      <c r="L437" s="6" t="n">
        <v>67000</v>
      </c>
      <c r="M437" s="5" t="n"/>
      <c r="N437" s="5">
        <f>IF(AND(ISNUMBER(M437),ISNUMBER(L437)),M437-L437,"")</f>
        <v/>
      </c>
      <c r="O437" s="7">
        <f>IF(AND(ISNUMBER(M437),ISNUMBER(L437),L437&gt;0),(M437-L437)/L437,"")</f>
        <v/>
      </c>
      <c r="P437" s="3">
        <f>IF(O437="","",IF(O437&lt;-0.02,"🔴 Bán phá giá sàn",IF(O437&gt;0.05,"🔵 Bán cao hơn","🟢 Đúng giá sàn TMĐT")))</f>
        <v/>
      </c>
      <c r="Q437" s="3" t="n"/>
      <c r="R437" s="4" t="n"/>
      <c r="S437" s="4" t="n"/>
    </row>
    <row r="438">
      <c r="A438" s="3" t="n">
        <v>437</v>
      </c>
      <c r="B438" s="3" t="inlineStr">
        <is>
          <t>KH002</t>
        </is>
      </c>
      <c r="C438" s="4" t="inlineStr">
        <is>
          <t>Nguyễn Hoàng Phú</t>
        </is>
      </c>
      <c r="D438" s="3" t="inlineStr">
        <is>
          <t>HCM</t>
        </is>
      </c>
      <c r="E438" s="3" t="inlineStr">
        <is>
          <t>BẢO TRÂM</t>
        </is>
      </c>
      <c r="F438" s="3" t="inlineStr">
        <is>
          <t>Shopee</t>
        </is>
      </c>
      <c r="G438" s="3" t="inlineStr">
        <is>
          <t>KBH2F-12*95</t>
        </is>
      </c>
      <c r="H438" s="4" t="inlineStr">
        <is>
          <t>Mũi khoan ĐN lục giác 2 cạnh KBH2F-12*95</t>
        </is>
      </c>
      <c r="I438" s="3" t="inlineStr">
        <is>
          <t>Cái</t>
        </is>
      </c>
      <c r="J438" s="5" t="n">
        <v>53000</v>
      </c>
      <c r="K438" s="5" t="n">
        <v>66000</v>
      </c>
      <c r="L438" s="6" t="n">
        <v>85000</v>
      </c>
      <c r="M438" s="5" t="n"/>
      <c r="N438" s="5">
        <f>IF(AND(ISNUMBER(M438),ISNUMBER(L438)),M438-L438,"")</f>
        <v/>
      </c>
      <c r="O438" s="7">
        <f>IF(AND(ISNUMBER(M438),ISNUMBER(L438),L438&gt;0),(M438-L438)/L438,"")</f>
        <v/>
      </c>
      <c r="P438" s="3">
        <f>IF(O438="","",IF(O438&lt;-0.02,"🔴 Bán phá giá sàn",IF(O438&gt;0.05,"🔵 Bán cao hơn","🟢 Đúng giá sàn TMĐT")))</f>
        <v/>
      </c>
      <c r="Q438" s="3" t="n"/>
      <c r="R438" s="4" t="n"/>
      <c r="S438" s="4" t="n"/>
    </row>
    <row r="439">
      <c r="A439" s="3" t="n">
        <v>438</v>
      </c>
      <c r="B439" s="3" t="inlineStr">
        <is>
          <t>KH002</t>
        </is>
      </c>
      <c r="C439" s="4" t="inlineStr">
        <is>
          <t>Nguyễn Hoàng Phú</t>
        </is>
      </c>
      <c r="D439" s="3" t="inlineStr">
        <is>
          <t>HCM</t>
        </is>
      </c>
      <c r="E439" s="3" t="inlineStr">
        <is>
          <t>BẢO TRÂM</t>
        </is>
      </c>
      <c r="F439" s="3" t="inlineStr">
        <is>
          <t>Shopee</t>
        </is>
      </c>
      <c r="G439" s="3" t="inlineStr">
        <is>
          <t>KBH4S-06*100</t>
        </is>
      </c>
      <c r="H439" s="4" t="inlineStr">
        <is>
          <t>Mũi khoan ĐN lục giác 4 cạnh KBH4S-06*100</t>
        </is>
      </c>
      <c r="I439" s="3" t="inlineStr">
        <is>
          <t>Cái</t>
        </is>
      </c>
      <c r="J439" s="5" t="n">
        <v>41000</v>
      </c>
      <c r="K439" s="5" t="n">
        <v>51000</v>
      </c>
      <c r="L439" s="6" t="n">
        <v>65000</v>
      </c>
      <c r="M439" s="5" t="n"/>
      <c r="N439" s="5">
        <f>IF(AND(ISNUMBER(M439),ISNUMBER(L439)),M439-L439,"")</f>
        <v/>
      </c>
      <c r="O439" s="7">
        <f>IF(AND(ISNUMBER(M439),ISNUMBER(L439),L439&gt;0),(M439-L439)/L439,"")</f>
        <v/>
      </c>
      <c r="P439" s="3">
        <f>IF(O439="","",IF(O439&lt;-0.02,"🔴 Bán phá giá sàn",IF(O439&gt;0.05,"🔵 Bán cao hơn","🟢 Đúng giá sàn TMĐT")))</f>
        <v/>
      </c>
      <c r="Q439" s="3" t="n"/>
      <c r="R439" s="4" t="n"/>
      <c r="S439" s="4" t="n"/>
    </row>
    <row r="440">
      <c r="A440" s="3" t="n">
        <v>439</v>
      </c>
      <c r="B440" s="3" t="inlineStr">
        <is>
          <t>KH002</t>
        </is>
      </c>
      <c r="C440" s="4" t="inlineStr">
        <is>
          <t>Nguyễn Hoàng Phú</t>
        </is>
      </c>
      <c r="D440" s="3" t="inlineStr">
        <is>
          <t>HCM</t>
        </is>
      </c>
      <c r="E440" s="3" t="inlineStr">
        <is>
          <t>BẢO TRÂM</t>
        </is>
      </c>
      <c r="F440" s="3" t="inlineStr">
        <is>
          <t>Shopee</t>
        </is>
      </c>
      <c r="G440" s="3" t="inlineStr">
        <is>
          <t>KBH4S-08*117</t>
        </is>
      </c>
      <c r="H440" s="4" t="inlineStr">
        <is>
          <t>Mũi khoan ĐN lục giác 4 cạnh KBH4S-08*117</t>
        </is>
      </c>
      <c r="I440" s="3" t="inlineStr">
        <is>
          <t>Cái</t>
        </is>
      </c>
      <c r="J440" s="5" t="n">
        <v>32000</v>
      </c>
      <c r="K440" s="5" t="n">
        <v>40000</v>
      </c>
      <c r="L440" s="6" t="n">
        <v>51000</v>
      </c>
      <c r="M440" s="5" t="n"/>
      <c r="N440" s="5">
        <f>IF(AND(ISNUMBER(M440),ISNUMBER(L440)),M440-L440,"")</f>
        <v/>
      </c>
      <c r="O440" s="7">
        <f>IF(AND(ISNUMBER(M440),ISNUMBER(L440),L440&gt;0),(M440-L440)/L440,"")</f>
        <v/>
      </c>
      <c r="P440" s="3">
        <f>IF(O440="","",IF(O440&lt;-0.02,"🔴 Bán phá giá sàn",IF(O440&gt;0.05,"🔵 Bán cao hơn","🟢 Đúng giá sàn TMĐT")))</f>
        <v/>
      </c>
      <c r="Q440" s="3" t="n"/>
      <c r="R440" s="4" t="n"/>
      <c r="S440" s="4" t="n"/>
    </row>
    <row r="441">
      <c r="A441" s="3" t="n">
        <v>440</v>
      </c>
      <c r="B441" s="3" t="inlineStr">
        <is>
          <t>KH002</t>
        </is>
      </c>
      <c r="C441" s="4" t="inlineStr">
        <is>
          <t>Nguyễn Hoàng Phú</t>
        </is>
      </c>
      <c r="D441" s="3" t="inlineStr">
        <is>
          <t>HCM</t>
        </is>
      </c>
      <c r="E441" s="3" t="inlineStr">
        <is>
          <t>BẢO TRÂM</t>
        </is>
      </c>
      <c r="F441" s="3" t="inlineStr">
        <is>
          <t>Shopee</t>
        </is>
      </c>
      <c r="G441" s="3" t="inlineStr">
        <is>
          <t>KBH4S-10*123</t>
        </is>
      </c>
      <c r="H441" s="4" t="inlineStr">
        <is>
          <t>Mũi khoan ĐN lục giác 4 cạnh KBH4S-10*123</t>
        </is>
      </c>
      <c r="I441" s="3" t="inlineStr">
        <is>
          <t>Cái</t>
        </is>
      </c>
      <c r="J441" s="5" t="n">
        <v>40000</v>
      </c>
      <c r="K441" s="5" t="n">
        <v>50000</v>
      </c>
      <c r="L441" s="6" t="n">
        <v>64000</v>
      </c>
      <c r="M441" s="5" t="n"/>
      <c r="N441" s="5">
        <f>IF(AND(ISNUMBER(M441),ISNUMBER(L441)),M441-L441,"")</f>
        <v/>
      </c>
      <c r="O441" s="7">
        <f>IF(AND(ISNUMBER(M441),ISNUMBER(L441),L441&gt;0),(M441-L441)/L441,"")</f>
        <v/>
      </c>
      <c r="P441" s="3">
        <f>IF(O441="","",IF(O441&lt;-0.02,"🔴 Bán phá giá sàn",IF(O441&gt;0.05,"🔵 Bán cao hơn","🟢 Đúng giá sàn TMĐT")))</f>
        <v/>
      </c>
      <c r="Q441" s="3" t="n"/>
      <c r="R441" s="4" t="n"/>
      <c r="S441" s="4" t="n"/>
    </row>
    <row r="442">
      <c r="A442" s="3" t="n">
        <v>441</v>
      </c>
      <c r="B442" s="3" t="inlineStr">
        <is>
          <t>KH002</t>
        </is>
      </c>
      <c r="C442" s="4" t="inlineStr">
        <is>
          <t>Nguyễn Hoàng Phú</t>
        </is>
      </c>
      <c r="D442" s="3" t="inlineStr">
        <is>
          <t>HCM</t>
        </is>
      </c>
      <c r="E442" s="3" t="inlineStr">
        <is>
          <t>BẢO TRÂM</t>
        </is>
      </c>
      <c r="F442" s="3" t="inlineStr">
        <is>
          <t>Shopee</t>
        </is>
      </c>
      <c r="G442" s="3" t="inlineStr">
        <is>
          <t>KBH4S-12*123</t>
        </is>
      </c>
      <c r="H442" s="4" t="inlineStr">
        <is>
          <t>Mũi khoan ĐN lục giác 4 cạnh KBH4S-12*123</t>
        </is>
      </c>
      <c r="I442" s="3" t="inlineStr">
        <is>
          <t>Cái</t>
        </is>
      </c>
      <c r="J442" s="5" t="n">
        <v>48000</v>
      </c>
      <c r="K442" s="5" t="n">
        <v>60000</v>
      </c>
      <c r="L442" s="6" t="n">
        <v>77000</v>
      </c>
      <c r="M442" s="5" t="n"/>
      <c r="N442" s="5">
        <f>IF(AND(ISNUMBER(M442),ISNUMBER(L442)),M442-L442,"")</f>
        <v/>
      </c>
      <c r="O442" s="7">
        <f>IF(AND(ISNUMBER(M442),ISNUMBER(L442),L442&gt;0),(M442-L442)/L442,"")</f>
        <v/>
      </c>
      <c r="P442" s="3">
        <f>IF(O442="","",IF(O442&lt;-0.02,"🔴 Bán phá giá sàn",IF(O442&gt;0.05,"🔵 Bán cao hơn","🟢 Đúng giá sàn TMĐT")))</f>
        <v/>
      </c>
      <c r="Q442" s="3" t="n"/>
      <c r="R442" s="4" t="n"/>
      <c r="S442" s="4" t="n"/>
    </row>
    <row r="443">
      <c r="A443" s="3" t="n">
        <v>442</v>
      </c>
      <c r="B443" s="3" t="inlineStr">
        <is>
          <t>KH002</t>
        </is>
      </c>
      <c r="C443" s="4" t="inlineStr">
        <is>
          <t>Nguyễn Hoàng Phú</t>
        </is>
      </c>
      <c r="D443" s="3" t="inlineStr">
        <is>
          <t>HCM</t>
        </is>
      </c>
      <c r="E443" s="3" t="inlineStr">
        <is>
          <t>BẢO TRÂM</t>
        </is>
      </c>
      <c r="F443" s="3" t="inlineStr">
        <is>
          <t>Shopee</t>
        </is>
      </c>
      <c r="G443" s="3" t="inlineStr">
        <is>
          <t>KBH4S-3.5*92</t>
        </is>
      </c>
      <c r="H443" s="4" t="inlineStr">
        <is>
          <t>Mũi khoan ĐN lục giác 4 cạnh KBH4S-3.5*92</t>
        </is>
      </c>
      <c r="I443" s="3" t="inlineStr">
        <is>
          <t>Cái</t>
        </is>
      </c>
      <c r="J443" s="5" t="n">
        <v>23000</v>
      </c>
      <c r="K443" s="5" t="n">
        <v>29000</v>
      </c>
      <c r="L443" s="6" t="n">
        <v>37000</v>
      </c>
      <c r="M443" s="5" t="n"/>
      <c r="N443" s="5">
        <f>IF(AND(ISNUMBER(M443),ISNUMBER(L443)),M443-L443,"")</f>
        <v/>
      </c>
      <c r="O443" s="7">
        <f>IF(AND(ISNUMBER(M443),ISNUMBER(L443),L443&gt;0),(M443-L443)/L443,"")</f>
        <v/>
      </c>
      <c r="P443" s="3">
        <f>IF(O443="","",IF(O443&lt;-0.02,"🔴 Bán phá giá sàn",IF(O443&gt;0.05,"🔵 Bán cao hơn","🟢 Đúng giá sàn TMĐT")))</f>
        <v/>
      </c>
      <c r="Q443" s="3" t="n"/>
      <c r="R443" s="4" t="n"/>
      <c r="S443" s="4" t="n"/>
    </row>
    <row r="444">
      <c r="A444" s="3" t="n">
        <v>443</v>
      </c>
      <c r="B444" s="3" t="inlineStr">
        <is>
          <t>KH002</t>
        </is>
      </c>
      <c r="C444" s="4" t="inlineStr">
        <is>
          <t>Nguyễn Hoàng Phú</t>
        </is>
      </c>
      <c r="D444" s="3" t="inlineStr">
        <is>
          <t>HCM</t>
        </is>
      </c>
      <c r="E444" s="3" t="inlineStr">
        <is>
          <t>BẢO TRÂM</t>
        </is>
      </c>
      <c r="F444" s="3" t="inlineStr">
        <is>
          <t>Shopee</t>
        </is>
      </c>
      <c r="G444" s="3" t="inlineStr">
        <is>
          <t>KBX1-06*200</t>
        </is>
      </c>
      <c r="H444" s="4" t="inlineStr">
        <is>
          <t>Mũi khoan gỗ chuôi lục KBX1-06*200</t>
        </is>
      </c>
      <c r="I444" s="3" t="inlineStr">
        <is>
          <t>Cái</t>
        </is>
      </c>
      <c r="J444" s="5" t="n">
        <v>32000</v>
      </c>
      <c r="K444" s="5" t="n">
        <v>40000</v>
      </c>
      <c r="L444" s="6" t="n">
        <v>51000</v>
      </c>
      <c r="M444" s="5" t="n"/>
      <c r="N444" s="5">
        <f>IF(AND(ISNUMBER(M444),ISNUMBER(L444)),M444-L444,"")</f>
        <v/>
      </c>
      <c r="O444" s="7">
        <f>IF(AND(ISNUMBER(M444),ISNUMBER(L444),L444&gt;0),(M444-L444)/L444,"")</f>
        <v/>
      </c>
      <c r="P444" s="3">
        <f>IF(O444="","",IF(O444&lt;-0.02,"🔴 Bán phá giá sàn",IF(O444&gt;0.05,"🔵 Bán cao hơn","🟢 Đúng giá sàn TMĐT")))</f>
        <v/>
      </c>
      <c r="Q444" s="3" t="n"/>
      <c r="R444" s="4" t="n"/>
      <c r="S444" s="4" t="n"/>
    </row>
    <row r="445">
      <c r="A445" s="3" t="n">
        <v>444</v>
      </c>
      <c r="B445" s="3" t="inlineStr">
        <is>
          <t>KH002</t>
        </is>
      </c>
      <c r="C445" s="4" t="inlineStr">
        <is>
          <t>Nguyễn Hoàng Phú</t>
        </is>
      </c>
      <c r="D445" s="3" t="inlineStr">
        <is>
          <t>HCM</t>
        </is>
      </c>
      <c r="E445" s="3" t="inlineStr">
        <is>
          <t>BẢO TRÂM</t>
        </is>
      </c>
      <c r="F445" s="3" t="inlineStr">
        <is>
          <t>Shopee</t>
        </is>
      </c>
      <c r="G445" s="3" t="inlineStr">
        <is>
          <t>KBX1-08*200</t>
        </is>
      </c>
      <c r="H445" s="4" t="inlineStr">
        <is>
          <t>Mũi khoan gỗ chuôi lục KBX1-08*200</t>
        </is>
      </c>
      <c r="I445" s="3" t="inlineStr">
        <is>
          <t>Cái</t>
        </is>
      </c>
      <c r="J445" s="5" t="n">
        <v>39000</v>
      </c>
      <c r="K445" s="5" t="n">
        <v>48000</v>
      </c>
      <c r="L445" s="6" t="n">
        <v>62000</v>
      </c>
      <c r="M445" s="5" t="n"/>
      <c r="N445" s="5">
        <f>IF(AND(ISNUMBER(M445),ISNUMBER(L445)),M445-L445,"")</f>
        <v/>
      </c>
      <c r="O445" s="7">
        <f>IF(AND(ISNUMBER(M445),ISNUMBER(L445),L445&gt;0),(M445-L445)/L445,"")</f>
        <v/>
      </c>
      <c r="P445" s="3">
        <f>IF(O445="","",IF(O445&lt;-0.02,"🔴 Bán phá giá sàn",IF(O445&gt;0.05,"🔵 Bán cao hơn","🟢 Đúng giá sàn TMĐT")))</f>
        <v/>
      </c>
      <c r="Q445" s="3" t="n"/>
      <c r="R445" s="4" t="n"/>
      <c r="S445" s="4" t="n"/>
    </row>
    <row r="446">
      <c r="A446" s="3" t="n">
        <v>445</v>
      </c>
      <c r="B446" s="3" t="inlineStr">
        <is>
          <t>KH002</t>
        </is>
      </c>
      <c r="C446" s="4" t="inlineStr">
        <is>
          <t>Nguyễn Hoàng Phú</t>
        </is>
      </c>
      <c r="D446" s="3" t="inlineStr">
        <is>
          <t>HCM</t>
        </is>
      </c>
      <c r="E446" s="3" t="inlineStr">
        <is>
          <t>BẢO TRÂM</t>
        </is>
      </c>
      <c r="F446" s="3" t="inlineStr">
        <is>
          <t>Shopee</t>
        </is>
      </c>
      <c r="G446" s="3" t="inlineStr">
        <is>
          <t>KBX1-10*200</t>
        </is>
      </c>
      <c r="H446" s="4" t="inlineStr">
        <is>
          <t>Mũi khoan gỗ chuôi lục KBX1-10*200</t>
        </is>
      </c>
      <c r="I446" s="3" t="inlineStr">
        <is>
          <t>Cái</t>
        </is>
      </c>
      <c r="J446" s="5" t="n">
        <v>43000</v>
      </c>
      <c r="K446" s="5" t="n">
        <v>53000</v>
      </c>
      <c r="L446" s="6" t="n">
        <v>69000</v>
      </c>
      <c r="M446" s="5" t="n"/>
      <c r="N446" s="5">
        <f>IF(AND(ISNUMBER(M446),ISNUMBER(L446)),M446-L446,"")</f>
        <v/>
      </c>
      <c r="O446" s="7">
        <f>IF(AND(ISNUMBER(M446),ISNUMBER(L446),L446&gt;0),(M446-L446)/L446,"")</f>
        <v/>
      </c>
      <c r="P446" s="3">
        <f>IF(O446="","",IF(O446&lt;-0.02,"🔴 Bán phá giá sàn",IF(O446&gt;0.05,"🔵 Bán cao hơn","🟢 Đúng giá sàn TMĐT")))</f>
        <v/>
      </c>
      <c r="Q446" s="3" t="n"/>
      <c r="R446" s="4" t="n"/>
      <c r="S446" s="4" t="n"/>
    </row>
    <row r="447">
      <c r="A447" s="3" t="n">
        <v>446</v>
      </c>
      <c r="B447" s="3" t="inlineStr">
        <is>
          <t>KH002</t>
        </is>
      </c>
      <c r="C447" s="4" t="inlineStr">
        <is>
          <t>Nguyễn Hoàng Phú</t>
        </is>
      </c>
      <c r="D447" s="3" t="inlineStr">
        <is>
          <t>HCM</t>
        </is>
      </c>
      <c r="E447" s="3" t="inlineStr">
        <is>
          <t>BẢO TRÂM</t>
        </is>
      </c>
      <c r="F447" s="3" t="inlineStr">
        <is>
          <t>Shopee</t>
        </is>
      </c>
      <c r="G447" s="3" t="inlineStr">
        <is>
          <t>KBX1-12*200</t>
        </is>
      </c>
      <c r="H447" s="4" t="inlineStr">
        <is>
          <t>Mũi khoan gỗ chuôi lục KBX1-12*200</t>
        </is>
      </c>
      <c r="I447" s="3" t="inlineStr">
        <is>
          <t>Cái</t>
        </is>
      </c>
      <c r="J447" s="5" t="n">
        <v>50000</v>
      </c>
      <c r="K447" s="5" t="n">
        <v>62000</v>
      </c>
      <c r="L447" s="6" t="n">
        <v>80000</v>
      </c>
      <c r="M447" s="5" t="n"/>
      <c r="N447" s="5">
        <f>IF(AND(ISNUMBER(M447),ISNUMBER(L447)),M447-L447,"")</f>
        <v/>
      </c>
      <c r="O447" s="7">
        <f>IF(AND(ISNUMBER(M447),ISNUMBER(L447),L447&gt;0),(M447-L447)/L447,"")</f>
        <v/>
      </c>
      <c r="P447" s="3">
        <f>IF(O447="","",IF(O447&lt;-0.02,"🔴 Bán phá giá sàn",IF(O447&gt;0.05,"🔵 Bán cao hơn","🟢 Đúng giá sàn TMĐT")))</f>
        <v/>
      </c>
      <c r="Q447" s="3" t="n"/>
      <c r="R447" s="4" t="n"/>
      <c r="S447" s="4" t="n"/>
    </row>
    <row r="448">
      <c r="A448" s="3" t="n">
        <v>447</v>
      </c>
      <c r="B448" s="3" t="inlineStr">
        <is>
          <t>KH002</t>
        </is>
      </c>
      <c r="C448" s="4" t="inlineStr">
        <is>
          <t>Nguyễn Hoàng Phú</t>
        </is>
      </c>
      <c r="D448" s="3" t="inlineStr">
        <is>
          <t>HCM</t>
        </is>
      </c>
      <c r="E448" s="3" t="inlineStr">
        <is>
          <t>BẢO TRÂM</t>
        </is>
      </c>
      <c r="F448" s="3" t="inlineStr">
        <is>
          <t>Shopee</t>
        </is>
      </c>
      <c r="G448" s="3" t="inlineStr">
        <is>
          <t>KBR-M10*1.5</t>
        </is>
      </c>
      <c r="H448" s="4" t="inlineStr">
        <is>
          <t>Mũi khoan TARO KBR-M10*1.5</t>
        </is>
      </c>
      <c r="I448" s="3" t="inlineStr">
        <is>
          <t>Cái</t>
        </is>
      </c>
      <c r="J448" s="5" t="n">
        <v>89000</v>
      </c>
      <c r="K448" s="5" t="n">
        <v>110000</v>
      </c>
      <c r="L448" s="6" t="n">
        <v>142000</v>
      </c>
      <c r="M448" s="5" t="n"/>
      <c r="N448" s="5">
        <f>IF(AND(ISNUMBER(M448),ISNUMBER(L448)),M448-L448,"")</f>
        <v/>
      </c>
      <c r="O448" s="7">
        <f>IF(AND(ISNUMBER(M448),ISNUMBER(L448),L448&gt;0),(M448-L448)/L448,"")</f>
        <v/>
      </c>
      <c r="P448" s="3">
        <f>IF(O448="","",IF(O448&lt;-0.02,"🔴 Bán phá giá sàn",IF(O448&gt;0.05,"🔵 Bán cao hơn","🟢 Đúng giá sàn TMĐT")))</f>
        <v/>
      </c>
      <c r="Q448" s="3" t="n"/>
      <c r="R448" s="4" t="n"/>
      <c r="S448" s="4" t="n"/>
    </row>
    <row r="449">
      <c r="A449" s="3" t="n">
        <v>448</v>
      </c>
      <c r="B449" s="3" t="inlineStr">
        <is>
          <t>KH002</t>
        </is>
      </c>
      <c r="C449" s="4" t="inlineStr">
        <is>
          <t>Nguyễn Hoàng Phú</t>
        </is>
      </c>
      <c r="D449" s="3" t="inlineStr">
        <is>
          <t>HCM</t>
        </is>
      </c>
      <c r="E449" s="3" t="inlineStr">
        <is>
          <t>BẢO TRÂM</t>
        </is>
      </c>
      <c r="F449" s="3" t="inlineStr">
        <is>
          <t>Shopee</t>
        </is>
      </c>
      <c r="G449" s="3" t="inlineStr">
        <is>
          <t>KBR-M3*0.5</t>
        </is>
      </c>
      <c r="H449" s="4" t="inlineStr">
        <is>
          <t>Mũi khoan TARO KBR-M3*0.5</t>
        </is>
      </c>
      <c r="I449" s="3" t="inlineStr">
        <is>
          <t>Cái</t>
        </is>
      </c>
      <c r="J449" s="5" t="n">
        <v>58000</v>
      </c>
      <c r="K449" s="5" t="n">
        <v>72000</v>
      </c>
      <c r="L449" s="6" t="n">
        <v>93000</v>
      </c>
      <c r="M449" s="5" t="n"/>
      <c r="N449" s="5">
        <f>IF(AND(ISNUMBER(M449),ISNUMBER(L449)),M449-L449,"")</f>
        <v/>
      </c>
      <c r="O449" s="7">
        <f>IF(AND(ISNUMBER(M449),ISNUMBER(L449),L449&gt;0),(M449-L449)/L449,"")</f>
        <v/>
      </c>
      <c r="P449" s="3">
        <f>IF(O449="","",IF(O449&lt;-0.02,"🔴 Bán phá giá sàn",IF(O449&gt;0.05,"🔵 Bán cao hơn","🟢 Đúng giá sàn TMĐT")))</f>
        <v/>
      </c>
      <c r="Q449" s="3" t="n"/>
      <c r="R449" s="4" t="n"/>
      <c r="S449" s="4" t="n"/>
    </row>
    <row r="450">
      <c r="A450" s="3" t="n">
        <v>449</v>
      </c>
      <c r="B450" s="3" t="inlineStr">
        <is>
          <t>KH002</t>
        </is>
      </c>
      <c r="C450" s="4" t="inlineStr">
        <is>
          <t>Nguyễn Hoàng Phú</t>
        </is>
      </c>
      <c r="D450" s="3" t="inlineStr">
        <is>
          <t>HCM</t>
        </is>
      </c>
      <c r="E450" s="3" t="inlineStr">
        <is>
          <t>BẢO TRÂM</t>
        </is>
      </c>
      <c r="F450" s="3" t="inlineStr">
        <is>
          <t>Shopee</t>
        </is>
      </c>
      <c r="G450" s="3" t="inlineStr">
        <is>
          <t>KBR-M4*0.7</t>
        </is>
      </c>
      <c r="H450" s="4" t="inlineStr">
        <is>
          <t>Mũi khoan TARO KBR-M4*0.7</t>
        </is>
      </c>
      <c r="I450" s="3" t="inlineStr">
        <is>
          <t>Cái</t>
        </is>
      </c>
      <c r="J450" s="5" t="n">
        <v>58000</v>
      </c>
      <c r="K450" s="5" t="n">
        <v>72000</v>
      </c>
      <c r="L450" s="6" t="n">
        <v>93000</v>
      </c>
      <c r="M450" s="5" t="n"/>
      <c r="N450" s="5">
        <f>IF(AND(ISNUMBER(M450),ISNUMBER(L450)),M450-L450,"")</f>
        <v/>
      </c>
      <c r="O450" s="7">
        <f>IF(AND(ISNUMBER(M450),ISNUMBER(L450),L450&gt;0),(M450-L450)/L450,"")</f>
        <v/>
      </c>
      <c r="P450" s="3">
        <f>IF(O450="","",IF(O450&lt;-0.02,"🔴 Bán phá giá sàn",IF(O450&gt;0.05,"🔵 Bán cao hơn","🟢 Đúng giá sàn TMĐT")))</f>
        <v/>
      </c>
      <c r="Q450" s="3" t="n"/>
      <c r="R450" s="4" t="n"/>
      <c r="S450" s="4" t="n"/>
    </row>
    <row r="451">
      <c r="A451" s="3" t="n">
        <v>450</v>
      </c>
      <c r="B451" s="3" t="inlineStr">
        <is>
          <t>KH002</t>
        </is>
      </c>
      <c r="C451" s="4" t="inlineStr">
        <is>
          <t>Nguyễn Hoàng Phú</t>
        </is>
      </c>
      <c r="D451" s="3" t="inlineStr">
        <is>
          <t>HCM</t>
        </is>
      </c>
      <c r="E451" s="3" t="inlineStr">
        <is>
          <t>BẢO TRÂM</t>
        </is>
      </c>
      <c r="F451" s="3" t="inlineStr">
        <is>
          <t>Shopee</t>
        </is>
      </c>
      <c r="G451" s="3" t="inlineStr">
        <is>
          <t>KBR-M5*0.8</t>
        </is>
      </c>
      <c r="H451" s="4" t="inlineStr">
        <is>
          <t>Mũi khoan TARO KBR-M5*0.8</t>
        </is>
      </c>
      <c r="I451" s="3" t="inlineStr">
        <is>
          <t>Cái</t>
        </is>
      </c>
      <c r="J451" s="5" t="n">
        <v>58000</v>
      </c>
      <c r="K451" s="5" t="n">
        <v>72000</v>
      </c>
      <c r="L451" s="6" t="n">
        <v>93000</v>
      </c>
      <c r="M451" s="5" t="n"/>
      <c r="N451" s="5">
        <f>IF(AND(ISNUMBER(M451),ISNUMBER(L451)),M451-L451,"")</f>
        <v/>
      </c>
      <c r="O451" s="7">
        <f>IF(AND(ISNUMBER(M451),ISNUMBER(L451),L451&gt;0),(M451-L451)/L451,"")</f>
        <v/>
      </c>
      <c r="P451" s="3">
        <f>IF(O451="","",IF(O451&lt;-0.02,"🔴 Bán phá giá sàn",IF(O451&gt;0.05,"🔵 Bán cao hơn","🟢 Đúng giá sàn TMĐT")))</f>
        <v/>
      </c>
      <c r="Q451" s="3" t="n"/>
      <c r="R451" s="4" t="n"/>
      <c r="S451" s="4" t="n"/>
    </row>
    <row r="452">
      <c r="A452" s="3" t="n">
        <v>451</v>
      </c>
      <c r="B452" s="3" t="inlineStr">
        <is>
          <t>KH002</t>
        </is>
      </c>
      <c r="C452" s="4" t="inlineStr">
        <is>
          <t>Nguyễn Hoàng Phú</t>
        </is>
      </c>
      <c r="D452" s="3" t="inlineStr">
        <is>
          <t>HCM</t>
        </is>
      </c>
      <c r="E452" s="3" t="inlineStr">
        <is>
          <t>BẢO TRÂM</t>
        </is>
      </c>
      <c r="F452" s="3" t="inlineStr">
        <is>
          <t>Shopee</t>
        </is>
      </c>
      <c r="G452" s="3" t="inlineStr">
        <is>
          <t>KBR-M6*1.0</t>
        </is>
      </c>
      <c r="H452" s="4" t="inlineStr">
        <is>
          <t>Mũi khoan TARO KBR-M6*1.0</t>
        </is>
      </c>
      <c r="I452" s="3" t="inlineStr">
        <is>
          <t>Cái</t>
        </is>
      </c>
      <c r="J452" s="5" t="n">
        <v>58000</v>
      </c>
      <c r="K452" s="5" t="n">
        <v>72000</v>
      </c>
      <c r="L452" s="6" t="n">
        <v>93000</v>
      </c>
      <c r="M452" s="5" t="n"/>
      <c r="N452" s="5">
        <f>IF(AND(ISNUMBER(M452),ISNUMBER(L452)),M452-L452,"")</f>
        <v/>
      </c>
      <c r="O452" s="7">
        <f>IF(AND(ISNUMBER(M452),ISNUMBER(L452),L452&gt;0),(M452-L452)/L452,"")</f>
        <v/>
      </c>
      <c r="P452" s="3">
        <f>IF(O452="","",IF(O452&lt;-0.02,"🔴 Bán phá giá sàn",IF(O452&gt;0.05,"🔵 Bán cao hơn","🟢 Đúng giá sàn TMĐT")))</f>
        <v/>
      </c>
      <c r="Q452" s="3" t="n"/>
      <c r="R452" s="4" t="n"/>
      <c r="S452" s="4" t="n"/>
    </row>
    <row r="453">
      <c r="A453" s="3" t="n">
        <v>452</v>
      </c>
      <c r="B453" s="3" t="inlineStr">
        <is>
          <t>KH002</t>
        </is>
      </c>
      <c r="C453" s="4" t="inlineStr">
        <is>
          <t>Nguyễn Hoàng Phú</t>
        </is>
      </c>
      <c r="D453" s="3" t="inlineStr">
        <is>
          <t>HCM</t>
        </is>
      </c>
      <c r="E453" s="3" t="inlineStr">
        <is>
          <t>BẢO TRÂM</t>
        </is>
      </c>
      <c r="F453" s="3" t="inlineStr">
        <is>
          <t>Shopee</t>
        </is>
      </c>
      <c r="G453" s="3" t="inlineStr">
        <is>
          <t>KBR-M8*1.25</t>
        </is>
      </c>
      <c r="H453" s="4" t="inlineStr">
        <is>
          <t>Mũi khoan TARO KBR-M8*1.25</t>
        </is>
      </c>
      <c r="I453" s="3" t="inlineStr">
        <is>
          <t>Cái</t>
        </is>
      </c>
      <c r="J453" s="5" t="n">
        <v>75000</v>
      </c>
      <c r="K453" s="5" t="n">
        <v>93000</v>
      </c>
      <c r="L453" s="6" t="n">
        <v>120000</v>
      </c>
      <c r="M453" s="5" t="n"/>
      <c r="N453" s="5">
        <f>IF(AND(ISNUMBER(M453),ISNUMBER(L453)),M453-L453,"")</f>
        <v/>
      </c>
      <c r="O453" s="7">
        <f>IF(AND(ISNUMBER(M453),ISNUMBER(L453),L453&gt;0),(M453-L453)/L453,"")</f>
        <v/>
      </c>
      <c r="P453" s="3">
        <f>IF(O453="","",IF(O453&lt;-0.02,"🔴 Bán phá giá sàn",IF(O453&gt;0.05,"🔵 Bán cao hơn","🟢 Đúng giá sàn TMĐT")))</f>
        <v/>
      </c>
      <c r="Q453" s="3" t="n"/>
      <c r="R453" s="4" t="n"/>
      <c r="S453" s="4" t="n"/>
    </row>
    <row r="454">
      <c r="A454" s="3" t="n">
        <v>453</v>
      </c>
      <c r="B454" s="3" t="inlineStr">
        <is>
          <t>KH002</t>
        </is>
      </c>
      <c r="C454" s="4" t="inlineStr">
        <is>
          <t>Nguyễn Hoàng Phú</t>
        </is>
      </c>
      <c r="D454" s="3" t="inlineStr">
        <is>
          <t>HCM</t>
        </is>
      </c>
      <c r="E454" s="3" t="inlineStr">
        <is>
          <t>BẢO TRÂM</t>
        </is>
      </c>
      <c r="F454" s="3" t="inlineStr">
        <is>
          <t>Shopee</t>
        </is>
      </c>
      <c r="G454" s="3" t="inlineStr"/>
      <c r="H454" s="4" t="inlineStr">
        <is>
          <t>Mũi khoan tường không tắc kê KBLJ - 03*100</t>
        </is>
      </c>
      <c r="I454" s="3" t="inlineStr">
        <is>
          <t>Cái</t>
        </is>
      </c>
      <c r="J454" s="5" t="n">
        <v>269000</v>
      </c>
      <c r="K454" s="5" t="n">
        <v>317000</v>
      </c>
      <c r="L454" s="6" t="n">
        <v>390000</v>
      </c>
      <c r="M454" s="5" t="n"/>
      <c r="N454" s="5">
        <f>IF(AND(ISNUMBER(M454),ISNUMBER(L454)),M454-L454,"")</f>
        <v/>
      </c>
      <c r="O454" s="7">
        <f>IF(AND(ISNUMBER(M454),ISNUMBER(L454),L454&gt;0),(M454-L454)/L454,"")</f>
        <v/>
      </c>
      <c r="P454" s="3">
        <f>IF(O454="","",IF(O454&lt;-0.02,"🔴 Bán phá giá sàn",IF(O454&gt;0.05,"🔵 Bán cao hơn","🟢 Đúng giá sàn TMĐT")))</f>
        <v/>
      </c>
      <c r="Q454" s="3" t="n"/>
      <c r="R454" s="4" t="n"/>
      <c r="S454" s="4" t="n"/>
    </row>
    <row r="455">
      <c r="A455" s="3" t="n">
        <v>454</v>
      </c>
      <c r="B455" s="3" t="inlineStr">
        <is>
          <t>KH002</t>
        </is>
      </c>
      <c r="C455" s="4" t="inlineStr">
        <is>
          <t>Nguyễn Hoàng Phú</t>
        </is>
      </c>
      <c r="D455" s="3" t="inlineStr">
        <is>
          <t>HCM</t>
        </is>
      </c>
      <c r="E455" s="3" t="inlineStr">
        <is>
          <t>BẢO TRÂM</t>
        </is>
      </c>
      <c r="F455" s="3" t="inlineStr">
        <is>
          <t>Shopee</t>
        </is>
      </c>
      <c r="G455" s="3" t="inlineStr"/>
      <c r="H455" s="4" t="inlineStr">
        <is>
          <t>Mũi khoan tường không tắc kê KBLJ - 03.2*100</t>
        </is>
      </c>
      <c r="I455" s="3" t="inlineStr">
        <is>
          <t>Cái</t>
        </is>
      </c>
      <c r="J455" s="5" t="n">
        <v>269000</v>
      </c>
      <c r="K455" s="5" t="n">
        <v>317000</v>
      </c>
      <c r="L455" s="6" t="n">
        <v>390000</v>
      </c>
      <c r="M455" s="5" t="n"/>
      <c r="N455" s="5">
        <f>IF(AND(ISNUMBER(M455),ISNUMBER(L455)),M455-L455,"")</f>
        <v/>
      </c>
      <c r="O455" s="7">
        <f>IF(AND(ISNUMBER(M455),ISNUMBER(L455),L455&gt;0),(M455-L455)/L455,"")</f>
        <v/>
      </c>
      <c r="P455" s="3">
        <f>IF(O455="","",IF(O455&lt;-0.02,"🔴 Bán phá giá sàn",IF(O455&gt;0.05,"🔵 Bán cao hơn","🟢 Đúng giá sàn TMĐT")))</f>
        <v/>
      </c>
      <c r="Q455" s="3" t="n"/>
      <c r="R455" s="4" t="n"/>
      <c r="S455" s="4" t="n"/>
    </row>
    <row r="456">
      <c r="A456" s="3" t="n">
        <v>455</v>
      </c>
      <c r="B456" s="3" t="inlineStr">
        <is>
          <t>KH002</t>
        </is>
      </c>
      <c r="C456" s="4" t="inlineStr">
        <is>
          <t>Nguyễn Hoàng Phú</t>
        </is>
      </c>
      <c r="D456" s="3" t="inlineStr">
        <is>
          <t>HCM</t>
        </is>
      </c>
      <c r="E456" s="3" t="inlineStr">
        <is>
          <t>BẢO TRÂM</t>
        </is>
      </c>
      <c r="F456" s="3" t="inlineStr">
        <is>
          <t>Shopee</t>
        </is>
      </c>
      <c r="G456" s="3" t="inlineStr"/>
      <c r="H456" s="4" t="inlineStr">
        <is>
          <t>Mũi khoan tường không tắc kê KBLJ - 03.5*100</t>
        </is>
      </c>
      <c r="I456" s="3" t="inlineStr">
        <is>
          <t>Cái</t>
        </is>
      </c>
      <c r="J456" s="5" t="n">
        <v>269000</v>
      </c>
      <c r="K456" s="5" t="n">
        <v>317000</v>
      </c>
      <c r="L456" s="6" t="n">
        <v>390000</v>
      </c>
      <c r="M456" s="5" t="n"/>
      <c r="N456" s="5">
        <f>IF(AND(ISNUMBER(M456),ISNUMBER(L456)),M456-L456,"")</f>
        <v/>
      </c>
      <c r="O456" s="7">
        <f>IF(AND(ISNUMBER(M456),ISNUMBER(L456),L456&gt;0),(M456-L456)/L456,"")</f>
        <v/>
      </c>
      <c r="P456" s="3">
        <f>IF(O456="","",IF(O456&lt;-0.02,"🔴 Bán phá giá sàn",IF(O456&gt;0.05,"🔵 Bán cao hơn","🟢 Đúng giá sàn TMĐT")))</f>
        <v/>
      </c>
      <c r="Q456" s="3" t="n"/>
      <c r="R456" s="4" t="n"/>
      <c r="S456" s="4" t="n"/>
    </row>
    <row r="457">
      <c r="A457" s="3" t="n">
        <v>456</v>
      </c>
      <c r="B457" s="3" t="inlineStr">
        <is>
          <t>KH002</t>
        </is>
      </c>
      <c r="C457" s="4" t="inlineStr">
        <is>
          <t>Nguyễn Hoàng Phú</t>
        </is>
      </c>
      <c r="D457" s="3" t="inlineStr">
        <is>
          <t>HCM</t>
        </is>
      </c>
      <c r="E457" s="3" t="inlineStr">
        <is>
          <t>BẢO TRÂM</t>
        </is>
      </c>
      <c r="F457" s="3" t="inlineStr">
        <is>
          <t>Shopee</t>
        </is>
      </c>
      <c r="G457" s="3" t="inlineStr"/>
      <c r="H457" s="4" t="inlineStr">
        <is>
          <t>Mũi khoan tường không tắc kê KBLJ - 04*100</t>
        </is>
      </c>
      <c r="I457" s="3" t="inlineStr">
        <is>
          <t>Cái</t>
        </is>
      </c>
      <c r="J457" s="5" t="n">
        <v>269000</v>
      </c>
      <c r="K457" s="5" t="n">
        <v>317000</v>
      </c>
      <c r="L457" s="6" t="n">
        <v>390000</v>
      </c>
      <c r="M457" s="5" t="n"/>
      <c r="N457" s="5">
        <f>IF(AND(ISNUMBER(M457),ISNUMBER(L457)),M457-L457,"")</f>
        <v/>
      </c>
      <c r="O457" s="7">
        <f>IF(AND(ISNUMBER(M457),ISNUMBER(L457),L457&gt;0),(M457-L457)/L457,"")</f>
        <v/>
      </c>
      <c r="P457" s="3">
        <f>IF(O457="","",IF(O457&lt;-0.02,"🔴 Bán phá giá sàn",IF(O457&gt;0.05,"🔵 Bán cao hơn","🟢 Đúng giá sàn TMĐT")))</f>
        <v/>
      </c>
      <c r="Q457" s="3" t="n"/>
      <c r="R457" s="4" t="n"/>
      <c r="S457" s="4" t="n"/>
    </row>
    <row r="458">
      <c r="A458" s="3" t="n">
        <v>457</v>
      </c>
      <c r="B458" s="3" t="inlineStr">
        <is>
          <t>KH002</t>
        </is>
      </c>
      <c r="C458" s="4" t="inlineStr">
        <is>
          <t>Nguyễn Hoàng Phú</t>
        </is>
      </c>
      <c r="D458" s="3" t="inlineStr">
        <is>
          <t>HCM</t>
        </is>
      </c>
      <c r="E458" s="3" t="inlineStr">
        <is>
          <t>BẢO TRÂM</t>
        </is>
      </c>
      <c r="F458" s="3" t="inlineStr">
        <is>
          <t>Shopee</t>
        </is>
      </c>
      <c r="G458" s="3" t="inlineStr"/>
      <c r="H458" s="4" t="inlineStr">
        <is>
          <t>Mũi khoan tường không tắc kê KBLJ - 04.2*100</t>
        </is>
      </c>
      <c r="I458" s="3" t="inlineStr">
        <is>
          <t>Cái</t>
        </is>
      </c>
      <c r="J458" s="5" t="n">
        <v>269000</v>
      </c>
      <c r="K458" s="5" t="n">
        <v>317000</v>
      </c>
      <c r="L458" s="6" t="n">
        <v>390000</v>
      </c>
      <c r="M458" s="5" t="n"/>
      <c r="N458" s="5">
        <f>IF(AND(ISNUMBER(M458),ISNUMBER(L458)),M458-L458,"")</f>
        <v/>
      </c>
      <c r="O458" s="7">
        <f>IF(AND(ISNUMBER(M458),ISNUMBER(L458),L458&gt;0),(M458-L458)/L458,"")</f>
        <v/>
      </c>
      <c r="P458" s="3">
        <f>IF(O458="","",IF(O458&lt;-0.02,"🔴 Bán phá giá sàn",IF(O458&gt;0.05,"🔵 Bán cao hơn","🟢 Đúng giá sàn TMĐT")))</f>
        <v/>
      </c>
      <c r="Q458" s="3" t="n"/>
      <c r="R458" s="4" t="n"/>
      <c r="S458" s="4" t="n"/>
    </row>
    <row r="459">
      <c r="A459" s="3" t="n">
        <v>458</v>
      </c>
      <c r="B459" s="3" t="inlineStr">
        <is>
          <t>KH002</t>
        </is>
      </c>
      <c r="C459" s="4" t="inlineStr">
        <is>
          <t>Nguyễn Hoàng Phú</t>
        </is>
      </c>
      <c r="D459" s="3" t="inlineStr">
        <is>
          <t>HCM</t>
        </is>
      </c>
      <c r="E459" s="3" t="inlineStr">
        <is>
          <t>BẢO TRÂM</t>
        </is>
      </c>
      <c r="F459" s="3" t="inlineStr">
        <is>
          <t>Shopee</t>
        </is>
      </c>
      <c r="G459" s="3" t="inlineStr"/>
      <c r="H459" s="4" t="inlineStr">
        <is>
          <t>Mũi khoan tường không tắc kê KBLJ - 04.5*100</t>
        </is>
      </c>
      <c r="I459" s="3" t="inlineStr">
        <is>
          <t>Cái</t>
        </is>
      </c>
      <c r="J459" s="5" t="n">
        <v>269000</v>
      </c>
      <c r="K459" s="5" t="n">
        <v>317000</v>
      </c>
      <c r="L459" s="6" t="n">
        <v>390000</v>
      </c>
      <c r="M459" s="5" t="n"/>
      <c r="N459" s="5">
        <f>IF(AND(ISNUMBER(M459),ISNUMBER(L459)),M459-L459,"")</f>
        <v/>
      </c>
      <c r="O459" s="7">
        <f>IF(AND(ISNUMBER(M459),ISNUMBER(L459),L459&gt;0),(M459-L459)/L459,"")</f>
        <v/>
      </c>
      <c r="P459" s="3">
        <f>IF(O459="","",IF(O459&lt;-0.02,"🔴 Bán phá giá sàn",IF(O459&gt;0.05,"🔵 Bán cao hơn","🟢 Đúng giá sàn TMĐT")))</f>
        <v/>
      </c>
      <c r="Q459" s="3" t="n"/>
      <c r="R459" s="4" t="n"/>
      <c r="S459" s="4" t="n"/>
    </row>
    <row r="460">
      <c r="A460" s="3" t="n">
        <v>459</v>
      </c>
      <c r="B460" s="3" t="inlineStr">
        <is>
          <t>KH002</t>
        </is>
      </c>
      <c r="C460" s="4" t="inlineStr">
        <is>
          <t>Nguyễn Hoàng Phú</t>
        </is>
      </c>
      <c r="D460" s="3" t="inlineStr">
        <is>
          <t>HCM</t>
        </is>
      </c>
      <c r="E460" s="3" t="inlineStr">
        <is>
          <t>BẢO TRÂM</t>
        </is>
      </c>
      <c r="F460" s="3" t="inlineStr">
        <is>
          <t>Shopee</t>
        </is>
      </c>
      <c r="G460" s="3" t="inlineStr"/>
      <c r="H460" s="4" t="inlineStr">
        <is>
          <t>Mũi khoan tường không tắc kê KBLJ - 05*100</t>
        </is>
      </c>
      <c r="I460" s="3" t="inlineStr">
        <is>
          <t>Cái</t>
        </is>
      </c>
      <c r="J460" s="5" t="n">
        <v>269000</v>
      </c>
      <c r="K460" s="5" t="n">
        <v>317000</v>
      </c>
      <c r="L460" s="6" t="n">
        <v>390000</v>
      </c>
      <c r="M460" s="5" t="n"/>
      <c r="N460" s="5">
        <f>IF(AND(ISNUMBER(M460),ISNUMBER(L460)),M460-L460,"")</f>
        <v/>
      </c>
      <c r="O460" s="7">
        <f>IF(AND(ISNUMBER(M460),ISNUMBER(L460),L460&gt;0),(M460-L460)/L460,"")</f>
        <v/>
      </c>
      <c r="P460" s="3">
        <f>IF(O460="","",IF(O460&lt;-0.02,"🔴 Bán phá giá sàn",IF(O460&gt;0.05,"🔵 Bán cao hơn","🟢 Đúng giá sàn TMĐT")))</f>
        <v/>
      </c>
      <c r="Q460" s="3" t="n"/>
      <c r="R460" s="4" t="n"/>
      <c r="S460" s="4" t="n"/>
    </row>
    <row r="461">
      <c r="A461" s="3" t="n">
        <v>460</v>
      </c>
      <c r="B461" s="3" t="inlineStr">
        <is>
          <t>KH002</t>
        </is>
      </c>
      <c r="C461" s="4" t="inlineStr">
        <is>
          <t>Nguyễn Hoàng Phú</t>
        </is>
      </c>
      <c r="D461" s="3" t="inlineStr">
        <is>
          <t>HCM</t>
        </is>
      </c>
      <c r="E461" s="3" t="inlineStr">
        <is>
          <t>BẢO TRÂM</t>
        </is>
      </c>
      <c r="F461" s="3" t="inlineStr">
        <is>
          <t>Shopee</t>
        </is>
      </c>
      <c r="G461" s="3" t="inlineStr"/>
      <c r="H461" s="4" t="inlineStr">
        <is>
          <t>Mũi khoan tường không tắc kê KBLJ - 05.5*100</t>
        </is>
      </c>
      <c r="I461" s="3" t="inlineStr">
        <is>
          <t>Cái</t>
        </is>
      </c>
      <c r="J461" s="5" t="n">
        <v>269000</v>
      </c>
      <c r="K461" s="5" t="n">
        <v>317000</v>
      </c>
      <c r="L461" s="6" t="n">
        <v>390000</v>
      </c>
      <c r="M461" s="5" t="n"/>
      <c r="N461" s="5">
        <f>IF(AND(ISNUMBER(M461),ISNUMBER(L461)),M461-L461,"")</f>
        <v/>
      </c>
      <c r="O461" s="7">
        <f>IF(AND(ISNUMBER(M461),ISNUMBER(L461),L461&gt;0),(M461-L461)/L461,"")</f>
        <v/>
      </c>
      <c r="P461" s="3">
        <f>IF(O461="","",IF(O461&lt;-0.02,"🔴 Bán phá giá sàn",IF(O461&gt;0.05,"🔵 Bán cao hơn","🟢 Đúng giá sàn TMĐT")))</f>
        <v/>
      </c>
      <c r="Q461" s="3" t="n"/>
      <c r="R461" s="4" t="n"/>
      <c r="S461" s="4" t="n"/>
    </row>
    <row r="462">
      <c r="A462" s="3" t="n">
        <v>461</v>
      </c>
      <c r="B462" s="3" t="inlineStr">
        <is>
          <t>KH002</t>
        </is>
      </c>
      <c r="C462" s="4" t="inlineStr">
        <is>
          <t>Nguyễn Hoàng Phú</t>
        </is>
      </c>
      <c r="D462" s="3" t="inlineStr">
        <is>
          <t>HCM</t>
        </is>
      </c>
      <c r="E462" s="3" t="inlineStr">
        <is>
          <t>BẢO TRÂM</t>
        </is>
      </c>
      <c r="F462" s="3" t="inlineStr">
        <is>
          <t>Shopee</t>
        </is>
      </c>
      <c r="G462" s="3" t="inlineStr"/>
      <c r="H462" s="4" t="inlineStr">
        <is>
          <t>Mũi khoan tường không tắc kê KBLJ - 06*125</t>
        </is>
      </c>
      <c r="I462" s="3" t="inlineStr">
        <is>
          <t>Cái</t>
        </is>
      </c>
      <c r="J462" s="5" t="n">
        <v>269000</v>
      </c>
      <c r="K462" s="5" t="n">
        <v>317000</v>
      </c>
      <c r="L462" s="6" t="n">
        <v>390000</v>
      </c>
      <c r="M462" s="5" t="n"/>
      <c r="N462" s="5">
        <f>IF(AND(ISNUMBER(M462),ISNUMBER(L462)),M462-L462,"")</f>
        <v/>
      </c>
      <c r="O462" s="7">
        <f>IF(AND(ISNUMBER(M462),ISNUMBER(L462),L462&gt;0),(M462-L462)/L462,"")</f>
        <v/>
      </c>
      <c r="P462" s="3">
        <f>IF(O462="","",IF(O462&lt;-0.02,"🔴 Bán phá giá sàn",IF(O462&gt;0.05,"🔵 Bán cao hơn","🟢 Đúng giá sàn TMĐT")))</f>
        <v/>
      </c>
      <c r="Q462" s="3" t="n"/>
      <c r="R462" s="4" t="n"/>
      <c r="S462" s="4" t="n"/>
    </row>
    <row r="463">
      <c r="A463" s="3" t="n">
        <v>462</v>
      </c>
      <c r="B463" s="3" t="inlineStr">
        <is>
          <t>KH002</t>
        </is>
      </c>
      <c r="C463" s="4" t="inlineStr">
        <is>
          <t>Nguyễn Hoàng Phú</t>
        </is>
      </c>
      <c r="D463" s="3" t="inlineStr">
        <is>
          <t>HCM</t>
        </is>
      </c>
      <c r="E463" s="3" t="inlineStr">
        <is>
          <t>BẢO TRÂM</t>
        </is>
      </c>
      <c r="F463" s="3" t="inlineStr">
        <is>
          <t>Shopee</t>
        </is>
      </c>
      <c r="G463" s="3" t="inlineStr"/>
      <c r="H463" s="4" t="inlineStr">
        <is>
          <t>Mũi khoan tường không tắc kê KBLJ - 06.5*125</t>
        </is>
      </c>
      <c r="I463" s="3" t="inlineStr">
        <is>
          <t>Cái</t>
        </is>
      </c>
      <c r="J463" s="5" t="n">
        <v>269000</v>
      </c>
      <c r="K463" s="5" t="n">
        <v>317000</v>
      </c>
      <c r="L463" s="6" t="n">
        <v>390000</v>
      </c>
      <c r="M463" s="5" t="n"/>
      <c r="N463" s="5">
        <f>IF(AND(ISNUMBER(M463),ISNUMBER(L463)),M463-L463,"")</f>
        <v/>
      </c>
      <c r="O463" s="7">
        <f>IF(AND(ISNUMBER(M463),ISNUMBER(L463),L463&gt;0),(M463-L463)/L463,"")</f>
        <v/>
      </c>
      <c r="P463" s="3">
        <f>IF(O463="","",IF(O463&lt;-0.02,"🔴 Bán phá giá sàn",IF(O463&gt;0.05,"🔵 Bán cao hơn","🟢 Đúng giá sàn TMĐT")))</f>
        <v/>
      </c>
      <c r="Q463" s="3" t="n"/>
      <c r="R463" s="4" t="n"/>
      <c r="S463" s="4" t="n"/>
    </row>
    <row r="464">
      <c r="A464" s="3" t="n">
        <v>463</v>
      </c>
      <c r="B464" s="3" t="inlineStr">
        <is>
          <t>KH002</t>
        </is>
      </c>
      <c r="C464" s="4" t="inlineStr">
        <is>
          <t>Nguyễn Hoàng Phú</t>
        </is>
      </c>
      <c r="D464" s="3" t="inlineStr">
        <is>
          <t>HCM</t>
        </is>
      </c>
      <c r="E464" s="3" t="inlineStr">
        <is>
          <t>BẢO TRÂM</t>
        </is>
      </c>
      <c r="F464" s="3" t="inlineStr">
        <is>
          <t>Shopee</t>
        </is>
      </c>
      <c r="G464" s="3" t="inlineStr"/>
      <c r="H464" s="4" t="inlineStr">
        <is>
          <t>Mũi khoan tường không tắc kê KBLJ - 07*125</t>
        </is>
      </c>
      <c r="I464" s="3" t="inlineStr">
        <is>
          <t>Cái</t>
        </is>
      </c>
      <c r="J464" s="5" t="n">
        <v>269000</v>
      </c>
      <c r="K464" s="5" t="n">
        <v>317000</v>
      </c>
      <c r="L464" s="6" t="n">
        <v>390000</v>
      </c>
      <c r="M464" s="5" t="n"/>
      <c r="N464" s="5">
        <f>IF(AND(ISNUMBER(M464),ISNUMBER(L464)),M464-L464,"")</f>
        <v/>
      </c>
      <c r="O464" s="7">
        <f>IF(AND(ISNUMBER(M464),ISNUMBER(L464),L464&gt;0),(M464-L464)/L464,"")</f>
        <v/>
      </c>
      <c r="P464" s="3">
        <f>IF(O464="","",IF(O464&lt;-0.02,"🔴 Bán phá giá sàn",IF(O464&gt;0.05,"🔵 Bán cao hơn","🟢 Đúng giá sàn TMĐT")))</f>
        <v/>
      </c>
      <c r="Q464" s="3" t="n"/>
      <c r="R464" s="4" t="n"/>
      <c r="S464" s="4" t="n"/>
    </row>
    <row r="465">
      <c r="A465" s="3" t="n">
        <v>464</v>
      </c>
      <c r="B465" s="3" t="inlineStr">
        <is>
          <t>KH002</t>
        </is>
      </c>
      <c r="C465" s="4" t="inlineStr">
        <is>
          <t>Nguyễn Hoàng Phú</t>
        </is>
      </c>
      <c r="D465" s="3" t="inlineStr">
        <is>
          <t>HCM</t>
        </is>
      </c>
      <c r="E465" s="3" t="inlineStr">
        <is>
          <t>BẢO TRÂM</t>
        </is>
      </c>
      <c r="F465" s="3" t="inlineStr">
        <is>
          <t>Shopee</t>
        </is>
      </c>
      <c r="G465" s="3" t="inlineStr"/>
      <c r="H465" s="4" t="inlineStr">
        <is>
          <t>Mũi khoan tường không tắc kê KBLJ - 08*125</t>
        </is>
      </c>
      <c r="I465" s="3" t="inlineStr">
        <is>
          <t>Cái</t>
        </is>
      </c>
      <c r="J465" s="5" t="n">
        <v>269000</v>
      </c>
      <c r="K465" s="5" t="n">
        <v>317000</v>
      </c>
      <c r="L465" s="6" t="n">
        <v>390000</v>
      </c>
      <c r="M465" s="5" t="n"/>
      <c r="N465" s="5">
        <f>IF(AND(ISNUMBER(M465),ISNUMBER(L465)),M465-L465,"")</f>
        <v/>
      </c>
      <c r="O465" s="7">
        <f>IF(AND(ISNUMBER(M465),ISNUMBER(L465),L465&gt;0),(M465-L465)/L465,"")</f>
        <v/>
      </c>
      <c r="P465" s="3">
        <f>IF(O465="","",IF(O465&lt;-0.02,"🔴 Bán phá giá sàn",IF(O465&gt;0.05,"🔵 Bán cao hơn","🟢 Đúng giá sàn TMĐT")))</f>
        <v/>
      </c>
      <c r="Q465" s="3" t="n"/>
      <c r="R465" s="4" t="n"/>
      <c r="S465" s="4" t="n"/>
    </row>
    <row r="466">
      <c r="A466" s="3" t="n">
        <v>465</v>
      </c>
      <c r="B466" s="3" t="inlineStr">
        <is>
          <t>KH002</t>
        </is>
      </c>
      <c r="C466" s="4" t="inlineStr">
        <is>
          <t>Nguyễn Hoàng Phú</t>
        </is>
      </c>
      <c r="D466" s="3" t="inlineStr">
        <is>
          <t>HCM</t>
        </is>
      </c>
      <c r="E466" s="3" t="inlineStr">
        <is>
          <t>BẢO TRÂM</t>
        </is>
      </c>
      <c r="F466" s="3" t="inlineStr">
        <is>
          <t>Shopee</t>
        </is>
      </c>
      <c r="G466" s="3" t="inlineStr"/>
      <c r="H466" s="4" t="inlineStr">
        <is>
          <t>Mũi khoan tường không tắc kê KBLJ - 10*148</t>
        </is>
      </c>
      <c r="I466" s="3" t="inlineStr">
        <is>
          <t>Cái</t>
        </is>
      </c>
      <c r="J466" s="5" t="n">
        <v>269000</v>
      </c>
      <c r="K466" s="5" t="n">
        <v>317000</v>
      </c>
      <c r="L466" s="6" t="n">
        <v>390000</v>
      </c>
      <c r="M466" s="5" t="n"/>
      <c r="N466" s="5">
        <f>IF(AND(ISNUMBER(M466),ISNUMBER(L466)),M466-L466,"")</f>
        <v/>
      </c>
      <c r="O466" s="7">
        <f>IF(AND(ISNUMBER(M466),ISNUMBER(L466),L466&gt;0),(M466-L466)/L466,"")</f>
        <v/>
      </c>
      <c r="P466" s="3">
        <f>IF(O466="","",IF(O466&lt;-0.02,"🔴 Bán phá giá sàn",IF(O466&gt;0.05,"🔵 Bán cao hơn","🟢 Đúng giá sàn TMĐT")))</f>
        <v/>
      </c>
      <c r="Q466" s="3" t="n"/>
      <c r="R466" s="4" t="n"/>
      <c r="S466" s="4" t="n"/>
    </row>
    <row r="467">
      <c r="A467" s="3" t="n">
        <v>466</v>
      </c>
      <c r="B467" s="3" t="inlineStr">
        <is>
          <t>KH002</t>
        </is>
      </c>
      <c r="C467" s="4" t="inlineStr">
        <is>
          <t>Nguyễn Hoàng Phú</t>
        </is>
      </c>
      <c r="D467" s="3" t="inlineStr">
        <is>
          <t>HCM</t>
        </is>
      </c>
      <c r="E467" s="3" t="inlineStr">
        <is>
          <t>BẢO TRÂM</t>
        </is>
      </c>
      <c r="F467" s="3" t="inlineStr">
        <is>
          <t>Shopee</t>
        </is>
      </c>
      <c r="G467" s="3" t="inlineStr">
        <is>
          <t>KBT-04*12</t>
        </is>
      </c>
      <c r="H467" s="4" t="inlineStr">
        <is>
          <t>Mũi khoan tháp M2 KBT-04*12</t>
        </is>
      </c>
      <c r="I467" s="3" t="inlineStr">
        <is>
          <t>Cái</t>
        </is>
      </c>
      <c r="J467" s="5" t="n">
        <v>88000</v>
      </c>
      <c r="K467" s="5" t="n">
        <v>109000</v>
      </c>
      <c r="L467" s="6" t="n">
        <v>141000</v>
      </c>
      <c r="M467" s="5" t="n"/>
      <c r="N467" s="5">
        <f>IF(AND(ISNUMBER(M467),ISNUMBER(L467)),M467-L467,"")</f>
        <v/>
      </c>
      <c r="O467" s="7">
        <f>IF(AND(ISNUMBER(M467),ISNUMBER(L467),L467&gt;0),(M467-L467)/L467,"")</f>
        <v/>
      </c>
      <c r="P467" s="3">
        <f>IF(O467="","",IF(O467&lt;-0.02,"🔴 Bán phá giá sàn",IF(O467&gt;0.05,"🔵 Bán cao hơn","🟢 Đúng giá sàn TMĐT")))</f>
        <v/>
      </c>
      <c r="Q467" s="3" t="n"/>
      <c r="R467" s="4" t="n"/>
      <c r="S467" s="4" t="n"/>
    </row>
    <row r="468">
      <c r="A468" s="3" t="n">
        <v>467</v>
      </c>
      <c r="B468" s="3" t="inlineStr">
        <is>
          <t>KH002</t>
        </is>
      </c>
      <c r="C468" s="4" t="inlineStr">
        <is>
          <t>Nguyễn Hoàng Phú</t>
        </is>
      </c>
      <c r="D468" s="3" t="inlineStr">
        <is>
          <t>HCM</t>
        </is>
      </c>
      <c r="E468" s="3" t="inlineStr">
        <is>
          <t>BẢO TRÂM</t>
        </is>
      </c>
      <c r="F468" s="3" t="inlineStr">
        <is>
          <t>Shopee</t>
        </is>
      </c>
      <c r="G468" s="3" t="inlineStr">
        <is>
          <t>KBT-04*20</t>
        </is>
      </c>
      <c r="H468" s="4" t="inlineStr">
        <is>
          <t>Mũi khoan tháp M2 KBT-04*20</t>
        </is>
      </c>
      <c r="I468" s="3" t="inlineStr">
        <is>
          <t>Cái</t>
        </is>
      </c>
      <c r="J468" s="5" t="n">
        <v>170000</v>
      </c>
      <c r="K468" s="5" t="n">
        <v>211000</v>
      </c>
      <c r="L468" s="6" t="n">
        <v>272000</v>
      </c>
      <c r="M468" s="5" t="n"/>
      <c r="N468" s="5">
        <f>IF(AND(ISNUMBER(M468),ISNUMBER(L468)),M468-L468,"")</f>
        <v/>
      </c>
      <c r="O468" s="7">
        <f>IF(AND(ISNUMBER(M468),ISNUMBER(L468),L468&gt;0),(M468-L468)/L468,"")</f>
        <v/>
      </c>
      <c r="P468" s="3">
        <f>IF(O468="","",IF(O468&lt;-0.02,"🔴 Bán phá giá sàn",IF(O468&gt;0.05,"🔵 Bán cao hơn","🟢 Đúng giá sàn TMĐT")))</f>
        <v/>
      </c>
      <c r="Q468" s="3" t="n"/>
      <c r="R468" s="4" t="n"/>
      <c r="S468" s="4" t="n"/>
    </row>
    <row r="469">
      <c r="A469" s="3" t="n">
        <v>468</v>
      </c>
      <c r="B469" s="3" t="inlineStr">
        <is>
          <t>KH002</t>
        </is>
      </c>
      <c r="C469" s="4" t="inlineStr">
        <is>
          <t>Nguyễn Hoàng Phú</t>
        </is>
      </c>
      <c r="D469" s="3" t="inlineStr">
        <is>
          <t>HCM</t>
        </is>
      </c>
      <c r="E469" s="3" t="inlineStr">
        <is>
          <t>BẢO TRÂM</t>
        </is>
      </c>
      <c r="F469" s="3" t="inlineStr">
        <is>
          <t>Shopee</t>
        </is>
      </c>
      <c r="G469" s="3" t="inlineStr">
        <is>
          <t>KBT-04*32</t>
        </is>
      </c>
      <c r="H469" s="4" t="inlineStr">
        <is>
          <t>Mũi khoan tháp M2 KBT-04*32</t>
        </is>
      </c>
      <c r="I469" s="3" t="inlineStr">
        <is>
          <t>Cái</t>
        </is>
      </c>
      <c r="J469" s="5" t="n">
        <v>319000</v>
      </c>
      <c r="K469" s="5" t="n">
        <v>395000</v>
      </c>
      <c r="L469" s="6" t="n">
        <v>510000</v>
      </c>
      <c r="M469" s="5" t="n"/>
      <c r="N469" s="5">
        <f>IF(AND(ISNUMBER(M469),ISNUMBER(L469)),M469-L469,"")</f>
        <v/>
      </c>
      <c r="O469" s="7">
        <f>IF(AND(ISNUMBER(M469),ISNUMBER(L469),L469&gt;0),(M469-L469)/L469,"")</f>
        <v/>
      </c>
      <c r="P469" s="3">
        <f>IF(O469="","",IF(O469&lt;-0.02,"🔴 Bán phá giá sàn",IF(O469&gt;0.05,"🔵 Bán cao hơn","🟢 Đúng giá sàn TMĐT")))</f>
        <v/>
      </c>
      <c r="Q469" s="3" t="n"/>
      <c r="R469" s="4" t="n"/>
      <c r="S469" s="4" t="n"/>
    </row>
    <row r="470">
      <c r="A470" s="3" t="n">
        <v>469</v>
      </c>
      <c r="B470" s="3" t="inlineStr">
        <is>
          <t>KH002</t>
        </is>
      </c>
      <c r="C470" s="4" t="inlineStr">
        <is>
          <t>Nguyễn Hoàng Phú</t>
        </is>
      </c>
      <c r="D470" s="3" t="inlineStr">
        <is>
          <t>HCM</t>
        </is>
      </c>
      <c r="E470" s="3" t="inlineStr">
        <is>
          <t>BẢO TRÂM</t>
        </is>
      </c>
      <c r="F470" s="3" t="inlineStr">
        <is>
          <t>Shopee</t>
        </is>
      </c>
      <c r="G470" s="3" t="inlineStr">
        <is>
          <t>KBY1-020</t>
        </is>
      </c>
      <c r="H470" s="4" t="inlineStr">
        <is>
          <t>Mũi khoan thép KBY1-020</t>
        </is>
      </c>
      <c r="I470" s="3" t="inlineStr">
        <is>
          <t>Cái</t>
        </is>
      </c>
      <c r="J470" s="5" t="n">
        <v>6000</v>
      </c>
      <c r="K470" s="5" t="n">
        <v>8000</v>
      </c>
      <c r="L470" s="6" t="n">
        <v>10000</v>
      </c>
      <c r="M470" s="5" t="n"/>
      <c r="N470" s="5">
        <f>IF(AND(ISNUMBER(M470),ISNUMBER(L470)),M470-L470,"")</f>
        <v/>
      </c>
      <c r="O470" s="7">
        <f>IF(AND(ISNUMBER(M470),ISNUMBER(L470),L470&gt;0),(M470-L470)/L470,"")</f>
        <v/>
      </c>
      <c r="P470" s="3">
        <f>IF(O470="","",IF(O470&lt;-0.02,"🔴 Bán phá giá sàn",IF(O470&gt;0.05,"🔵 Bán cao hơn","🟢 Đúng giá sàn TMĐT")))</f>
        <v/>
      </c>
      <c r="Q470" s="3" t="n"/>
      <c r="R470" s="4" t="n"/>
      <c r="S470" s="4" t="n"/>
    </row>
    <row r="471">
      <c r="A471" s="3" t="n">
        <v>470</v>
      </c>
      <c r="B471" s="3" t="inlineStr">
        <is>
          <t>KH002</t>
        </is>
      </c>
      <c r="C471" s="4" t="inlineStr">
        <is>
          <t>Nguyễn Hoàng Phú</t>
        </is>
      </c>
      <c r="D471" s="3" t="inlineStr">
        <is>
          <t>HCM</t>
        </is>
      </c>
      <c r="E471" s="3" t="inlineStr">
        <is>
          <t>BẢO TRÂM</t>
        </is>
      </c>
      <c r="F471" s="3" t="inlineStr">
        <is>
          <t>Shopee</t>
        </is>
      </c>
      <c r="G471" s="3" t="inlineStr">
        <is>
          <t>KBY1-030</t>
        </is>
      </c>
      <c r="H471" s="4" t="inlineStr">
        <is>
          <t>Mũi khoan thép KBY1-030</t>
        </is>
      </c>
      <c r="I471" s="3" t="inlineStr">
        <is>
          <t>Cái</t>
        </is>
      </c>
      <c r="J471" s="5" t="n">
        <v>8000</v>
      </c>
      <c r="K471" s="5" t="n">
        <v>10000</v>
      </c>
      <c r="L471" s="6" t="n">
        <v>13000</v>
      </c>
      <c r="M471" s="5" t="n"/>
      <c r="N471" s="5">
        <f>IF(AND(ISNUMBER(M471),ISNUMBER(L471)),M471-L471,"")</f>
        <v/>
      </c>
      <c r="O471" s="7">
        <f>IF(AND(ISNUMBER(M471),ISNUMBER(L471),L471&gt;0),(M471-L471)/L471,"")</f>
        <v/>
      </c>
      <c r="P471" s="3">
        <f>IF(O471="","",IF(O471&lt;-0.02,"🔴 Bán phá giá sàn",IF(O471&gt;0.05,"🔵 Bán cao hơn","🟢 Đúng giá sàn TMĐT")))</f>
        <v/>
      </c>
      <c r="Q471" s="3" t="n"/>
      <c r="R471" s="4" t="n"/>
      <c r="S471" s="4" t="n"/>
    </row>
    <row r="472">
      <c r="A472" s="3" t="n">
        <v>471</v>
      </c>
      <c r="B472" s="3" t="inlineStr">
        <is>
          <t>KH002</t>
        </is>
      </c>
      <c r="C472" s="4" t="inlineStr">
        <is>
          <t>Nguyễn Hoàng Phú</t>
        </is>
      </c>
      <c r="D472" s="3" t="inlineStr">
        <is>
          <t>HCM</t>
        </is>
      </c>
      <c r="E472" s="3" t="inlineStr">
        <is>
          <t>BẢO TRÂM</t>
        </is>
      </c>
      <c r="F472" s="3" t="inlineStr">
        <is>
          <t>Shopee</t>
        </is>
      </c>
      <c r="G472" s="3" t="inlineStr">
        <is>
          <t>KBY1-050</t>
        </is>
      </c>
      <c r="H472" s="4" t="inlineStr">
        <is>
          <t>Mũi khoan thép KBY1-050</t>
        </is>
      </c>
      <c r="I472" s="3" t="inlineStr">
        <is>
          <t>Cái</t>
        </is>
      </c>
      <c r="J472" s="5" t="n">
        <v>17000</v>
      </c>
      <c r="K472" s="5" t="n">
        <v>21000</v>
      </c>
      <c r="L472" s="6" t="n">
        <v>27000</v>
      </c>
      <c r="M472" s="5" t="n"/>
      <c r="N472" s="5">
        <f>IF(AND(ISNUMBER(M472),ISNUMBER(L472)),M472-L472,"")</f>
        <v/>
      </c>
      <c r="O472" s="7">
        <f>IF(AND(ISNUMBER(M472),ISNUMBER(L472),L472&gt;0),(M472-L472)/L472,"")</f>
        <v/>
      </c>
      <c r="P472" s="3">
        <f>IF(O472="","",IF(O472&lt;-0.02,"🔴 Bán phá giá sàn",IF(O472&gt;0.05,"🔵 Bán cao hơn","🟢 Đúng giá sàn TMĐT")))</f>
        <v/>
      </c>
      <c r="Q472" s="3" t="n"/>
      <c r="R472" s="4" t="n"/>
      <c r="S472" s="4" t="n"/>
    </row>
    <row r="473">
      <c r="A473" s="3" t="n">
        <v>472</v>
      </c>
      <c r="B473" s="3" t="inlineStr">
        <is>
          <t>KH002</t>
        </is>
      </c>
      <c r="C473" s="4" t="inlineStr">
        <is>
          <t>Nguyễn Hoàng Phú</t>
        </is>
      </c>
      <c r="D473" s="3" t="inlineStr">
        <is>
          <t>HCM</t>
        </is>
      </c>
      <c r="E473" s="3" t="inlineStr">
        <is>
          <t>BẢO TRÂM</t>
        </is>
      </c>
      <c r="F473" s="3" t="inlineStr">
        <is>
          <t>Shopee</t>
        </is>
      </c>
      <c r="G473" s="3" t="inlineStr">
        <is>
          <t>KBY1-060</t>
        </is>
      </c>
      <c r="H473" s="4" t="inlineStr">
        <is>
          <t>Mũi khoan thép KBY1-060</t>
        </is>
      </c>
      <c r="I473" s="3" t="inlineStr">
        <is>
          <t>Cái</t>
        </is>
      </c>
      <c r="J473" s="5" t="n">
        <v>25000</v>
      </c>
      <c r="K473" s="5" t="n">
        <v>31000</v>
      </c>
      <c r="L473" s="6" t="n">
        <v>40000</v>
      </c>
      <c r="M473" s="5" t="n"/>
      <c r="N473" s="5">
        <f>IF(AND(ISNUMBER(M473),ISNUMBER(L473)),M473-L473,"")</f>
        <v/>
      </c>
      <c r="O473" s="7">
        <f>IF(AND(ISNUMBER(M473),ISNUMBER(L473),L473&gt;0),(M473-L473)/L473,"")</f>
        <v/>
      </c>
      <c r="P473" s="3">
        <f>IF(O473="","",IF(O473&lt;-0.02,"🔴 Bán phá giá sàn",IF(O473&gt;0.05,"🔵 Bán cao hơn","🟢 Đúng giá sàn TMĐT")))</f>
        <v/>
      </c>
      <c r="Q473" s="3" t="n"/>
      <c r="R473" s="4" t="n"/>
      <c r="S473" s="4" t="n"/>
    </row>
    <row r="474">
      <c r="A474" s="3" t="n">
        <v>473</v>
      </c>
      <c r="B474" s="3" t="inlineStr">
        <is>
          <t>KH002</t>
        </is>
      </c>
      <c r="C474" s="4" t="inlineStr">
        <is>
          <t>Nguyễn Hoàng Phú</t>
        </is>
      </c>
      <c r="D474" s="3" t="inlineStr">
        <is>
          <t>HCM</t>
        </is>
      </c>
      <c r="E474" s="3" t="inlineStr">
        <is>
          <t>BẢO TRÂM</t>
        </is>
      </c>
      <c r="F474" s="3" t="inlineStr">
        <is>
          <t>Shopee</t>
        </is>
      </c>
      <c r="G474" s="3" t="inlineStr">
        <is>
          <t>KBY1-070</t>
        </is>
      </c>
      <c r="H474" s="4" t="inlineStr">
        <is>
          <t>Mũi khoan thép KBY1-070</t>
        </is>
      </c>
      <c r="I474" s="3" t="inlineStr">
        <is>
          <t>Cái</t>
        </is>
      </c>
      <c r="J474" s="5" t="n">
        <v>31000</v>
      </c>
      <c r="K474" s="5" t="n">
        <v>39000</v>
      </c>
      <c r="L474" s="6" t="n">
        <v>50000</v>
      </c>
      <c r="M474" s="5" t="n"/>
      <c r="N474" s="5">
        <f>IF(AND(ISNUMBER(M474),ISNUMBER(L474)),M474-L474,"")</f>
        <v/>
      </c>
      <c r="O474" s="7">
        <f>IF(AND(ISNUMBER(M474),ISNUMBER(L474),L474&gt;0),(M474-L474)/L474,"")</f>
        <v/>
      </c>
      <c r="P474" s="3">
        <f>IF(O474="","",IF(O474&lt;-0.02,"🔴 Bán phá giá sàn",IF(O474&gt;0.05,"🔵 Bán cao hơn","🟢 Đúng giá sàn TMĐT")))</f>
        <v/>
      </c>
      <c r="Q474" s="3" t="n"/>
      <c r="R474" s="4" t="n"/>
      <c r="S474" s="4" t="n"/>
    </row>
    <row r="475">
      <c r="A475" s="3" t="n">
        <v>474</v>
      </c>
      <c r="B475" s="3" t="inlineStr">
        <is>
          <t>KH002</t>
        </is>
      </c>
      <c r="C475" s="4" t="inlineStr">
        <is>
          <t>Nguyễn Hoàng Phú</t>
        </is>
      </c>
      <c r="D475" s="3" t="inlineStr">
        <is>
          <t>HCM</t>
        </is>
      </c>
      <c r="E475" s="3" t="inlineStr">
        <is>
          <t>BẢO TRÂM</t>
        </is>
      </c>
      <c r="F475" s="3" t="inlineStr">
        <is>
          <t>Shopee</t>
        </is>
      </c>
      <c r="G475" s="3" t="inlineStr">
        <is>
          <t>KBY1-080</t>
        </is>
      </c>
      <c r="H475" s="4" t="inlineStr">
        <is>
          <t>Mũi khoan thép KBY1-080</t>
        </is>
      </c>
      <c r="I475" s="3" t="inlineStr">
        <is>
          <t>Cái</t>
        </is>
      </c>
      <c r="J475" s="5" t="n">
        <v>46000</v>
      </c>
      <c r="K475" s="5" t="n">
        <v>57000</v>
      </c>
      <c r="L475" s="6" t="n">
        <v>74000</v>
      </c>
      <c r="M475" s="5" t="n"/>
      <c r="N475" s="5">
        <f>IF(AND(ISNUMBER(M475),ISNUMBER(L475)),M475-L475,"")</f>
        <v/>
      </c>
      <c r="O475" s="7">
        <f>IF(AND(ISNUMBER(M475),ISNUMBER(L475),L475&gt;0),(M475-L475)/L475,"")</f>
        <v/>
      </c>
      <c r="P475" s="3">
        <f>IF(O475="","",IF(O475&lt;-0.02,"🔴 Bán phá giá sàn",IF(O475&gt;0.05,"🔵 Bán cao hơn","🟢 Đúng giá sàn TMĐT")))</f>
        <v/>
      </c>
      <c r="Q475" s="3" t="n"/>
      <c r="R475" s="4" t="n"/>
      <c r="S475" s="4" t="n"/>
    </row>
    <row r="476">
      <c r="A476" s="3" t="n">
        <v>475</v>
      </c>
      <c r="B476" s="3" t="inlineStr">
        <is>
          <t>KH002</t>
        </is>
      </c>
      <c r="C476" s="4" t="inlineStr">
        <is>
          <t>Nguyễn Hoàng Phú</t>
        </is>
      </c>
      <c r="D476" s="3" t="inlineStr">
        <is>
          <t>HCM</t>
        </is>
      </c>
      <c r="E476" s="3" t="inlineStr">
        <is>
          <t>BẢO TRÂM</t>
        </is>
      </c>
      <c r="F476" s="3" t="inlineStr">
        <is>
          <t>Shopee</t>
        </is>
      </c>
      <c r="G476" s="3" t="inlineStr">
        <is>
          <t>KBY1-090</t>
        </is>
      </c>
      <c r="H476" s="4" t="inlineStr">
        <is>
          <t>Mũi khoan thép KBY1-090</t>
        </is>
      </c>
      <c r="I476" s="3" t="inlineStr">
        <is>
          <t>Cái</t>
        </is>
      </c>
      <c r="J476" s="5" t="n">
        <v>56000</v>
      </c>
      <c r="K476" s="5" t="n">
        <v>70000</v>
      </c>
      <c r="L476" s="6" t="n">
        <v>90000</v>
      </c>
      <c r="M476" s="5" t="n"/>
      <c r="N476" s="5">
        <f>IF(AND(ISNUMBER(M476),ISNUMBER(L476)),M476-L476,"")</f>
        <v/>
      </c>
      <c r="O476" s="7">
        <f>IF(AND(ISNUMBER(M476),ISNUMBER(L476),L476&gt;0),(M476-L476)/L476,"")</f>
        <v/>
      </c>
      <c r="P476" s="3">
        <f>IF(O476="","",IF(O476&lt;-0.02,"🔴 Bán phá giá sàn",IF(O476&gt;0.05,"🔵 Bán cao hơn","🟢 Đúng giá sàn TMĐT")))</f>
        <v/>
      </c>
      <c r="Q476" s="3" t="n"/>
      <c r="R476" s="4" t="n"/>
      <c r="S476" s="4" t="n"/>
    </row>
    <row r="477">
      <c r="A477" s="3" t="n">
        <v>476</v>
      </c>
      <c r="B477" s="3" t="inlineStr">
        <is>
          <t>KH002</t>
        </is>
      </c>
      <c r="C477" s="4" t="inlineStr">
        <is>
          <t>Nguyễn Hoàng Phú</t>
        </is>
      </c>
      <c r="D477" s="3" t="inlineStr">
        <is>
          <t>HCM</t>
        </is>
      </c>
      <c r="E477" s="3" t="inlineStr">
        <is>
          <t>BẢO TRÂM</t>
        </is>
      </c>
      <c r="F477" s="3" t="inlineStr">
        <is>
          <t>Shopee</t>
        </is>
      </c>
      <c r="G477" s="3" t="inlineStr">
        <is>
          <t>KBY1-120</t>
        </is>
      </c>
      <c r="H477" s="4" t="inlineStr">
        <is>
          <t>Mũi khoan thép KBY1-120</t>
        </is>
      </c>
      <c r="I477" s="3" t="inlineStr">
        <is>
          <t>Cái</t>
        </is>
      </c>
      <c r="J477" s="5" t="n">
        <v>103000</v>
      </c>
      <c r="K477" s="5" t="n">
        <v>128000</v>
      </c>
      <c r="L477" s="6" t="n">
        <v>165000</v>
      </c>
      <c r="M477" s="5" t="n"/>
      <c r="N477" s="5">
        <f>IF(AND(ISNUMBER(M477),ISNUMBER(L477)),M477-L477,"")</f>
        <v/>
      </c>
      <c r="O477" s="7">
        <f>IF(AND(ISNUMBER(M477),ISNUMBER(L477),L477&gt;0),(M477-L477)/L477,"")</f>
        <v/>
      </c>
      <c r="P477" s="3">
        <f>IF(O477="","",IF(O477&lt;-0.02,"🔴 Bán phá giá sàn",IF(O477&gt;0.05,"🔵 Bán cao hơn","🟢 Đúng giá sàn TMĐT")))</f>
        <v/>
      </c>
      <c r="Q477" s="3" t="n"/>
      <c r="R477" s="4" t="n"/>
      <c r="S477" s="4" t="n"/>
    </row>
    <row r="478">
      <c r="A478" s="3" t="n">
        <v>477</v>
      </c>
      <c r="B478" s="3" t="inlineStr">
        <is>
          <t>KH002</t>
        </is>
      </c>
      <c r="C478" s="4" t="inlineStr">
        <is>
          <t>Nguyễn Hoàng Phú</t>
        </is>
      </c>
      <c r="D478" s="3" t="inlineStr">
        <is>
          <t>HCM</t>
        </is>
      </c>
      <c r="E478" s="3" t="inlineStr">
        <is>
          <t>BẢO TRÂM</t>
        </is>
      </c>
      <c r="F478" s="3" t="inlineStr">
        <is>
          <t>Shopee</t>
        </is>
      </c>
      <c r="G478" s="3" t="inlineStr">
        <is>
          <t>KBL4-20*350</t>
        </is>
      </c>
      <c r="H478" s="4" t="inlineStr">
        <is>
          <t>Mũi khoan xuyên tường 4 cạnh KBL4-20*350</t>
        </is>
      </c>
      <c r="I478" s="3" t="inlineStr">
        <is>
          <t>Cái</t>
        </is>
      </c>
      <c r="J478" s="5" t="n">
        <v>183000</v>
      </c>
      <c r="K478" s="5" t="n">
        <v>223000</v>
      </c>
      <c r="L478" s="6" t="n">
        <v>284000</v>
      </c>
      <c r="M478" s="5" t="n"/>
      <c r="N478" s="5">
        <f>IF(AND(ISNUMBER(M478),ISNUMBER(L478)),M478-L478,"")</f>
        <v/>
      </c>
      <c r="O478" s="7">
        <f>IF(AND(ISNUMBER(M478),ISNUMBER(L478),L478&gt;0),(M478-L478)/L478,"")</f>
        <v/>
      </c>
      <c r="P478" s="3">
        <f>IF(O478="","",IF(O478&lt;-0.02,"🔴 Bán phá giá sàn",IF(O478&gt;0.05,"🔵 Bán cao hơn","🟢 Đúng giá sàn TMĐT")))</f>
        <v/>
      </c>
      <c r="Q478" s="3" t="n"/>
      <c r="R478" s="4" t="n"/>
      <c r="S478" s="4" t="n"/>
    </row>
    <row r="479">
      <c r="A479" s="3" t="n">
        <v>478</v>
      </c>
      <c r="B479" s="3" t="inlineStr">
        <is>
          <t>KH002</t>
        </is>
      </c>
      <c r="C479" s="4" t="inlineStr">
        <is>
          <t>Nguyễn Hoàng Phú</t>
        </is>
      </c>
      <c r="D479" s="3" t="inlineStr">
        <is>
          <t>HCM</t>
        </is>
      </c>
      <c r="E479" s="3" t="inlineStr">
        <is>
          <t>BẢO TRÂM</t>
        </is>
      </c>
      <c r="F479" s="3" t="inlineStr">
        <is>
          <t>Shopee</t>
        </is>
      </c>
      <c r="G479" s="3" t="inlineStr">
        <is>
          <t>KBX2-16</t>
        </is>
      </c>
      <c r="H479" s="4" t="inlineStr">
        <is>
          <t>Mũi khoét gỗ KBX2-16</t>
        </is>
      </c>
      <c r="I479" s="3" t="inlineStr">
        <is>
          <t>Cái</t>
        </is>
      </c>
      <c r="J479" s="5" t="n">
        <v>59000</v>
      </c>
      <c r="K479" s="5" t="n">
        <v>70000</v>
      </c>
      <c r="L479" s="6" t="n">
        <v>86000</v>
      </c>
      <c r="M479" s="5" t="n"/>
      <c r="N479" s="5">
        <f>IF(AND(ISNUMBER(M479),ISNUMBER(L479)),M479-L479,"")</f>
        <v/>
      </c>
      <c r="O479" s="7">
        <f>IF(AND(ISNUMBER(M479),ISNUMBER(L479),L479&gt;0),(M479-L479)/L479,"")</f>
        <v/>
      </c>
      <c r="P479" s="3">
        <f>IF(O479="","",IF(O479&lt;-0.02,"🔴 Bán phá giá sàn",IF(O479&gt;0.05,"🔵 Bán cao hơn","🟢 Đúng giá sàn TMĐT")))</f>
        <v/>
      </c>
      <c r="Q479" s="3" t="n"/>
      <c r="R479" s="4" t="n"/>
      <c r="S479" s="4" t="n"/>
    </row>
    <row r="480">
      <c r="A480" s="3" t="n">
        <v>479</v>
      </c>
      <c r="B480" s="3" t="inlineStr">
        <is>
          <t>KH002</t>
        </is>
      </c>
      <c r="C480" s="4" t="inlineStr">
        <is>
          <t>Nguyễn Hoàng Phú</t>
        </is>
      </c>
      <c r="D480" s="3" t="inlineStr">
        <is>
          <t>HCM</t>
        </is>
      </c>
      <c r="E480" s="3" t="inlineStr">
        <is>
          <t>BẢO TRÂM</t>
        </is>
      </c>
      <c r="F480" s="3" t="inlineStr">
        <is>
          <t>Shopee</t>
        </is>
      </c>
      <c r="G480" s="3" t="inlineStr">
        <is>
          <t>KBX2-25</t>
        </is>
      </c>
      <c r="H480" s="4" t="inlineStr">
        <is>
          <t>Mũi khoét gỗ KBX2-25</t>
        </is>
      </c>
      <c r="I480" s="3" t="inlineStr">
        <is>
          <t>Cái</t>
        </is>
      </c>
      <c r="J480" s="5" t="n">
        <v>83000</v>
      </c>
      <c r="K480" s="5" t="n">
        <v>98000</v>
      </c>
      <c r="L480" s="6" t="n">
        <v>120000</v>
      </c>
      <c r="M480" s="5" t="n"/>
      <c r="N480" s="5">
        <f>IF(AND(ISNUMBER(M480),ISNUMBER(L480)),M480-L480,"")</f>
        <v/>
      </c>
      <c r="O480" s="7">
        <f>IF(AND(ISNUMBER(M480),ISNUMBER(L480),L480&gt;0),(M480-L480)/L480,"")</f>
        <v/>
      </c>
      <c r="P480" s="3">
        <f>IF(O480="","",IF(O480&lt;-0.02,"🔴 Bán phá giá sàn",IF(O480&gt;0.05,"🔵 Bán cao hơn","🟢 Đúng giá sàn TMĐT")))</f>
        <v/>
      </c>
      <c r="Q480" s="3" t="n"/>
      <c r="R480" s="4" t="n"/>
      <c r="S480" s="4" t="n"/>
    </row>
    <row r="481">
      <c r="A481" s="3" t="n">
        <v>480</v>
      </c>
      <c r="B481" s="3" t="inlineStr">
        <is>
          <t>KH002</t>
        </is>
      </c>
      <c r="C481" s="4" t="inlineStr">
        <is>
          <t>Nguyễn Hoàng Phú</t>
        </is>
      </c>
      <c r="D481" s="3" t="inlineStr">
        <is>
          <t>HCM</t>
        </is>
      </c>
      <c r="E481" s="3" t="inlineStr">
        <is>
          <t>BẢO TRÂM</t>
        </is>
      </c>
      <c r="F481" s="3" t="inlineStr">
        <is>
          <t>Shopee</t>
        </is>
      </c>
      <c r="G481" s="3" t="inlineStr">
        <is>
          <t>KBX2-27</t>
        </is>
      </c>
      <c r="H481" s="4" t="inlineStr">
        <is>
          <t>Mũi khoét gỗ KBX2-27</t>
        </is>
      </c>
      <c r="I481" s="3" t="inlineStr">
        <is>
          <t>Cái</t>
        </is>
      </c>
      <c r="J481" s="5" t="n">
        <v>92000</v>
      </c>
      <c r="K481" s="5" t="n">
        <v>108000</v>
      </c>
      <c r="L481" s="6" t="n">
        <v>133000</v>
      </c>
      <c r="M481" s="5" t="n"/>
      <c r="N481" s="5">
        <f>IF(AND(ISNUMBER(M481),ISNUMBER(L481)),M481-L481,"")</f>
        <v/>
      </c>
      <c r="O481" s="7">
        <f>IF(AND(ISNUMBER(M481),ISNUMBER(L481),L481&gt;0),(M481-L481)/L481,"")</f>
        <v/>
      </c>
      <c r="P481" s="3">
        <f>IF(O481="","",IF(O481&lt;-0.02,"🔴 Bán phá giá sàn",IF(O481&gt;0.05,"🔵 Bán cao hơn","🟢 Đúng giá sàn TMĐT")))</f>
        <v/>
      </c>
      <c r="Q481" s="3" t="n"/>
      <c r="R481" s="4" t="n"/>
      <c r="S481" s="4" t="n"/>
    </row>
    <row r="482">
      <c r="A482" s="3" t="n">
        <v>481</v>
      </c>
      <c r="B482" s="3" t="inlineStr">
        <is>
          <t>KH002</t>
        </is>
      </c>
      <c r="C482" s="4" t="inlineStr">
        <is>
          <t>Nguyễn Hoàng Phú</t>
        </is>
      </c>
      <c r="D482" s="3" t="inlineStr">
        <is>
          <t>HCM</t>
        </is>
      </c>
      <c r="E482" s="3" t="inlineStr">
        <is>
          <t>BẢO TRÂM</t>
        </is>
      </c>
      <c r="F482" s="3" t="inlineStr">
        <is>
          <t>Shopee</t>
        </is>
      </c>
      <c r="G482" s="3" t="inlineStr">
        <is>
          <t>KBX2-30</t>
        </is>
      </c>
      <c r="H482" s="4" t="inlineStr">
        <is>
          <t>Mũi khoét gỗ KBX2-30</t>
        </is>
      </c>
      <c r="I482" s="3" t="inlineStr">
        <is>
          <t>Cái</t>
        </is>
      </c>
      <c r="J482" s="5" t="n">
        <v>103000</v>
      </c>
      <c r="K482" s="5" t="n">
        <v>121000</v>
      </c>
      <c r="L482" s="6" t="n">
        <v>149000</v>
      </c>
      <c r="M482" s="5" t="n"/>
      <c r="N482" s="5">
        <f>IF(AND(ISNUMBER(M482),ISNUMBER(L482)),M482-L482,"")</f>
        <v/>
      </c>
      <c r="O482" s="7">
        <f>IF(AND(ISNUMBER(M482),ISNUMBER(L482),L482&gt;0),(M482-L482)/L482,"")</f>
        <v/>
      </c>
      <c r="P482" s="3">
        <f>IF(O482="","",IF(O482&lt;-0.02,"🔴 Bán phá giá sàn",IF(O482&gt;0.05,"🔵 Bán cao hơn","🟢 Đúng giá sàn TMĐT")))</f>
        <v/>
      </c>
      <c r="Q482" s="3" t="n"/>
      <c r="R482" s="4" t="n"/>
      <c r="S482" s="4" t="n"/>
    </row>
    <row r="483">
      <c r="A483" s="3" t="n">
        <v>482</v>
      </c>
      <c r="B483" s="3" t="inlineStr">
        <is>
          <t>KH002</t>
        </is>
      </c>
      <c r="C483" s="4" t="inlineStr">
        <is>
          <t>Nguyễn Hoàng Phú</t>
        </is>
      </c>
      <c r="D483" s="3" t="inlineStr">
        <is>
          <t>HCM</t>
        </is>
      </c>
      <c r="E483" s="3" t="inlineStr">
        <is>
          <t>BẢO TRÂM</t>
        </is>
      </c>
      <c r="F483" s="3" t="inlineStr">
        <is>
          <t>Shopee</t>
        </is>
      </c>
      <c r="G483" s="3" t="inlineStr">
        <is>
          <t>KBX2-35</t>
        </is>
      </c>
      <c r="H483" s="4" t="inlineStr">
        <is>
          <t>Mũi khoét gỗ KBX2-35</t>
        </is>
      </c>
      <c r="I483" s="3" t="inlineStr">
        <is>
          <t>Cái</t>
        </is>
      </c>
      <c r="J483" s="5" t="n">
        <v>119000</v>
      </c>
      <c r="K483" s="5" t="n">
        <v>141000</v>
      </c>
      <c r="L483" s="6" t="n">
        <v>173000</v>
      </c>
      <c r="M483" s="5" t="n"/>
      <c r="N483" s="5">
        <f>IF(AND(ISNUMBER(M483),ISNUMBER(L483)),M483-L483,"")</f>
        <v/>
      </c>
      <c r="O483" s="7">
        <f>IF(AND(ISNUMBER(M483),ISNUMBER(L483),L483&gt;0),(M483-L483)/L483,"")</f>
        <v/>
      </c>
      <c r="P483" s="3">
        <f>IF(O483="","",IF(O483&lt;-0.02,"🔴 Bán phá giá sàn",IF(O483&gt;0.05,"🔵 Bán cao hơn","🟢 Đúng giá sàn TMĐT")))</f>
        <v/>
      </c>
      <c r="Q483" s="3" t="n"/>
      <c r="R483" s="4" t="n"/>
      <c r="S483" s="4" t="n"/>
    </row>
    <row r="484">
      <c r="A484" s="3" t="n">
        <v>483</v>
      </c>
      <c r="B484" s="3" t="inlineStr">
        <is>
          <t>KH002</t>
        </is>
      </c>
      <c r="C484" s="4" t="inlineStr">
        <is>
          <t>Nguyễn Hoàng Phú</t>
        </is>
      </c>
      <c r="D484" s="3" t="inlineStr">
        <is>
          <t>HCM</t>
        </is>
      </c>
      <c r="E484" s="3" t="inlineStr">
        <is>
          <t>BẢO TRÂM</t>
        </is>
      </c>
      <c r="F484" s="3" t="inlineStr">
        <is>
          <t>Shopee</t>
        </is>
      </c>
      <c r="G484" s="3" t="inlineStr">
        <is>
          <t>KBX2-42</t>
        </is>
      </c>
      <c r="H484" s="4" t="inlineStr">
        <is>
          <t>Mũi khoét gỗ KBX2-42</t>
        </is>
      </c>
      <c r="I484" s="3" t="inlineStr">
        <is>
          <t>Cái</t>
        </is>
      </c>
      <c r="J484" s="5" t="n">
        <v>140000</v>
      </c>
      <c r="K484" s="5" t="n">
        <v>165000</v>
      </c>
      <c r="L484" s="6" t="n">
        <v>203000</v>
      </c>
      <c r="M484" s="5" t="n"/>
      <c r="N484" s="5">
        <f>IF(AND(ISNUMBER(M484),ISNUMBER(L484)),M484-L484,"")</f>
        <v/>
      </c>
      <c r="O484" s="7">
        <f>IF(AND(ISNUMBER(M484),ISNUMBER(L484),L484&gt;0),(M484-L484)/L484,"")</f>
        <v/>
      </c>
      <c r="P484" s="3">
        <f>IF(O484="","",IF(O484&lt;-0.02,"🔴 Bán phá giá sàn",IF(O484&gt;0.05,"🔵 Bán cao hơn","🟢 Đúng giá sàn TMĐT")))</f>
        <v/>
      </c>
      <c r="Q484" s="3" t="n"/>
      <c r="R484" s="4" t="n"/>
      <c r="S484" s="4" t="n"/>
    </row>
    <row r="485">
      <c r="A485" s="3" t="n">
        <v>484</v>
      </c>
      <c r="B485" s="3" t="inlineStr">
        <is>
          <t>KH002</t>
        </is>
      </c>
      <c r="C485" s="4" t="inlineStr">
        <is>
          <t>Nguyễn Hoàng Phú</t>
        </is>
      </c>
      <c r="D485" s="3" t="inlineStr">
        <is>
          <t>HCM</t>
        </is>
      </c>
      <c r="E485" s="3" t="inlineStr">
        <is>
          <t>BẢO TRÂM</t>
        </is>
      </c>
      <c r="F485" s="3" t="inlineStr">
        <is>
          <t>Shopee</t>
        </is>
      </c>
      <c r="G485" s="3" t="inlineStr">
        <is>
          <t>KBX2-60</t>
        </is>
      </c>
      <c r="H485" s="4" t="inlineStr">
        <is>
          <t>Mũi khoét gỗ KBX2-60</t>
        </is>
      </c>
      <c r="I485" s="3" t="inlineStr">
        <is>
          <t>Cái</t>
        </is>
      </c>
      <c r="J485" s="5" t="n">
        <v>191000</v>
      </c>
      <c r="K485" s="5" t="n">
        <v>225000</v>
      </c>
      <c r="L485" s="6" t="n">
        <v>277000</v>
      </c>
      <c r="M485" s="5" t="n"/>
      <c r="N485" s="5">
        <f>IF(AND(ISNUMBER(M485),ISNUMBER(L485)),M485-L485,"")</f>
        <v/>
      </c>
      <c r="O485" s="7">
        <f>IF(AND(ISNUMBER(M485),ISNUMBER(L485),L485&gt;0),(M485-L485)/L485,"")</f>
        <v/>
      </c>
      <c r="P485" s="3">
        <f>IF(O485="","",IF(O485&lt;-0.02,"🔴 Bán phá giá sàn",IF(O485&gt;0.05,"🔵 Bán cao hơn","🟢 Đúng giá sàn TMĐT")))</f>
        <v/>
      </c>
      <c r="Q485" s="3" t="n"/>
      <c r="R485" s="4" t="n"/>
      <c r="S485" s="4" t="n"/>
    </row>
    <row r="486">
      <c r="A486" s="3" t="n">
        <v>485</v>
      </c>
      <c r="B486" s="3" t="inlineStr">
        <is>
          <t>KH002</t>
        </is>
      </c>
      <c r="C486" s="4" t="inlineStr">
        <is>
          <t>Nguyễn Hoàng Phú</t>
        </is>
      </c>
      <c r="D486" s="3" t="inlineStr">
        <is>
          <t>HCM</t>
        </is>
      </c>
      <c r="E486" s="3" t="inlineStr">
        <is>
          <t>BẢO TRÂM</t>
        </is>
      </c>
      <c r="F486" s="3" t="inlineStr">
        <is>
          <t>Shopee</t>
        </is>
      </c>
      <c r="G486" s="3" t="inlineStr">
        <is>
          <t>R1-35/25</t>
        </is>
      </c>
      <c r="H486" s="4" t="inlineStr">
        <is>
          <t>Mũi khoét hợp kim BlueBird R1-35/25</t>
        </is>
      </c>
      <c r="I486" s="3" t="inlineStr">
        <is>
          <t>Cái</t>
        </is>
      </c>
      <c r="J486" s="5" t="n">
        <v>129000</v>
      </c>
      <c r="K486" s="5" t="n">
        <v>157000</v>
      </c>
      <c r="L486" s="6" t="n">
        <v>200000</v>
      </c>
      <c r="M486" s="5" t="n"/>
      <c r="N486" s="5">
        <f>IF(AND(ISNUMBER(M486),ISNUMBER(L486)),M486-L486,"")</f>
        <v/>
      </c>
      <c r="O486" s="7">
        <f>IF(AND(ISNUMBER(M486),ISNUMBER(L486),L486&gt;0),(M486-L486)/L486,"")</f>
        <v/>
      </c>
      <c r="P486" s="3">
        <f>IF(O486="","",IF(O486&lt;-0.02,"🔴 Bán phá giá sàn",IF(O486&gt;0.05,"🔵 Bán cao hơn","🟢 Đúng giá sàn TMĐT")))</f>
        <v/>
      </c>
      <c r="Q486" s="3" t="n"/>
      <c r="R486" s="4" t="n"/>
      <c r="S486" s="4" t="n"/>
    </row>
    <row r="487">
      <c r="A487" s="3" t="n">
        <v>486</v>
      </c>
      <c r="B487" s="3" t="inlineStr">
        <is>
          <t>KH002</t>
        </is>
      </c>
      <c r="C487" s="4" t="inlineStr">
        <is>
          <t>Nguyễn Hoàng Phú</t>
        </is>
      </c>
      <c r="D487" s="3" t="inlineStr">
        <is>
          <t>HCM</t>
        </is>
      </c>
      <c r="E487" s="3" t="inlineStr">
        <is>
          <t>BẢO TRÂM</t>
        </is>
      </c>
      <c r="F487" s="3" t="inlineStr">
        <is>
          <t>Shopee</t>
        </is>
      </c>
      <c r="G487" s="3" t="inlineStr">
        <is>
          <t>R1-38/25</t>
        </is>
      </c>
      <c r="H487" s="4" t="inlineStr">
        <is>
          <t>Mũi khoét hợp kim Bluebird R1-38/25</t>
        </is>
      </c>
      <c r="I487" s="3" t="inlineStr">
        <is>
          <t>Cái</t>
        </is>
      </c>
      <c r="J487" s="5" t="n">
        <v>140000</v>
      </c>
      <c r="K487" s="5" t="n">
        <v>171000</v>
      </c>
      <c r="L487" s="6" t="n">
        <v>217000</v>
      </c>
      <c r="M487" s="5" t="n"/>
      <c r="N487" s="5">
        <f>IF(AND(ISNUMBER(M487),ISNUMBER(L487)),M487-L487,"")</f>
        <v/>
      </c>
      <c r="O487" s="7">
        <f>IF(AND(ISNUMBER(M487),ISNUMBER(L487),L487&gt;0),(M487-L487)/L487,"")</f>
        <v/>
      </c>
      <c r="P487" s="3">
        <f>IF(O487="","",IF(O487&lt;-0.02,"🔴 Bán phá giá sàn",IF(O487&gt;0.05,"🔵 Bán cao hơn","🟢 Đúng giá sàn TMĐT")))</f>
        <v/>
      </c>
      <c r="Q487" s="3" t="n"/>
      <c r="R487" s="4" t="n"/>
      <c r="S487" s="4" t="n"/>
    </row>
    <row r="488">
      <c r="A488" s="3" t="n">
        <v>487</v>
      </c>
      <c r="B488" s="3" t="inlineStr">
        <is>
          <t>KH002</t>
        </is>
      </c>
      <c r="C488" s="4" t="inlineStr">
        <is>
          <t>Nguyễn Hoàng Phú</t>
        </is>
      </c>
      <c r="D488" s="3" t="inlineStr">
        <is>
          <t>HCM</t>
        </is>
      </c>
      <c r="E488" s="3" t="inlineStr">
        <is>
          <t>BẢO TRÂM</t>
        </is>
      </c>
      <c r="F488" s="3" t="inlineStr">
        <is>
          <t>Shopee</t>
        </is>
      </c>
      <c r="G488" s="3" t="inlineStr">
        <is>
          <t>R1-42/25</t>
        </is>
      </c>
      <c r="H488" s="4" t="inlineStr">
        <is>
          <t>Mũi khoét hợp kim Bluebird R1-42/25</t>
        </is>
      </c>
      <c r="I488" s="3" t="inlineStr">
        <is>
          <t>Cái</t>
        </is>
      </c>
      <c r="J488" s="5" t="n">
        <v>153000</v>
      </c>
      <c r="K488" s="5" t="n">
        <v>187000</v>
      </c>
      <c r="L488" s="6" t="n">
        <v>237000</v>
      </c>
      <c r="M488" s="5" t="n"/>
      <c r="N488" s="5">
        <f>IF(AND(ISNUMBER(M488),ISNUMBER(L488)),M488-L488,"")</f>
        <v/>
      </c>
      <c r="O488" s="7">
        <f>IF(AND(ISNUMBER(M488),ISNUMBER(L488),L488&gt;0),(M488-L488)/L488,"")</f>
        <v/>
      </c>
      <c r="P488" s="3">
        <f>IF(O488="","",IF(O488&lt;-0.02,"🔴 Bán phá giá sàn",IF(O488&gt;0.05,"🔵 Bán cao hơn","🟢 Đúng giá sàn TMĐT")))</f>
        <v/>
      </c>
      <c r="Q488" s="3" t="n"/>
      <c r="R488" s="4" t="n"/>
      <c r="S488" s="4" t="n"/>
    </row>
    <row r="489">
      <c r="A489" s="3" t="n">
        <v>488</v>
      </c>
      <c r="B489" s="3" t="inlineStr">
        <is>
          <t>KH002</t>
        </is>
      </c>
      <c r="C489" s="4" t="inlineStr">
        <is>
          <t>Nguyễn Hoàng Phú</t>
        </is>
      </c>
      <c r="D489" s="3" t="inlineStr">
        <is>
          <t>HCM</t>
        </is>
      </c>
      <c r="E489" s="3" t="inlineStr">
        <is>
          <t>BẢO TRÂM</t>
        </is>
      </c>
      <c r="F489" s="3" t="inlineStr">
        <is>
          <t>Shopee</t>
        </is>
      </c>
      <c r="G489" s="3" t="inlineStr">
        <is>
          <t>R1-45/25</t>
        </is>
      </c>
      <c r="H489" s="4" t="inlineStr">
        <is>
          <t>Mũi khoét hợp kim BlueBird R1-45/25</t>
        </is>
      </c>
      <c r="I489" s="3" t="inlineStr">
        <is>
          <t>Cái</t>
        </is>
      </c>
      <c r="J489" s="5" t="n">
        <v>162000</v>
      </c>
      <c r="K489" s="5" t="n">
        <v>198000</v>
      </c>
      <c r="L489" s="6" t="n">
        <v>251000</v>
      </c>
      <c r="M489" s="5" t="n"/>
      <c r="N489" s="5">
        <f>IF(AND(ISNUMBER(M489),ISNUMBER(L489)),M489-L489,"")</f>
        <v/>
      </c>
      <c r="O489" s="7">
        <f>IF(AND(ISNUMBER(M489),ISNUMBER(L489),L489&gt;0),(M489-L489)/L489,"")</f>
        <v/>
      </c>
      <c r="P489" s="3">
        <f>IF(O489="","",IF(O489&lt;-0.02,"🔴 Bán phá giá sàn",IF(O489&gt;0.05,"🔵 Bán cao hơn","🟢 Đúng giá sàn TMĐT")))</f>
        <v/>
      </c>
      <c r="Q489" s="3" t="n"/>
      <c r="R489" s="4" t="n"/>
      <c r="S489" s="4" t="n"/>
    </row>
    <row r="490">
      <c r="A490" s="3" t="n">
        <v>489</v>
      </c>
      <c r="B490" s="3" t="inlineStr">
        <is>
          <t>KH002</t>
        </is>
      </c>
      <c r="C490" s="4" t="inlineStr">
        <is>
          <t>Nguyễn Hoàng Phú</t>
        </is>
      </c>
      <c r="D490" s="3" t="inlineStr">
        <is>
          <t>HCM</t>
        </is>
      </c>
      <c r="E490" s="3" t="inlineStr">
        <is>
          <t>BẢO TRÂM</t>
        </is>
      </c>
      <c r="F490" s="3" t="inlineStr">
        <is>
          <t>Shopee</t>
        </is>
      </c>
      <c r="G490" s="3" t="inlineStr">
        <is>
          <t>R1-50/25</t>
        </is>
      </c>
      <c r="H490" s="4" t="inlineStr">
        <is>
          <t>Mũi khoét hợp kim Bluebird R1-50/25</t>
        </is>
      </c>
      <c r="I490" s="3" t="inlineStr">
        <is>
          <t>Cái</t>
        </is>
      </c>
      <c r="J490" s="5" t="n">
        <v>183000</v>
      </c>
      <c r="K490" s="5" t="n">
        <v>223000</v>
      </c>
      <c r="L490" s="6" t="n">
        <v>284000</v>
      </c>
      <c r="M490" s="5" t="n"/>
      <c r="N490" s="5">
        <f>IF(AND(ISNUMBER(M490),ISNUMBER(L490)),M490-L490,"")</f>
        <v/>
      </c>
      <c r="O490" s="7">
        <f>IF(AND(ISNUMBER(M490),ISNUMBER(L490),L490&gt;0),(M490-L490)/L490,"")</f>
        <v/>
      </c>
      <c r="P490" s="3">
        <f>IF(O490="","",IF(O490&lt;-0.02,"🔴 Bán phá giá sàn",IF(O490&gt;0.05,"🔵 Bán cao hơn","🟢 Đúng giá sàn TMĐT")))</f>
        <v/>
      </c>
      <c r="Q490" s="3" t="n"/>
      <c r="R490" s="4" t="n"/>
      <c r="S490" s="4" t="n"/>
    </row>
    <row r="491">
      <c r="A491" s="3" t="n">
        <v>490</v>
      </c>
      <c r="B491" s="3" t="inlineStr">
        <is>
          <t>KH002</t>
        </is>
      </c>
      <c r="C491" s="4" t="inlineStr">
        <is>
          <t>Nguyễn Hoàng Phú</t>
        </is>
      </c>
      <c r="D491" s="3" t="inlineStr">
        <is>
          <t>HCM</t>
        </is>
      </c>
      <c r="E491" s="3" t="inlineStr">
        <is>
          <t>BẢO TRÂM</t>
        </is>
      </c>
      <c r="F491" s="3" t="inlineStr">
        <is>
          <t>Shopee</t>
        </is>
      </c>
      <c r="G491" s="3" t="inlineStr">
        <is>
          <t>R1-60/25</t>
        </is>
      </c>
      <c r="H491" s="4" t="inlineStr">
        <is>
          <t>Mũi khoét hợp kim Bluebird R1-60/25</t>
        </is>
      </c>
      <c r="I491" s="3" t="inlineStr">
        <is>
          <t>Cái</t>
        </is>
      </c>
      <c r="J491" s="5" t="n">
        <v>219000</v>
      </c>
      <c r="K491" s="5" t="n">
        <v>267000</v>
      </c>
      <c r="L491" s="6" t="n">
        <v>340000</v>
      </c>
      <c r="M491" s="5" t="n"/>
      <c r="N491" s="5">
        <f>IF(AND(ISNUMBER(M491),ISNUMBER(L491)),M491-L491,"")</f>
        <v/>
      </c>
      <c r="O491" s="7">
        <f>IF(AND(ISNUMBER(M491),ISNUMBER(L491),L491&gt;0),(M491-L491)/L491,"")</f>
        <v/>
      </c>
      <c r="P491" s="3">
        <f>IF(O491="","",IF(O491&lt;-0.02,"🔴 Bán phá giá sàn",IF(O491&gt;0.05,"🔵 Bán cao hơn","🟢 Đúng giá sàn TMĐT")))</f>
        <v/>
      </c>
      <c r="Q491" s="3" t="n"/>
      <c r="R491" s="4" t="n"/>
      <c r="S491" s="4" t="n"/>
    </row>
    <row r="492">
      <c r="A492" s="3" t="n">
        <v>491</v>
      </c>
      <c r="B492" s="3" t="inlineStr">
        <is>
          <t>KH002</t>
        </is>
      </c>
      <c r="C492" s="4" t="inlineStr">
        <is>
          <t>Nguyễn Hoàng Phú</t>
        </is>
      </c>
      <c r="D492" s="3" t="inlineStr">
        <is>
          <t>HCM</t>
        </is>
      </c>
      <c r="E492" s="3" t="inlineStr">
        <is>
          <t>BẢO TRÂM</t>
        </is>
      </c>
      <c r="F492" s="3" t="inlineStr">
        <is>
          <t>Shopee</t>
        </is>
      </c>
      <c r="G492" s="3" t="inlineStr">
        <is>
          <t>R1-16/25</t>
        </is>
      </c>
      <c r="H492" s="4" t="inlineStr">
        <is>
          <t>Mũi khoét hợp kim Kingblue R1-16/25</t>
        </is>
      </c>
      <c r="I492" s="3" t="inlineStr">
        <is>
          <t>Cái</t>
        </is>
      </c>
      <c r="J492" s="5" t="n">
        <v>59000</v>
      </c>
      <c r="K492" s="5" t="n">
        <v>72000</v>
      </c>
      <c r="L492" s="6" t="n">
        <v>92000</v>
      </c>
      <c r="M492" s="5" t="n"/>
      <c r="N492" s="5">
        <f>IF(AND(ISNUMBER(M492),ISNUMBER(L492)),M492-L492,"")</f>
        <v/>
      </c>
      <c r="O492" s="7">
        <f>IF(AND(ISNUMBER(M492),ISNUMBER(L492),L492&gt;0),(M492-L492)/L492,"")</f>
        <v/>
      </c>
      <c r="P492" s="3">
        <f>IF(O492="","",IF(O492&lt;-0.02,"🔴 Bán phá giá sàn",IF(O492&gt;0.05,"🔵 Bán cao hơn","🟢 Đúng giá sàn TMĐT")))</f>
        <v/>
      </c>
      <c r="Q492" s="3" t="n"/>
      <c r="R492" s="4" t="n"/>
      <c r="S492" s="4" t="n"/>
    </row>
    <row r="493">
      <c r="A493" s="3" t="n">
        <v>492</v>
      </c>
      <c r="B493" s="3" t="inlineStr">
        <is>
          <t>KH002</t>
        </is>
      </c>
      <c r="C493" s="4" t="inlineStr">
        <is>
          <t>Nguyễn Hoàng Phú</t>
        </is>
      </c>
      <c r="D493" s="3" t="inlineStr">
        <is>
          <t>HCM</t>
        </is>
      </c>
      <c r="E493" s="3" t="inlineStr">
        <is>
          <t>BẢO TRÂM</t>
        </is>
      </c>
      <c r="F493" s="3" t="inlineStr">
        <is>
          <t>Shopee</t>
        </is>
      </c>
      <c r="G493" s="3" t="inlineStr">
        <is>
          <t>R1-18/25</t>
        </is>
      </c>
      <c r="H493" s="4" t="inlineStr">
        <is>
          <t>Mũi khoét hợp kim Kingblue R1-18/25</t>
        </is>
      </c>
      <c r="I493" s="3" t="inlineStr">
        <is>
          <t>Cái</t>
        </is>
      </c>
      <c r="J493" s="5" t="n">
        <v>68000</v>
      </c>
      <c r="K493" s="5" t="n">
        <v>83000</v>
      </c>
      <c r="L493" s="6" t="n">
        <v>105000</v>
      </c>
      <c r="M493" s="5" t="n"/>
      <c r="N493" s="5">
        <f>IF(AND(ISNUMBER(M493),ISNUMBER(L493)),M493-L493,"")</f>
        <v/>
      </c>
      <c r="O493" s="7">
        <f>IF(AND(ISNUMBER(M493),ISNUMBER(L493),L493&gt;0),(M493-L493)/L493,"")</f>
        <v/>
      </c>
      <c r="P493" s="3">
        <f>IF(O493="","",IF(O493&lt;-0.02,"🔴 Bán phá giá sàn",IF(O493&gt;0.05,"🔵 Bán cao hơn","🟢 Đúng giá sàn TMĐT")))</f>
        <v/>
      </c>
      <c r="Q493" s="3" t="n"/>
      <c r="R493" s="4" t="n"/>
      <c r="S493" s="4" t="n"/>
    </row>
    <row r="494">
      <c r="A494" s="3" t="n">
        <v>493</v>
      </c>
      <c r="B494" s="3" t="inlineStr">
        <is>
          <t>KH002</t>
        </is>
      </c>
      <c r="C494" s="4" t="inlineStr">
        <is>
          <t>Nguyễn Hoàng Phú</t>
        </is>
      </c>
      <c r="D494" s="3" t="inlineStr">
        <is>
          <t>HCM</t>
        </is>
      </c>
      <c r="E494" s="3" t="inlineStr">
        <is>
          <t>BẢO TRÂM</t>
        </is>
      </c>
      <c r="F494" s="3" t="inlineStr">
        <is>
          <t>Shopee</t>
        </is>
      </c>
      <c r="G494" s="3" t="inlineStr">
        <is>
          <t>R1-21/25</t>
        </is>
      </c>
      <c r="H494" s="4" t="inlineStr">
        <is>
          <t>Mũi khoét hợp kim Kingblue R1-21/25</t>
        </is>
      </c>
      <c r="I494" s="3" t="inlineStr">
        <is>
          <t>Cái</t>
        </is>
      </c>
      <c r="J494" s="5" t="n">
        <v>77000</v>
      </c>
      <c r="K494" s="5" t="n">
        <v>94000</v>
      </c>
      <c r="L494" s="6" t="n">
        <v>119000</v>
      </c>
      <c r="M494" s="5" t="n"/>
      <c r="N494" s="5">
        <f>IF(AND(ISNUMBER(M494),ISNUMBER(L494)),M494-L494,"")</f>
        <v/>
      </c>
      <c r="O494" s="7">
        <f>IF(AND(ISNUMBER(M494),ISNUMBER(L494),L494&gt;0),(M494-L494)/L494,"")</f>
        <v/>
      </c>
      <c r="P494" s="3">
        <f>IF(O494="","",IF(O494&lt;-0.02,"🔴 Bán phá giá sàn",IF(O494&gt;0.05,"🔵 Bán cao hơn","🟢 Đúng giá sàn TMĐT")))</f>
        <v/>
      </c>
      <c r="Q494" s="3" t="n"/>
      <c r="R494" s="4" t="n"/>
      <c r="S494" s="4" t="n"/>
    </row>
    <row r="495">
      <c r="A495" s="3" t="n">
        <v>494</v>
      </c>
      <c r="B495" s="3" t="inlineStr">
        <is>
          <t>KH002</t>
        </is>
      </c>
      <c r="C495" s="4" t="inlineStr">
        <is>
          <t>Nguyễn Hoàng Phú</t>
        </is>
      </c>
      <c r="D495" s="3" t="inlineStr">
        <is>
          <t>HCM</t>
        </is>
      </c>
      <c r="E495" s="3" t="inlineStr">
        <is>
          <t>BẢO TRÂM</t>
        </is>
      </c>
      <c r="F495" s="3" t="inlineStr">
        <is>
          <t>Shopee</t>
        </is>
      </c>
      <c r="G495" s="3" t="inlineStr">
        <is>
          <t>R1-22/25</t>
        </is>
      </c>
      <c r="H495" s="4" t="inlineStr">
        <is>
          <t>Mũi khoét hợp kim Kingblue R1-22/25</t>
        </is>
      </c>
      <c r="I495" s="3" t="inlineStr">
        <is>
          <t>Cái</t>
        </is>
      </c>
      <c r="J495" s="5" t="n">
        <v>82000</v>
      </c>
      <c r="K495" s="5" t="n">
        <v>100000</v>
      </c>
      <c r="L495" s="6" t="n">
        <v>127000</v>
      </c>
      <c r="M495" s="5" t="n"/>
      <c r="N495" s="5">
        <f>IF(AND(ISNUMBER(M495),ISNUMBER(L495)),M495-L495,"")</f>
        <v/>
      </c>
      <c r="O495" s="7">
        <f>IF(AND(ISNUMBER(M495),ISNUMBER(L495),L495&gt;0),(M495-L495)/L495,"")</f>
        <v/>
      </c>
      <c r="P495" s="3">
        <f>IF(O495="","",IF(O495&lt;-0.02,"🔴 Bán phá giá sàn",IF(O495&gt;0.05,"🔵 Bán cao hơn","🟢 Đúng giá sàn TMĐT")))</f>
        <v/>
      </c>
      <c r="Q495" s="3" t="n"/>
      <c r="R495" s="4" t="n"/>
      <c r="S495" s="4" t="n"/>
    </row>
    <row r="496">
      <c r="A496" s="3" t="n">
        <v>495</v>
      </c>
      <c r="B496" s="3" t="inlineStr">
        <is>
          <t>KH002</t>
        </is>
      </c>
      <c r="C496" s="4" t="inlineStr">
        <is>
          <t>Nguyễn Hoàng Phú</t>
        </is>
      </c>
      <c r="D496" s="3" t="inlineStr">
        <is>
          <t>HCM</t>
        </is>
      </c>
      <c r="E496" s="3" t="inlineStr">
        <is>
          <t>BẢO TRÂM</t>
        </is>
      </c>
      <c r="F496" s="3" t="inlineStr">
        <is>
          <t>Shopee</t>
        </is>
      </c>
      <c r="G496" s="3" t="inlineStr">
        <is>
          <t>R1-25/25</t>
        </is>
      </c>
      <c r="H496" s="4" t="inlineStr">
        <is>
          <t>Mũi khoét hợp kim Kingblue R1-25/25</t>
        </is>
      </c>
      <c r="I496" s="3" t="inlineStr">
        <is>
          <t>Cái</t>
        </is>
      </c>
      <c r="J496" s="5" t="n">
        <v>91000</v>
      </c>
      <c r="K496" s="5" t="n">
        <v>111000</v>
      </c>
      <c r="L496" s="6" t="n">
        <v>141000</v>
      </c>
      <c r="M496" s="5" t="n"/>
      <c r="N496" s="5">
        <f>IF(AND(ISNUMBER(M496),ISNUMBER(L496)),M496-L496,"")</f>
        <v/>
      </c>
      <c r="O496" s="7">
        <f>IF(AND(ISNUMBER(M496),ISNUMBER(L496),L496&gt;0),(M496-L496)/L496,"")</f>
        <v/>
      </c>
      <c r="P496" s="3">
        <f>IF(O496="","",IF(O496&lt;-0.02,"🔴 Bán phá giá sàn",IF(O496&gt;0.05,"🔵 Bán cao hơn","🟢 Đúng giá sàn TMĐT")))</f>
        <v/>
      </c>
      <c r="Q496" s="3" t="n"/>
      <c r="R496" s="4" t="n"/>
      <c r="S496" s="4" t="n"/>
    </row>
    <row r="497">
      <c r="A497" s="3" t="n">
        <v>496</v>
      </c>
      <c r="B497" s="3" t="inlineStr">
        <is>
          <t>KH002</t>
        </is>
      </c>
      <c r="C497" s="4" t="inlineStr">
        <is>
          <t>Nguyễn Hoàng Phú</t>
        </is>
      </c>
      <c r="D497" s="3" t="inlineStr">
        <is>
          <t>HCM</t>
        </is>
      </c>
      <c r="E497" s="3" t="inlineStr">
        <is>
          <t>BẢO TRÂM</t>
        </is>
      </c>
      <c r="F497" s="3" t="inlineStr">
        <is>
          <t>Shopee</t>
        </is>
      </c>
      <c r="G497" s="3" t="inlineStr">
        <is>
          <t>R1-27/25</t>
        </is>
      </c>
      <c r="H497" s="4" t="inlineStr">
        <is>
          <t>Mũi khoét hợp kim Kingblue R1-27/25</t>
        </is>
      </c>
      <c r="I497" s="3" t="inlineStr">
        <is>
          <t>Cái</t>
        </is>
      </c>
      <c r="J497" s="5" t="n">
        <v>99000</v>
      </c>
      <c r="K497" s="5" t="n">
        <v>121000</v>
      </c>
      <c r="L497" s="6" t="n">
        <v>154000</v>
      </c>
      <c r="M497" s="5" t="n"/>
      <c r="N497" s="5">
        <f>IF(AND(ISNUMBER(M497),ISNUMBER(L497)),M497-L497,"")</f>
        <v/>
      </c>
      <c r="O497" s="7">
        <f>IF(AND(ISNUMBER(M497),ISNUMBER(L497),L497&gt;0),(M497-L497)/L497,"")</f>
        <v/>
      </c>
      <c r="P497" s="3">
        <f>IF(O497="","",IF(O497&lt;-0.02,"🔴 Bán phá giá sàn",IF(O497&gt;0.05,"🔵 Bán cao hơn","🟢 Đúng giá sàn TMĐT")))</f>
        <v/>
      </c>
      <c r="Q497" s="3" t="n"/>
      <c r="R497" s="4" t="n"/>
      <c r="S497" s="4" t="n"/>
    </row>
    <row r="498">
      <c r="A498" s="3" t="n">
        <v>497</v>
      </c>
      <c r="B498" s="3" t="inlineStr">
        <is>
          <t>KH002</t>
        </is>
      </c>
      <c r="C498" s="4" t="inlineStr">
        <is>
          <t>Nguyễn Hoàng Phú</t>
        </is>
      </c>
      <c r="D498" s="3" t="inlineStr">
        <is>
          <t>HCM</t>
        </is>
      </c>
      <c r="E498" s="3" t="inlineStr">
        <is>
          <t>BẢO TRÂM</t>
        </is>
      </c>
      <c r="F498" s="3" t="inlineStr">
        <is>
          <t>Shopee</t>
        </is>
      </c>
      <c r="G498" s="3" t="inlineStr">
        <is>
          <t>R1-30/25</t>
        </is>
      </c>
      <c r="H498" s="4" t="inlineStr">
        <is>
          <t>Mũi khoét hợp kim Kingblue R1-30/25</t>
        </is>
      </c>
      <c r="I498" s="3" t="inlineStr">
        <is>
          <t>Cái</t>
        </is>
      </c>
      <c r="J498" s="5" t="n">
        <v>112000</v>
      </c>
      <c r="K498" s="5" t="n">
        <v>137000</v>
      </c>
      <c r="L498" s="6" t="n">
        <v>174000</v>
      </c>
      <c r="M498" s="5" t="n"/>
      <c r="N498" s="5">
        <f>IF(AND(ISNUMBER(M498),ISNUMBER(L498)),M498-L498,"")</f>
        <v/>
      </c>
      <c r="O498" s="7">
        <f>IF(AND(ISNUMBER(M498),ISNUMBER(L498),L498&gt;0),(M498-L498)/L498,"")</f>
        <v/>
      </c>
      <c r="P498" s="3">
        <f>IF(O498="","",IF(O498&lt;-0.02,"🔴 Bán phá giá sàn",IF(O498&gt;0.05,"🔵 Bán cao hơn","🟢 Đúng giá sàn TMĐT")))</f>
        <v/>
      </c>
      <c r="Q498" s="3" t="n"/>
      <c r="R498" s="4" t="n"/>
      <c r="S498" s="4" t="n"/>
    </row>
    <row r="499">
      <c r="A499" s="3" t="n">
        <v>498</v>
      </c>
      <c r="B499" s="3" t="inlineStr">
        <is>
          <t>KH002</t>
        </is>
      </c>
      <c r="C499" s="4" t="inlineStr">
        <is>
          <t>Nguyễn Hoàng Phú</t>
        </is>
      </c>
      <c r="D499" s="3" t="inlineStr">
        <is>
          <t>HCM</t>
        </is>
      </c>
      <c r="E499" s="3" t="inlineStr">
        <is>
          <t>BẢO TRÂM</t>
        </is>
      </c>
      <c r="F499" s="3" t="inlineStr">
        <is>
          <t>Shopee</t>
        </is>
      </c>
      <c r="G499" s="3" t="inlineStr">
        <is>
          <t>R1-40/25</t>
        </is>
      </c>
      <c r="H499" s="4" t="inlineStr">
        <is>
          <t>Mũi khoét hợp kim Kingblue R1-40/25</t>
        </is>
      </c>
      <c r="I499" s="3" t="inlineStr">
        <is>
          <t>Cái</t>
        </is>
      </c>
      <c r="J499" s="5" t="n">
        <v>145000</v>
      </c>
      <c r="K499" s="5" t="n">
        <v>177000</v>
      </c>
      <c r="L499" s="6" t="n">
        <v>225000</v>
      </c>
      <c r="M499" s="5" t="n"/>
      <c r="N499" s="5">
        <f>IF(AND(ISNUMBER(M499),ISNUMBER(L499)),M499-L499,"")</f>
        <v/>
      </c>
      <c r="O499" s="7">
        <f>IF(AND(ISNUMBER(M499),ISNUMBER(L499),L499&gt;0),(M499-L499)/L499,"")</f>
        <v/>
      </c>
      <c r="P499" s="3">
        <f>IF(O499="","",IF(O499&lt;-0.02,"🔴 Bán phá giá sàn",IF(O499&gt;0.05,"🔵 Bán cao hơn","🟢 Đúng giá sàn TMĐT")))</f>
        <v/>
      </c>
      <c r="Q499" s="3" t="n"/>
      <c r="R499" s="4" t="n"/>
      <c r="S499" s="4" t="n"/>
    </row>
    <row r="500">
      <c r="A500" s="3" t="n">
        <v>499</v>
      </c>
      <c r="B500" s="3" t="inlineStr">
        <is>
          <t>KH002</t>
        </is>
      </c>
      <c r="C500" s="4" t="inlineStr">
        <is>
          <t>Nguyễn Hoàng Phú</t>
        </is>
      </c>
      <c r="D500" s="3" t="inlineStr">
        <is>
          <t>HCM</t>
        </is>
      </c>
      <c r="E500" s="3" t="inlineStr">
        <is>
          <t>BẢO TRÂM</t>
        </is>
      </c>
      <c r="F500" s="3" t="inlineStr">
        <is>
          <t>Shopee</t>
        </is>
      </c>
      <c r="G500" s="3" t="inlineStr">
        <is>
          <t>KZ-40</t>
        </is>
      </c>
      <c r="H500" s="4" t="inlineStr">
        <is>
          <t>Nhám xếp KingBlue KZ-40 (NEW)</t>
        </is>
      </c>
      <c r="I500" s="3" t="inlineStr">
        <is>
          <t>Cái</t>
        </is>
      </c>
      <c r="J500" s="5" t="n">
        <v>269000</v>
      </c>
      <c r="K500" s="5" t="n">
        <v>317000</v>
      </c>
      <c r="L500" s="6" t="n">
        <v>390000</v>
      </c>
      <c r="M500" s="5" t="n"/>
      <c r="N500" s="5">
        <f>IF(AND(ISNUMBER(M500),ISNUMBER(L500)),M500-L500,"")</f>
        <v/>
      </c>
      <c r="O500" s="7">
        <f>IF(AND(ISNUMBER(M500),ISNUMBER(L500),L500&gt;0),(M500-L500)/L500,"")</f>
        <v/>
      </c>
      <c r="P500" s="3">
        <f>IF(O500="","",IF(O500&lt;-0.02,"🔴 Bán phá giá sàn",IF(O500&gt;0.05,"🔵 Bán cao hơn","🟢 Đúng giá sàn TMĐT")))</f>
        <v/>
      </c>
      <c r="Q500" s="3" t="n"/>
      <c r="R500" s="4" t="n"/>
      <c r="S500" s="4" t="n"/>
    </row>
    <row r="501">
      <c r="A501" s="3" t="n">
        <v>500</v>
      </c>
      <c r="B501" s="3" t="inlineStr">
        <is>
          <t>KH002</t>
        </is>
      </c>
      <c r="C501" s="4" t="inlineStr">
        <is>
          <t>Nguyễn Hoàng Phú</t>
        </is>
      </c>
      <c r="D501" s="3" t="inlineStr">
        <is>
          <t>HCM</t>
        </is>
      </c>
      <c r="E501" s="3" t="inlineStr">
        <is>
          <t>BẢO TRÂM</t>
        </is>
      </c>
      <c r="F501" s="3" t="inlineStr">
        <is>
          <t>Shopee</t>
        </is>
      </c>
      <c r="G501" s="3" t="inlineStr">
        <is>
          <t>KZ-80</t>
        </is>
      </c>
      <c r="H501" s="4" t="inlineStr">
        <is>
          <t>Nhám xếp KingBlue KZ-80 (NEW)</t>
        </is>
      </c>
      <c r="I501" s="3" t="inlineStr">
        <is>
          <t>Cái</t>
        </is>
      </c>
      <c r="J501" s="5" t="n">
        <v>269000</v>
      </c>
      <c r="K501" s="5" t="n">
        <v>317000</v>
      </c>
      <c r="L501" s="6" t="n">
        <v>390000</v>
      </c>
      <c r="M501" s="5" t="n"/>
      <c r="N501" s="5">
        <f>IF(AND(ISNUMBER(M501),ISNUMBER(L501)),M501-L501,"")</f>
        <v/>
      </c>
      <c r="O501" s="7">
        <f>IF(AND(ISNUMBER(M501),ISNUMBER(L501),L501&gt;0),(M501-L501)/L501,"")</f>
        <v/>
      </c>
      <c r="P501" s="3">
        <f>IF(O501="","",IF(O501&lt;-0.02,"🔴 Bán phá giá sàn",IF(O501&gt;0.05,"🔵 Bán cao hơn","🟢 Đúng giá sàn TMĐT")))</f>
        <v/>
      </c>
      <c r="Q501" s="3" t="n"/>
      <c r="R501" s="4" t="n"/>
      <c r="S501" s="4" t="n"/>
    </row>
    <row r="502">
      <c r="A502" s="3" t="n">
        <v>501</v>
      </c>
      <c r="B502" s="3" t="inlineStr">
        <is>
          <t>KH002</t>
        </is>
      </c>
      <c r="C502" s="4" t="inlineStr">
        <is>
          <t>Nguyễn Hoàng Phú</t>
        </is>
      </c>
      <c r="D502" s="3" t="inlineStr">
        <is>
          <t>HCM</t>
        </is>
      </c>
      <c r="E502" s="3" t="inlineStr">
        <is>
          <t>BẢO TRÂM</t>
        </is>
      </c>
      <c r="F502" s="3" t="inlineStr">
        <is>
          <t>Shopee</t>
        </is>
      </c>
      <c r="G502" s="3" t="inlineStr">
        <is>
          <t>KYV40</t>
        </is>
      </c>
      <c r="H502" s="4" t="inlineStr">
        <is>
          <t>Ổ khóa KYV40</t>
        </is>
      </c>
      <c r="I502" s="3" t="inlineStr">
        <is>
          <t>Cái</t>
        </is>
      </c>
      <c r="J502" s="5" t="n">
        <v>62000</v>
      </c>
      <c r="K502" s="5" t="n">
        <v>72000</v>
      </c>
      <c r="L502" s="6" t="n">
        <v>87000</v>
      </c>
      <c r="M502" s="5" t="n"/>
      <c r="N502" s="5">
        <f>IF(AND(ISNUMBER(M502),ISNUMBER(L502)),M502-L502,"")</f>
        <v/>
      </c>
      <c r="O502" s="7">
        <f>IF(AND(ISNUMBER(M502),ISNUMBER(L502),L502&gt;0),(M502-L502)/L502,"")</f>
        <v/>
      </c>
      <c r="P502" s="3">
        <f>IF(O502="","",IF(O502&lt;-0.02,"🔴 Bán phá giá sàn",IF(O502&gt;0.05,"🔵 Bán cao hơn","🟢 Đúng giá sàn TMĐT")))</f>
        <v/>
      </c>
      <c r="Q502" s="3" t="n"/>
      <c r="R502" s="4" t="n"/>
      <c r="S502" s="4" t="n"/>
    </row>
    <row r="503">
      <c r="A503" s="3" t="n">
        <v>502</v>
      </c>
      <c r="B503" s="3" t="inlineStr">
        <is>
          <t>KH002</t>
        </is>
      </c>
      <c r="C503" s="4" t="inlineStr">
        <is>
          <t>Nguyễn Hoàng Phú</t>
        </is>
      </c>
      <c r="D503" s="3" t="inlineStr">
        <is>
          <t>HCM</t>
        </is>
      </c>
      <c r="E503" s="3" t="inlineStr">
        <is>
          <t>BẢO TRÂM</t>
        </is>
      </c>
      <c r="F503" s="3" t="inlineStr">
        <is>
          <t>Shopee</t>
        </is>
      </c>
      <c r="G503" s="3" t="inlineStr">
        <is>
          <t>KF-103</t>
        </is>
      </c>
      <c r="H503" s="4" t="inlineStr">
        <is>
          <t>Súng bắn ghim KF-103</t>
        </is>
      </c>
      <c r="I503" s="3" t="inlineStr">
        <is>
          <t>Cái</t>
        </is>
      </c>
      <c r="J503" s="5" t="n">
        <v>143000</v>
      </c>
      <c r="K503" s="5" t="n">
        <v>169000</v>
      </c>
      <c r="L503" s="6" t="n">
        <v>207000</v>
      </c>
      <c r="M503" s="5" t="n"/>
      <c r="N503" s="5">
        <f>IF(AND(ISNUMBER(M503),ISNUMBER(L503)),M503-L503,"")</f>
        <v/>
      </c>
      <c r="O503" s="7">
        <f>IF(AND(ISNUMBER(M503),ISNUMBER(L503),L503&gt;0),(M503-L503)/L503,"")</f>
        <v/>
      </c>
      <c r="P503" s="3">
        <f>IF(O503="","",IF(O503&lt;-0.02,"🔴 Bán phá giá sàn",IF(O503&gt;0.05,"🔵 Bán cao hơn","🟢 Đúng giá sàn TMĐT")))</f>
        <v/>
      </c>
      <c r="Q503" s="3" t="n"/>
      <c r="R503" s="4" t="n"/>
      <c r="S503" s="4" t="n"/>
    </row>
    <row r="504">
      <c r="A504" s="3" t="n">
        <v>503</v>
      </c>
      <c r="B504" s="3" t="inlineStr">
        <is>
          <t>KH002</t>
        </is>
      </c>
      <c r="C504" s="4" t="inlineStr">
        <is>
          <t>Nguyễn Hoàng Phú</t>
        </is>
      </c>
      <c r="D504" s="3" t="inlineStr">
        <is>
          <t>HCM</t>
        </is>
      </c>
      <c r="E504" s="3" t="inlineStr">
        <is>
          <t>BẢO TRÂM</t>
        </is>
      </c>
      <c r="F504" s="3" t="inlineStr">
        <is>
          <t>Shopee</t>
        </is>
      </c>
      <c r="G504" s="3" t="inlineStr">
        <is>
          <t>KAC100</t>
        </is>
      </c>
      <c r="H504" s="4" t="inlineStr">
        <is>
          <t>Súng bắn keo nến KAC100</t>
        </is>
      </c>
      <c r="I504" s="3" t="inlineStr">
        <is>
          <t>Cái</t>
        </is>
      </c>
      <c r="J504" s="5" t="n">
        <v>149000</v>
      </c>
      <c r="K504" s="5" t="n">
        <v>176000</v>
      </c>
      <c r="L504" s="6" t="n">
        <v>216000</v>
      </c>
      <c r="M504" s="5" t="n"/>
      <c r="N504" s="5">
        <f>IF(AND(ISNUMBER(M504),ISNUMBER(L504)),M504-L504,"")</f>
        <v/>
      </c>
      <c r="O504" s="7">
        <f>IF(AND(ISNUMBER(M504),ISNUMBER(L504),L504&gt;0),(M504-L504)/L504,"")</f>
        <v/>
      </c>
      <c r="P504" s="3">
        <f>IF(O504="","",IF(O504&lt;-0.02,"🔴 Bán phá giá sàn",IF(O504&gt;0.05,"🔵 Bán cao hơn","🟢 Đúng giá sàn TMĐT")))</f>
        <v/>
      </c>
      <c r="Q504" s="3" t="n"/>
      <c r="R504" s="4" t="n"/>
      <c r="S504" s="4" t="n"/>
    </row>
    <row r="505">
      <c r="A505" s="3" t="n">
        <v>504</v>
      </c>
      <c r="B505" s="3" t="inlineStr">
        <is>
          <t>KH002</t>
        </is>
      </c>
      <c r="C505" s="4" t="inlineStr">
        <is>
          <t>Nguyễn Hoàng Phú</t>
        </is>
      </c>
      <c r="D505" s="3" t="inlineStr">
        <is>
          <t>HCM</t>
        </is>
      </c>
      <c r="E505" s="3" t="inlineStr">
        <is>
          <t>BẢO TRÂM</t>
        </is>
      </c>
      <c r="F505" s="3" t="inlineStr">
        <is>
          <t>Shopee</t>
        </is>
      </c>
      <c r="G505" s="3" t="inlineStr">
        <is>
          <t>KAC20</t>
        </is>
      </c>
      <c r="H505" s="4" t="inlineStr">
        <is>
          <t>Súng bắn keo nến KAC20</t>
        </is>
      </c>
      <c r="I505" s="3" t="inlineStr">
        <is>
          <t>Cái</t>
        </is>
      </c>
      <c r="J505" s="5" t="n">
        <v>87000</v>
      </c>
      <c r="K505" s="5" t="n">
        <v>103000</v>
      </c>
      <c r="L505" s="6" t="n">
        <v>126000</v>
      </c>
      <c r="M505" s="5" t="n"/>
      <c r="N505" s="5">
        <f>IF(AND(ISNUMBER(M505),ISNUMBER(L505)),M505-L505,"")</f>
        <v/>
      </c>
      <c r="O505" s="7">
        <f>IF(AND(ISNUMBER(M505),ISNUMBER(L505),L505&gt;0),(M505-L505)/L505,"")</f>
        <v/>
      </c>
      <c r="P505" s="3">
        <f>IF(O505="","",IF(O505&lt;-0.02,"🔴 Bán phá giá sàn",IF(O505&gt;0.05,"🔵 Bán cao hơn","🟢 Đúng giá sàn TMĐT")))</f>
        <v/>
      </c>
      <c r="Q505" s="3" t="n"/>
      <c r="R505" s="4" t="n"/>
      <c r="S505" s="4" t="n"/>
    </row>
    <row r="506">
      <c r="A506" s="3" t="n">
        <v>505</v>
      </c>
      <c r="B506" s="3" t="inlineStr">
        <is>
          <t>KH002</t>
        </is>
      </c>
      <c r="C506" s="4" t="inlineStr">
        <is>
          <t>Nguyễn Hoàng Phú</t>
        </is>
      </c>
      <c r="D506" s="3" t="inlineStr">
        <is>
          <t>HCM</t>
        </is>
      </c>
      <c r="E506" s="3" t="inlineStr">
        <is>
          <t>BẢO TRÂM</t>
        </is>
      </c>
      <c r="F506" s="3" t="inlineStr">
        <is>
          <t>Shopee</t>
        </is>
      </c>
      <c r="G506" s="3" t="inlineStr">
        <is>
          <t>KBO-X0215</t>
        </is>
      </c>
      <c r="H506" s="4" t="inlineStr">
        <is>
          <t>Súng Xịt Hơi KBO-X0215</t>
        </is>
      </c>
      <c r="I506" s="3" t="inlineStr">
        <is>
          <t>Cái</t>
        </is>
      </c>
      <c r="J506" s="5" t="n">
        <v>97000</v>
      </c>
      <c r="K506" s="5" t="n">
        <v>115000</v>
      </c>
      <c r="L506" s="6" t="n">
        <v>141000</v>
      </c>
      <c r="M506" s="5" t="n"/>
      <c r="N506" s="5">
        <f>IF(AND(ISNUMBER(M506),ISNUMBER(L506)),M506-L506,"")</f>
        <v/>
      </c>
      <c r="O506" s="7">
        <f>IF(AND(ISNUMBER(M506),ISNUMBER(L506),L506&gt;0),(M506-L506)/L506,"")</f>
        <v/>
      </c>
      <c r="P506" s="3">
        <f>IF(O506="","",IF(O506&lt;-0.02,"🔴 Bán phá giá sàn",IF(O506&gt;0.05,"🔵 Bán cao hơn","🟢 Đúng giá sàn TMĐT")))</f>
        <v/>
      </c>
      <c r="Q506" s="3" t="n"/>
      <c r="R506" s="4" t="n"/>
      <c r="S506" s="4" t="n"/>
    </row>
    <row r="507">
      <c r="A507" s="3" t="n">
        <v>506</v>
      </c>
      <c r="B507" s="3" t="inlineStr">
        <is>
          <t>KH002</t>
        </is>
      </c>
      <c r="C507" s="4" t="inlineStr">
        <is>
          <t>Nguyễn Hoàng Phú</t>
        </is>
      </c>
      <c r="D507" s="3" t="inlineStr">
        <is>
          <t>HCM</t>
        </is>
      </c>
      <c r="E507" s="3" t="inlineStr">
        <is>
          <t>BẢO TRÂM</t>
        </is>
      </c>
      <c r="F507" s="3" t="inlineStr">
        <is>
          <t>Shopee</t>
        </is>
      </c>
      <c r="G507" s="3" t="inlineStr">
        <is>
          <t>KV3-6*150</t>
        </is>
      </c>
      <c r="H507" s="4" t="inlineStr">
        <is>
          <t>Tuốc nơ vít 2 đầu tịnh tiến KV3-6*150</t>
        </is>
      </c>
      <c r="I507" s="3" t="inlineStr">
        <is>
          <t>Cái</t>
        </is>
      </c>
      <c r="J507" s="5" t="n">
        <v>51000</v>
      </c>
      <c r="K507" s="5" t="n">
        <v>60000</v>
      </c>
      <c r="L507" s="6" t="n">
        <v>74000</v>
      </c>
      <c r="M507" s="5" t="n"/>
      <c r="N507" s="5">
        <f>IF(AND(ISNUMBER(M507),ISNUMBER(L507)),M507-L507,"")</f>
        <v/>
      </c>
      <c r="O507" s="7">
        <f>IF(AND(ISNUMBER(M507),ISNUMBER(L507),L507&gt;0),(M507-L507)/L507,"")</f>
        <v/>
      </c>
      <c r="P507" s="3">
        <f>IF(O507="","",IF(O507&lt;-0.02,"🔴 Bán phá giá sàn",IF(O507&gt;0.05,"🔵 Bán cao hơn","🟢 Đúng giá sàn TMĐT")))</f>
        <v/>
      </c>
      <c r="Q507" s="3" t="n"/>
      <c r="R507" s="4" t="n"/>
      <c r="S507" s="4" t="n"/>
    </row>
    <row r="508">
      <c r="A508" s="3" t="n">
        <v>507</v>
      </c>
      <c r="B508" s="3" t="inlineStr">
        <is>
          <t>KH002</t>
        </is>
      </c>
      <c r="C508" s="4" t="inlineStr">
        <is>
          <t>Nguyễn Hoàng Phú</t>
        </is>
      </c>
      <c r="D508" s="3" t="inlineStr">
        <is>
          <t>HCM</t>
        </is>
      </c>
      <c r="E508" s="3" t="inlineStr">
        <is>
          <t>BẢO TRÂM</t>
        </is>
      </c>
      <c r="F508" s="3" t="inlineStr">
        <is>
          <t>Shopee</t>
        </is>
      </c>
      <c r="G508" s="3" t="inlineStr">
        <is>
          <t>KV4-6*38</t>
        </is>
      </c>
      <c r="H508" s="4" t="inlineStr">
        <is>
          <t>Tuốc nơ vít tự động 3 chức năng S2 KV4-6*38</t>
        </is>
      </c>
      <c r="I508" s="3" t="inlineStr">
        <is>
          <t>Cái</t>
        </is>
      </c>
      <c r="J508" s="5" t="n">
        <v>68000</v>
      </c>
      <c r="K508" s="5" t="n">
        <v>80000</v>
      </c>
      <c r="L508" s="6" t="n">
        <v>99000</v>
      </c>
      <c r="M508" s="5" t="n"/>
      <c r="N508" s="5">
        <f>IF(AND(ISNUMBER(M508),ISNUMBER(L508)),M508-L508,"")</f>
        <v/>
      </c>
      <c r="O508" s="7">
        <f>IF(AND(ISNUMBER(M508),ISNUMBER(L508),L508&gt;0),(M508-L508)/L508,"")</f>
        <v/>
      </c>
      <c r="P508" s="3">
        <f>IF(O508="","",IF(O508&lt;-0.02,"🔴 Bán phá giá sàn",IF(O508&gt;0.05,"🔵 Bán cao hơn","🟢 Đúng giá sàn TMĐT")))</f>
        <v/>
      </c>
      <c r="Q508" s="3" t="n"/>
      <c r="R508" s="4" t="n"/>
      <c r="S508" s="4" t="n"/>
    </row>
    <row r="509">
      <c r="A509" s="3" t="n">
        <v>508</v>
      </c>
      <c r="B509" s="3" t="inlineStr">
        <is>
          <t>KH002</t>
        </is>
      </c>
      <c r="C509" s="4" t="inlineStr">
        <is>
          <t>Nguyễn Hoàng Phú</t>
        </is>
      </c>
      <c r="D509" s="3" t="inlineStr">
        <is>
          <t>HCM</t>
        </is>
      </c>
      <c r="E509" s="3" t="inlineStr">
        <is>
          <t>BẢO TRÂM</t>
        </is>
      </c>
      <c r="F509" s="3" t="inlineStr">
        <is>
          <t>Shopee</t>
        </is>
      </c>
      <c r="G509" s="3" t="inlineStr">
        <is>
          <t>MC-30.16</t>
        </is>
      </c>
      <c r="H509" s="4" t="inlineStr">
        <is>
          <t>Thước Cuộn MC-30.16</t>
        </is>
      </c>
      <c r="I509" s="3" t="inlineStr">
        <is>
          <t>Cái</t>
        </is>
      </c>
      <c r="J509" s="5" t="n">
        <v>37000</v>
      </c>
      <c r="K509" s="5" t="n">
        <v>44000</v>
      </c>
      <c r="L509" s="6" t="n">
        <v>54000</v>
      </c>
      <c r="M509" s="5" t="n"/>
      <c r="N509" s="5">
        <f>IF(AND(ISNUMBER(M509),ISNUMBER(L509)),M509-L509,"")</f>
        <v/>
      </c>
      <c r="O509" s="7">
        <f>IF(AND(ISNUMBER(M509),ISNUMBER(L509),L509&gt;0),(M509-L509)/L509,"")</f>
        <v/>
      </c>
      <c r="P509" s="3">
        <f>IF(O509="","",IF(O509&lt;-0.02,"🔴 Bán phá giá sàn",IF(O509&gt;0.05,"🔵 Bán cao hơn","🟢 Đúng giá sàn TMĐT")))</f>
        <v/>
      </c>
      <c r="Q509" s="3" t="n"/>
      <c r="R509" s="4" t="n"/>
      <c r="S509" s="4" t="n"/>
    </row>
    <row r="510">
      <c r="A510" s="3" t="n">
        <v>509</v>
      </c>
      <c r="B510" s="3" t="inlineStr">
        <is>
          <t>KH002</t>
        </is>
      </c>
      <c r="C510" s="4" t="inlineStr">
        <is>
          <t>Nguyễn Hoàng Phú</t>
        </is>
      </c>
      <c r="D510" s="3" t="inlineStr">
        <is>
          <t>HCM</t>
        </is>
      </c>
      <c r="E510" s="3" t="inlineStr">
        <is>
          <t>BẢO TRÂM</t>
        </is>
      </c>
      <c r="F510" s="3" t="inlineStr">
        <is>
          <t>Shopee</t>
        </is>
      </c>
      <c r="G510" s="3" t="inlineStr">
        <is>
          <t>MC-50.25</t>
        </is>
      </c>
      <c r="H510" s="4" t="inlineStr">
        <is>
          <t>Thước Cuộn MC-50.25</t>
        </is>
      </c>
      <c r="I510" s="3" t="inlineStr">
        <is>
          <t>Cái</t>
        </is>
      </c>
      <c r="J510" s="5" t="n">
        <v>59000</v>
      </c>
      <c r="K510" s="5" t="n">
        <v>70000</v>
      </c>
      <c r="L510" s="6" t="n">
        <v>86000</v>
      </c>
      <c r="M510" s="5" t="n"/>
      <c r="N510" s="5">
        <f>IF(AND(ISNUMBER(M510),ISNUMBER(L510)),M510-L510,"")</f>
        <v/>
      </c>
      <c r="O510" s="7">
        <f>IF(AND(ISNUMBER(M510),ISNUMBER(L510),L510&gt;0),(M510-L510)/L510,"")</f>
        <v/>
      </c>
      <c r="P510" s="3">
        <f>IF(O510="","",IF(O510&lt;-0.02,"🔴 Bán phá giá sàn",IF(O510&gt;0.05,"🔵 Bán cao hơn","🟢 Đúng giá sàn TMĐT")))</f>
        <v/>
      </c>
      <c r="Q510" s="3" t="n"/>
      <c r="R510" s="4" t="n"/>
      <c r="S510" s="4" t="n"/>
    </row>
    <row r="511">
      <c r="A511" s="3" t="n">
        <v>510</v>
      </c>
      <c r="B511" s="3" t="inlineStr">
        <is>
          <t>KH002</t>
        </is>
      </c>
      <c r="C511" s="4" t="inlineStr">
        <is>
          <t>Nguyễn Hoàng Phú</t>
        </is>
      </c>
      <c r="D511" s="3" t="inlineStr">
        <is>
          <t>HCM</t>
        </is>
      </c>
      <c r="E511" s="3" t="inlineStr">
        <is>
          <t>BẢO TRÂM</t>
        </is>
      </c>
      <c r="F511" s="3" t="inlineStr">
        <is>
          <t>Shopee</t>
        </is>
      </c>
      <c r="G511" s="3" t="inlineStr">
        <is>
          <t>MC-80.25</t>
        </is>
      </c>
      <c r="H511" s="4" t="inlineStr">
        <is>
          <t>Thước Cuộn MC-80.25</t>
        </is>
      </c>
      <c r="I511" s="3" t="inlineStr">
        <is>
          <t>Cái</t>
        </is>
      </c>
      <c r="J511" s="5" t="n">
        <v>79000</v>
      </c>
      <c r="K511" s="5" t="n">
        <v>93000</v>
      </c>
      <c r="L511" s="6" t="n">
        <v>115000</v>
      </c>
      <c r="M511" s="5" t="n"/>
      <c r="N511" s="5">
        <f>IF(AND(ISNUMBER(M511),ISNUMBER(L511)),M511-L511,"")</f>
        <v/>
      </c>
      <c r="O511" s="7">
        <f>IF(AND(ISNUMBER(M511),ISNUMBER(L511),L511&gt;0),(M511-L511)/L511,"")</f>
        <v/>
      </c>
      <c r="P511" s="3">
        <f>IF(O511="","",IF(O511&lt;-0.02,"🔴 Bán phá giá sàn",IF(O511&gt;0.05,"🔵 Bán cao hơn","🟢 Đúng giá sàn TMĐT")))</f>
        <v/>
      </c>
      <c r="Q511" s="3" t="n"/>
      <c r="R511" s="4" t="n"/>
      <c r="S511" s="4" t="n"/>
    </row>
    <row r="512">
      <c r="A512" s="3" t="n">
        <v>511</v>
      </c>
      <c r="B512" s="3" t="inlineStr">
        <is>
          <t>KH002</t>
        </is>
      </c>
      <c r="C512" s="4" t="inlineStr">
        <is>
          <t>Nguyễn Hoàng Phú</t>
        </is>
      </c>
      <c r="D512" s="3" t="inlineStr">
        <is>
          <t>HCM</t>
        </is>
      </c>
      <c r="E512" s="3" t="inlineStr">
        <is>
          <t>BẢO TRÂM</t>
        </is>
      </c>
      <c r="F512" s="3" t="inlineStr">
        <is>
          <t>Shopee</t>
        </is>
      </c>
      <c r="G512" s="3" t="inlineStr">
        <is>
          <t>LC-20.13</t>
        </is>
      </c>
      <c r="H512" s="4" t="inlineStr">
        <is>
          <t>Thước kéo LC-20.13</t>
        </is>
      </c>
      <c r="I512" s="3" t="inlineStr">
        <is>
          <t>Cái</t>
        </is>
      </c>
      <c r="J512" s="5" t="n">
        <v>25000</v>
      </c>
      <c r="K512" s="5" t="n">
        <v>29000</v>
      </c>
      <c r="L512" s="6" t="n">
        <v>36000</v>
      </c>
      <c r="M512" s="5" t="n"/>
      <c r="N512" s="5">
        <f>IF(AND(ISNUMBER(M512),ISNUMBER(L512)),M512-L512,"")</f>
        <v/>
      </c>
      <c r="O512" s="7">
        <f>IF(AND(ISNUMBER(M512),ISNUMBER(L512),L512&gt;0),(M512-L512)/L512,"")</f>
        <v/>
      </c>
      <c r="P512" s="3">
        <f>IF(O512="","",IF(O512&lt;-0.02,"🔴 Bán phá giá sàn",IF(O512&gt;0.05,"🔵 Bán cao hơn","🟢 Đúng giá sàn TMĐT")))</f>
        <v/>
      </c>
      <c r="Q512" s="3" t="n"/>
      <c r="R512" s="4" t="n"/>
      <c r="S512" s="4" t="n"/>
    </row>
    <row r="513">
      <c r="A513" s="3" t="n">
        <v>512</v>
      </c>
      <c r="B513" s="3" t="inlineStr">
        <is>
          <t>KH002</t>
        </is>
      </c>
      <c r="C513" s="4" t="inlineStr">
        <is>
          <t>Nguyễn Hoàng Phú</t>
        </is>
      </c>
      <c r="D513" s="3" t="inlineStr">
        <is>
          <t>HCM</t>
        </is>
      </c>
      <c r="E513" s="3" t="inlineStr">
        <is>
          <t>BẢO TRÂM</t>
        </is>
      </c>
      <c r="F513" s="3" t="inlineStr">
        <is>
          <t>Shopee</t>
        </is>
      </c>
      <c r="G513" s="3" t="inlineStr">
        <is>
          <t>TK-150</t>
        </is>
      </c>
      <c r="H513" s="4" t="inlineStr">
        <is>
          <t>Thước kẹp cơ TK-150</t>
        </is>
      </c>
      <c r="I513" s="3" t="inlineStr">
        <is>
          <t>Cái</t>
        </is>
      </c>
      <c r="J513" s="5" t="n">
        <v>182000</v>
      </c>
      <c r="K513" s="5" t="n">
        <v>215000</v>
      </c>
      <c r="L513" s="6" t="n">
        <v>264000</v>
      </c>
      <c r="M513" s="5" t="n"/>
      <c r="N513" s="5">
        <f>IF(AND(ISNUMBER(M513),ISNUMBER(L513)),M513-L513,"")</f>
        <v/>
      </c>
      <c r="O513" s="7">
        <f>IF(AND(ISNUMBER(M513),ISNUMBER(L513),L513&gt;0),(M513-L513)/L513,"")</f>
        <v/>
      </c>
      <c r="P513" s="3">
        <f>IF(O513="","",IF(O513&lt;-0.02,"🔴 Bán phá giá sàn",IF(O513&gt;0.05,"🔵 Bán cao hơn","🟢 Đúng giá sàn TMĐT")))</f>
        <v/>
      </c>
      <c r="Q513" s="3" t="n"/>
      <c r="R513" s="4" t="n"/>
      <c r="S513" s="4" t="n"/>
    </row>
    <row r="514">
      <c r="A514" s="3" t="n">
        <v>513</v>
      </c>
      <c r="B514" s="3" t="inlineStr">
        <is>
          <t>KH002</t>
        </is>
      </c>
      <c r="C514" s="4" t="inlineStr">
        <is>
          <t>Nguyễn Hoàng Phú</t>
        </is>
      </c>
      <c r="D514" s="3" t="inlineStr">
        <is>
          <t>HCM</t>
        </is>
      </c>
      <c r="E514" s="3" t="inlineStr">
        <is>
          <t>BẢO TRÂM</t>
        </is>
      </c>
      <c r="F514" s="3" t="inlineStr">
        <is>
          <t>Shopee</t>
        </is>
      </c>
      <c r="G514" s="3" t="inlineStr">
        <is>
          <t>KTT-25A</t>
        </is>
      </c>
      <c r="H514" s="4" t="inlineStr">
        <is>
          <t>Thước thủy KTT-25A</t>
        </is>
      </c>
      <c r="I514" s="3" t="inlineStr">
        <is>
          <t>Cái</t>
        </is>
      </c>
      <c r="J514" s="5" t="n">
        <v>35000</v>
      </c>
      <c r="K514" s="5" t="n">
        <v>41000</v>
      </c>
      <c r="L514" s="6" t="n">
        <v>51000</v>
      </c>
      <c r="M514" s="5" t="n"/>
      <c r="N514" s="5">
        <f>IF(AND(ISNUMBER(M514),ISNUMBER(L514)),M514-L514,"")</f>
        <v/>
      </c>
      <c r="O514" s="7">
        <f>IF(AND(ISNUMBER(M514),ISNUMBER(L514),L514&gt;0),(M514-L514)/L514,"")</f>
        <v/>
      </c>
      <c r="P514" s="3">
        <f>IF(O514="","",IF(O514&lt;-0.02,"🔴 Bán phá giá sàn",IF(O514&gt;0.05,"🔵 Bán cao hơn","🟢 Đúng giá sàn TMĐT")))</f>
        <v/>
      </c>
      <c r="Q514" s="3" t="n"/>
      <c r="R514" s="4" t="n"/>
      <c r="S514" s="4" t="n"/>
    </row>
    <row r="515">
      <c r="A515" s="3" t="n">
        <v>514</v>
      </c>
      <c r="B515" s="3" t="inlineStr">
        <is>
          <t>KH002</t>
        </is>
      </c>
      <c r="C515" s="4" t="inlineStr">
        <is>
          <t>Nguyễn Hoàng Phú</t>
        </is>
      </c>
      <c r="D515" s="3" t="inlineStr">
        <is>
          <t>HCM</t>
        </is>
      </c>
      <c r="E515" s="3" t="inlineStr">
        <is>
          <t>BẢO TRÂM</t>
        </is>
      </c>
      <c r="F515" s="3" t="inlineStr">
        <is>
          <t>Shopee</t>
        </is>
      </c>
      <c r="G515" s="3" t="inlineStr">
        <is>
          <t>KFJ-432</t>
        </is>
      </c>
      <c r="H515" s="4" t="inlineStr">
        <is>
          <t>Vít bê tông không dùng tắc kê KFJ-432</t>
        </is>
      </c>
      <c r="I515" s="3" t="inlineStr">
        <is>
          <t>Hộp</t>
        </is>
      </c>
      <c r="J515" s="5" t="n">
        <v>81000</v>
      </c>
      <c r="K515" s="5" t="n">
        <v>101000</v>
      </c>
      <c r="L515" s="6" t="n">
        <v>130000</v>
      </c>
      <c r="M515" s="5" t="n"/>
      <c r="N515" s="5">
        <f>IF(AND(ISNUMBER(M515),ISNUMBER(L515)),M515-L515,"")</f>
        <v/>
      </c>
      <c r="O515" s="7">
        <f>IF(AND(ISNUMBER(M515),ISNUMBER(L515),L515&gt;0),(M515-L515)/L515,"")</f>
        <v/>
      </c>
      <c r="P515" s="3">
        <f>IF(O515="","",IF(O515&lt;-0.02,"🔴 Bán phá giá sàn",IF(O515&gt;0.05,"🔵 Bán cao hơn","🟢 Đúng giá sàn TMĐT")))</f>
        <v/>
      </c>
      <c r="Q515" s="3" t="n"/>
      <c r="R515" s="4" t="n"/>
      <c r="S515" s="4" t="n"/>
    </row>
    <row r="516">
      <c r="A516" s="3" t="n">
        <v>515</v>
      </c>
      <c r="B516" s="3" t="inlineStr">
        <is>
          <t>KH002</t>
        </is>
      </c>
      <c r="C516" s="4" t="inlineStr">
        <is>
          <t>Nguyễn Hoàng Phú</t>
        </is>
      </c>
      <c r="D516" s="3" t="inlineStr">
        <is>
          <t>HCM</t>
        </is>
      </c>
      <c r="E516" s="3" t="inlineStr">
        <is>
          <t>BẢO TRÂM</t>
        </is>
      </c>
      <c r="F516" s="3" t="inlineStr">
        <is>
          <t>Shopee</t>
        </is>
      </c>
      <c r="G516" s="3" t="inlineStr">
        <is>
          <t>KFJ-438</t>
        </is>
      </c>
      <c r="H516" s="4" t="inlineStr">
        <is>
          <t>Vít bê tông không dùng tắc kê KFJ-438</t>
        </is>
      </c>
      <c r="I516" s="3" t="inlineStr">
        <is>
          <t>Hộp</t>
        </is>
      </c>
      <c r="J516" s="5" t="n">
        <v>81000</v>
      </c>
      <c r="K516" s="5" t="n">
        <v>101000</v>
      </c>
      <c r="L516" s="6" t="n">
        <v>130000</v>
      </c>
      <c r="M516" s="5" t="n"/>
      <c r="N516" s="5">
        <f>IF(AND(ISNUMBER(M516),ISNUMBER(L516)),M516-L516,"")</f>
        <v/>
      </c>
      <c r="O516" s="7">
        <f>IF(AND(ISNUMBER(M516),ISNUMBER(L516),L516&gt;0),(M516-L516)/L516,"")</f>
        <v/>
      </c>
      <c r="P516" s="3">
        <f>IF(O516="","",IF(O516&lt;-0.02,"🔴 Bán phá giá sàn",IF(O516&gt;0.05,"🔵 Bán cao hơn","🟢 Đúng giá sàn TMĐT")))</f>
        <v/>
      </c>
      <c r="Q516" s="3" t="n"/>
      <c r="R516" s="4" t="n"/>
      <c r="S516" s="4" t="n"/>
    </row>
    <row r="517">
      <c r="A517" s="3" t="n">
        <v>516</v>
      </c>
      <c r="B517" s="3" t="inlineStr">
        <is>
          <t>KH002</t>
        </is>
      </c>
      <c r="C517" s="4" t="inlineStr">
        <is>
          <t>Nguyễn Hoàng Phú</t>
        </is>
      </c>
      <c r="D517" s="3" t="inlineStr">
        <is>
          <t>HCM</t>
        </is>
      </c>
      <c r="E517" s="3" t="inlineStr">
        <is>
          <t>BẢO TRÂM</t>
        </is>
      </c>
      <c r="F517" s="3" t="inlineStr">
        <is>
          <t>Shopee</t>
        </is>
      </c>
      <c r="G517" s="3" t="inlineStr">
        <is>
          <t>KFJ-445</t>
        </is>
      </c>
      <c r="H517" s="4" t="inlineStr">
        <is>
          <t>Vít bê tông không dùng tắc kê KFJ-445</t>
        </is>
      </c>
      <c r="I517" s="3" t="inlineStr">
        <is>
          <t>Hộp</t>
        </is>
      </c>
      <c r="J517" s="5" t="n">
        <v>81000</v>
      </c>
      <c r="K517" s="5" t="n">
        <v>101000</v>
      </c>
      <c r="L517" s="6" t="n">
        <v>130000</v>
      </c>
      <c r="M517" s="5" t="n"/>
      <c r="N517" s="5">
        <f>IF(AND(ISNUMBER(M517),ISNUMBER(L517)),M517-L517,"")</f>
        <v/>
      </c>
      <c r="O517" s="7">
        <f>IF(AND(ISNUMBER(M517),ISNUMBER(L517),L517&gt;0),(M517-L517)/L517,"")</f>
        <v/>
      </c>
      <c r="P517" s="3">
        <f>IF(O517="","",IF(O517&lt;-0.02,"🔴 Bán phá giá sàn",IF(O517&gt;0.05,"🔵 Bán cao hơn","🟢 Đúng giá sàn TMĐT")))</f>
        <v/>
      </c>
      <c r="Q517" s="3" t="n"/>
      <c r="R517" s="4" t="n"/>
      <c r="S517" s="4" t="n"/>
    </row>
    <row r="518">
      <c r="A518" s="3" t="n">
        <v>517</v>
      </c>
      <c r="B518" s="3" t="inlineStr">
        <is>
          <t>KH002</t>
        </is>
      </c>
      <c r="C518" s="4" t="inlineStr">
        <is>
          <t>Nguyễn Hoàng Phú</t>
        </is>
      </c>
      <c r="D518" s="3" t="inlineStr">
        <is>
          <t>HCM</t>
        </is>
      </c>
      <c r="E518" s="3" t="inlineStr">
        <is>
          <t>BẢO TRÂM</t>
        </is>
      </c>
      <c r="F518" s="3" t="inlineStr">
        <is>
          <t>Shopee</t>
        </is>
      </c>
      <c r="G518" s="3" t="inlineStr">
        <is>
          <t>KFJ-535</t>
        </is>
      </c>
      <c r="H518" s="4" t="inlineStr">
        <is>
          <t>Vít bê tông không dùng tắc kê KFJ-535</t>
        </is>
      </c>
      <c r="I518" s="3" t="inlineStr">
        <is>
          <t>Hộp</t>
        </is>
      </c>
      <c r="J518" s="5" t="n">
        <v>81000</v>
      </c>
      <c r="K518" s="5" t="n">
        <v>101000</v>
      </c>
      <c r="L518" s="6" t="n">
        <v>130000</v>
      </c>
      <c r="M518" s="5" t="n"/>
      <c r="N518" s="5">
        <f>IF(AND(ISNUMBER(M518),ISNUMBER(L518)),M518-L518,"")</f>
        <v/>
      </c>
      <c r="O518" s="7">
        <f>IF(AND(ISNUMBER(M518),ISNUMBER(L518),L518&gt;0),(M518-L518)/L518,"")</f>
        <v/>
      </c>
      <c r="P518" s="3">
        <f>IF(O518="","",IF(O518&lt;-0.02,"🔴 Bán phá giá sàn",IF(O518&gt;0.05,"🔵 Bán cao hơn","🟢 Đúng giá sàn TMĐT")))</f>
        <v/>
      </c>
      <c r="Q518" s="3" t="n"/>
      <c r="R518" s="4" t="n"/>
      <c r="S518" s="4" t="n"/>
    </row>
    <row r="519">
      <c r="A519" s="3" t="n">
        <v>518</v>
      </c>
      <c r="B519" s="3" t="inlineStr">
        <is>
          <t>KH002</t>
        </is>
      </c>
      <c r="C519" s="4" t="inlineStr">
        <is>
          <t>Nguyễn Hoàng Phú</t>
        </is>
      </c>
      <c r="D519" s="3" t="inlineStr">
        <is>
          <t>HCM</t>
        </is>
      </c>
      <c r="E519" s="3" t="inlineStr">
        <is>
          <t>BẢO TRÂM</t>
        </is>
      </c>
      <c r="F519" s="3" t="inlineStr">
        <is>
          <t>Shopee</t>
        </is>
      </c>
      <c r="G519" s="3" t="inlineStr">
        <is>
          <t>KFJ-545</t>
        </is>
      </c>
      <c r="H519" s="4" t="inlineStr">
        <is>
          <t>Vít bê tông không dùng tắc kê KFJ-545</t>
        </is>
      </c>
      <c r="I519" s="3" t="inlineStr">
        <is>
          <t>Hộp</t>
        </is>
      </c>
      <c r="J519" s="5" t="n">
        <v>81000</v>
      </c>
      <c r="K519" s="5" t="n">
        <v>101000</v>
      </c>
      <c r="L519" s="6" t="n">
        <v>130000</v>
      </c>
      <c r="M519" s="5" t="n"/>
      <c r="N519" s="5">
        <f>IF(AND(ISNUMBER(M519),ISNUMBER(L519)),M519-L519,"")</f>
        <v/>
      </c>
      <c r="O519" s="7">
        <f>IF(AND(ISNUMBER(M519),ISNUMBER(L519),L519&gt;0),(M519-L519)/L519,"")</f>
        <v/>
      </c>
      <c r="P519" s="3">
        <f>IF(O519="","",IF(O519&lt;-0.02,"🔴 Bán phá giá sàn",IF(O519&gt;0.05,"🔵 Bán cao hơn","🟢 Đúng giá sàn TMĐT")))</f>
        <v/>
      </c>
      <c r="Q519" s="3" t="n"/>
      <c r="R519" s="4" t="n"/>
      <c r="S519" s="4" t="n"/>
    </row>
    <row r="520">
      <c r="A520" s="3" t="n">
        <v>519</v>
      </c>
      <c r="B520" s="3" t="inlineStr">
        <is>
          <t>KH003</t>
        </is>
      </c>
      <c r="C520" s="4" t="inlineStr">
        <is>
          <t>CÔNG TY TNHH ĐỒ NGHỀ CẦM TAY PHƯƠNG MY</t>
        </is>
      </c>
      <c r="D520" s="3" t="inlineStr">
        <is>
          <t>HCM</t>
        </is>
      </c>
      <c r="E520" s="3" t="inlineStr">
        <is>
          <t>BẢO TRÂM</t>
        </is>
      </c>
      <c r="F520" s="3" t="inlineStr">
        <is>
          <t>Shopee</t>
        </is>
      </c>
      <c r="G520" s="3" t="inlineStr">
        <is>
          <t>K10000</t>
        </is>
      </c>
      <c r="H520" s="4" t="inlineStr">
        <is>
          <t>Bộ bơm lốp, kích bình đa năng K10000</t>
        </is>
      </c>
      <c r="I520" s="3" t="inlineStr">
        <is>
          <t>Cái</t>
        </is>
      </c>
      <c r="J520" s="5" t="n">
        <v>269000</v>
      </c>
      <c r="K520" s="5" t="n">
        <v>317000</v>
      </c>
      <c r="L520" s="6" t="n">
        <v>390000</v>
      </c>
      <c r="M520" s="5" t="n"/>
      <c r="N520" s="5">
        <f>IF(AND(ISNUMBER(M520),ISNUMBER(L520)),M520-L520,"")</f>
        <v/>
      </c>
      <c r="O520" s="7">
        <f>IF(AND(ISNUMBER(M520),ISNUMBER(L520),L520&gt;0),(M520-L520)/L520,"")</f>
        <v/>
      </c>
      <c r="P520" s="3">
        <f>IF(O520="","",IF(O520&lt;-0.02,"🔴 Bán phá giá sàn",IF(O520&gt;0.05,"🔵 Bán cao hơn","🟢 Đúng giá sàn TMĐT")))</f>
        <v/>
      </c>
      <c r="Q520" s="3" t="n"/>
      <c r="R520" s="4" t="n"/>
      <c r="S520" s="4" t="n"/>
    </row>
    <row r="521">
      <c r="A521" s="3" t="n">
        <v>520</v>
      </c>
      <c r="B521" s="3" t="inlineStr">
        <is>
          <t>KH003</t>
        </is>
      </c>
      <c r="C521" s="4" t="inlineStr">
        <is>
          <t>CÔNG TY TNHH ĐỒ NGHỀ CẦM TAY PHƯƠNG MY</t>
        </is>
      </c>
      <c r="D521" s="3" t="inlineStr">
        <is>
          <t>HCM</t>
        </is>
      </c>
      <c r="E521" s="3" t="inlineStr">
        <is>
          <t>BẢO TRÂM</t>
        </is>
      </c>
      <c r="F521" s="3" t="inlineStr">
        <is>
          <t>Shopee</t>
        </is>
      </c>
      <c r="G521" s="3" t="inlineStr">
        <is>
          <t>K12000</t>
        </is>
      </c>
      <c r="H521" s="4" t="inlineStr">
        <is>
          <t>Bộ bơm lốp, kích bình đa năng K12000</t>
        </is>
      </c>
      <c r="I521" s="3" t="inlineStr">
        <is>
          <t>Cái</t>
        </is>
      </c>
      <c r="J521" s="5" t="n">
        <v>269000</v>
      </c>
      <c r="K521" s="5" t="n">
        <v>317000</v>
      </c>
      <c r="L521" s="6" t="n">
        <v>390000</v>
      </c>
      <c r="M521" s="5" t="n"/>
      <c r="N521" s="5">
        <f>IF(AND(ISNUMBER(M521),ISNUMBER(L521)),M521-L521,"")</f>
        <v/>
      </c>
      <c r="O521" s="7">
        <f>IF(AND(ISNUMBER(M521),ISNUMBER(L521),L521&gt;0),(M521-L521)/L521,"")</f>
        <v/>
      </c>
      <c r="P521" s="3">
        <f>IF(O521="","",IF(O521&lt;-0.02,"🔴 Bán phá giá sàn",IF(O521&gt;0.05,"🔵 Bán cao hơn","🟢 Đúng giá sàn TMĐT")))</f>
        <v/>
      </c>
      <c r="Q521" s="3" t="n"/>
      <c r="R521" s="4" t="n"/>
      <c r="S521" s="4" t="n"/>
    </row>
    <row r="522">
      <c r="A522" s="3" t="n">
        <v>521</v>
      </c>
      <c r="B522" s="3" t="inlineStr">
        <is>
          <t>KH003</t>
        </is>
      </c>
      <c r="C522" s="4" t="inlineStr">
        <is>
          <t>CÔNG TY TNHH ĐỒ NGHỀ CẦM TAY PHƯƠNG MY</t>
        </is>
      </c>
      <c r="D522" s="3" t="inlineStr">
        <is>
          <t>HCM</t>
        </is>
      </c>
      <c r="E522" s="3" t="inlineStr">
        <is>
          <t>BẢO TRÂM</t>
        </is>
      </c>
      <c r="F522" s="3" t="inlineStr">
        <is>
          <t>Shopee</t>
        </is>
      </c>
      <c r="G522" s="3" t="inlineStr"/>
      <c r="H522" s="4" t="inlineStr">
        <is>
          <t>Bộ chuyển đổi chân pin KingBlue</t>
        </is>
      </c>
      <c r="I522" s="3" t="inlineStr">
        <is>
          <t>Cái</t>
        </is>
      </c>
      <c r="J522" s="5" t="n">
        <v>269000</v>
      </c>
      <c r="K522" s="5" t="n">
        <v>317000</v>
      </c>
      <c r="L522" s="6" t="n">
        <v>390000</v>
      </c>
      <c r="M522" s="5" t="n"/>
      <c r="N522" s="5">
        <f>IF(AND(ISNUMBER(M522),ISNUMBER(L522)),M522-L522,"")</f>
        <v/>
      </c>
      <c r="O522" s="7">
        <f>IF(AND(ISNUMBER(M522),ISNUMBER(L522),L522&gt;0),(M522-L522)/L522,"")</f>
        <v/>
      </c>
      <c r="P522" s="3">
        <f>IF(O522="","",IF(O522&lt;-0.02,"🔴 Bán phá giá sàn",IF(O522&gt;0.05,"🔵 Bán cao hơn","🟢 Đúng giá sàn TMĐT")))</f>
        <v/>
      </c>
      <c r="Q522" s="3" t="n"/>
      <c r="R522" s="4" t="n"/>
      <c r="S522" s="4" t="n"/>
    </row>
    <row r="523">
      <c r="A523" s="3" t="n">
        <v>522</v>
      </c>
      <c r="B523" s="3" t="inlineStr">
        <is>
          <t>KH003</t>
        </is>
      </c>
      <c r="C523" s="4" t="inlineStr">
        <is>
          <t>CÔNG TY TNHH ĐỒ NGHỀ CẦM TAY PHƯƠNG MY</t>
        </is>
      </c>
      <c r="D523" s="3" t="inlineStr">
        <is>
          <t>HCM</t>
        </is>
      </c>
      <c r="E523" s="3" t="inlineStr">
        <is>
          <t>BẢO TRÂM</t>
        </is>
      </c>
      <c r="F523" s="3" t="inlineStr">
        <is>
          <t>Shopee</t>
        </is>
      </c>
      <c r="G523" s="3" t="inlineStr">
        <is>
          <t>T9100E</t>
        </is>
      </c>
      <c r="H523" s="4" t="inlineStr">
        <is>
          <t>Bộ đầu hoa thị T9100E</t>
        </is>
      </c>
      <c r="I523" s="3" t="inlineStr">
        <is>
          <t>Bộ</t>
        </is>
      </c>
      <c r="J523" s="5" t="n">
        <v>86000</v>
      </c>
      <c r="K523" s="5" t="n">
        <v>108000</v>
      </c>
      <c r="L523" s="6" t="n">
        <v>142000</v>
      </c>
      <c r="M523" s="5" t="n"/>
      <c r="N523" s="5">
        <f>IF(AND(ISNUMBER(M523),ISNUMBER(L523)),M523-L523,"")</f>
        <v/>
      </c>
      <c r="O523" s="7">
        <f>IF(AND(ISNUMBER(M523),ISNUMBER(L523),L523&gt;0),(M523-L523)/L523,"")</f>
        <v/>
      </c>
      <c r="P523" s="3">
        <f>IF(O523="","",IF(O523&lt;-0.02,"🔴 Bán phá giá sàn",IF(O523&gt;0.05,"🔵 Bán cao hơn","🟢 Đúng giá sàn TMĐT")))</f>
        <v/>
      </c>
      <c r="Q523" s="3" t="n"/>
      <c r="R523" s="4" t="n"/>
      <c r="S523" s="4" t="n"/>
    </row>
    <row r="524">
      <c r="A524" s="3" t="n">
        <v>523</v>
      </c>
      <c r="B524" s="3" t="inlineStr">
        <is>
          <t>KH003</t>
        </is>
      </c>
      <c r="C524" s="4" t="inlineStr">
        <is>
          <t>CÔNG TY TNHH ĐỒ NGHỀ CẦM TAY PHƯƠNG MY</t>
        </is>
      </c>
      <c r="D524" s="3" t="inlineStr">
        <is>
          <t>HCM</t>
        </is>
      </c>
      <c r="E524" s="3" t="inlineStr">
        <is>
          <t>BẢO TRÂM</t>
        </is>
      </c>
      <c r="F524" s="3" t="inlineStr">
        <is>
          <t>Shopee</t>
        </is>
      </c>
      <c r="G524" s="3" t="inlineStr">
        <is>
          <t>L8100E</t>
        </is>
      </c>
      <c r="H524" s="4" t="inlineStr">
        <is>
          <t>Bộ đầu lục giác L8100E</t>
        </is>
      </c>
      <c r="I524" s="3" t="inlineStr">
        <is>
          <t>Bộ</t>
        </is>
      </c>
      <c r="J524" s="5" t="n">
        <v>86000</v>
      </c>
      <c r="K524" s="5" t="n">
        <v>108000</v>
      </c>
      <c r="L524" s="6" t="n">
        <v>142000</v>
      </c>
      <c r="M524" s="5" t="n"/>
      <c r="N524" s="5">
        <f>IF(AND(ISNUMBER(M524),ISNUMBER(L524)),M524-L524,"")</f>
        <v/>
      </c>
      <c r="O524" s="7">
        <f>IF(AND(ISNUMBER(M524),ISNUMBER(L524),L524&gt;0),(M524-L524)/L524,"")</f>
        <v/>
      </c>
      <c r="P524" s="3">
        <f>IF(O524="","",IF(O524&lt;-0.02,"🔴 Bán phá giá sàn",IF(O524&gt;0.05,"🔵 Bán cao hơn","🟢 Đúng giá sàn TMĐT")))</f>
        <v/>
      </c>
      <c r="Q524" s="3" t="n"/>
      <c r="R524" s="4" t="n"/>
      <c r="S524" s="4" t="n"/>
    </row>
    <row r="525">
      <c r="A525" s="3" t="n">
        <v>524</v>
      </c>
      <c r="B525" s="3" t="inlineStr">
        <is>
          <t>KH003</t>
        </is>
      </c>
      <c r="C525" s="4" t="inlineStr">
        <is>
          <t>CÔNG TY TNHH ĐỒ NGHỀ CẦM TAY PHƯƠNG MY</t>
        </is>
      </c>
      <c r="D525" s="3" t="inlineStr">
        <is>
          <t>HCM</t>
        </is>
      </c>
      <c r="E525" s="3" t="inlineStr">
        <is>
          <t>BẢO TRÂM</t>
        </is>
      </c>
      <c r="F525" s="3" t="inlineStr">
        <is>
          <t>Shopee</t>
        </is>
      </c>
      <c r="G525" s="3" t="inlineStr">
        <is>
          <t>KBYT6</t>
        </is>
      </c>
      <c r="H525" s="4" t="inlineStr">
        <is>
          <t>Bộ lấy ốc gãy KingBlue KBYT6</t>
        </is>
      </c>
      <c r="I525" s="3" t="inlineStr">
        <is>
          <t>Bộ</t>
        </is>
      </c>
      <c r="J525" s="5" t="n">
        <v>68000</v>
      </c>
      <c r="K525" s="5" t="n">
        <v>80000</v>
      </c>
      <c r="L525" s="6" t="n">
        <v>99000</v>
      </c>
      <c r="M525" s="5" t="n"/>
      <c r="N525" s="5">
        <f>IF(AND(ISNUMBER(M525),ISNUMBER(L525)),M525-L525,"")</f>
        <v/>
      </c>
      <c r="O525" s="7">
        <f>IF(AND(ISNUMBER(M525),ISNUMBER(L525),L525&gt;0),(M525-L525)/L525,"")</f>
        <v/>
      </c>
      <c r="P525" s="3">
        <f>IF(O525="","",IF(O525&lt;-0.02,"🔴 Bán phá giá sàn",IF(O525&gt;0.05,"🔵 Bán cao hơn","🟢 Đúng giá sàn TMĐT")))</f>
        <v/>
      </c>
      <c r="Q525" s="3" t="n"/>
      <c r="R525" s="4" t="n"/>
      <c r="S525" s="4" t="n"/>
    </row>
    <row r="526">
      <c r="A526" s="3" t="n">
        <v>525</v>
      </c>
      <c r="B526" s="3" t="inlineStr">
        <is>
          <t>KH003</t>
        </is>
      </c>
      <c r="C526" s="4" t="inlineStr">
        <is>
          <t>CÔNG TY TNHH ĐỒ NGHỀ CẦM TAY PHƯƠNG MY</t>
        </is>
      </c>
      <c r="D526" s="3" t="inlineStr">
        <is>
          <t>HCM</t>
        </is>
      </c>
      <c r="E526" s="3" t="inlineStr">
        <is>
          <t>BẢO TRÂM</t>
        </is>
      </c>
      <c r="F526" s="3" t="inlineStr">
        <is>
          <t>Shopee</t>
        </is>
      </c>
      <c r="G526" s="3" t="inlineStr">
        <is>
          <t>KL018</t>
        </is>
      </c>
      <c r="H526" s="4" t="inlineStr">
        <is>
          <t>Bộ lục giác KL018</t>
        </is>
      </c>
      <c r="I526" s="3" t="inlineStr">
        <is>
          <t>Cái</t>
        </is>
      </c>
      <c r="J526" s="5" t="n">
        <v>269000</v>
      </c>
      <c r="K526" s="5" t="n">
        <v>317000</v>
      </c>
      <c r="L526" s="6" t="n">
        <v>390000</v>
      </c>
      <c r="M526" s="5" t="n"/>
      <c r="N526" s="5">
        <f>IF(AND(ISNUMBER(M526),ISNUMBER(L526)),M526-L526,"")</f>
        <v/>
      </c>
      <c r="O526" s="7">
        <f>IF(AND(ISNUMBER(M526),ISNUMBER(L526),L526&gt;0),(M526-L526)/L526,"")</f>
        <v/>
      </c>
      <c r="P526" s="3">
        <f>IF(O526="","",IF(O526&lt;-0.02,"🔴 Bán phá giá sàn",IF(O526&gt;0.05,"🔵 Bán cao hơn","🟢 Đúng giá sàn TMĐT")))</f>
        <v/>
      </c>
      <c r="Q526" s="3" t="n"/>
      <c r="R526" s="4" t="n"/>
      <c r="S526" s="4" t="n"/>
    </row>
    <row r="527">
      <c r="A527" s="3" t="n">
        <v>526</v>
      </c>
      <c r="B527" s="3" t="inlineStr">
        <is>
          <t>KH003</t>
        </is>
      </c>
      <c r="C527" s="4" t="inlineStr">
        <is>
          <t>CÔNG TY TNHH ĐỒ NGHỀ CẦM TAY PHƯƠNG MY</t>
        </is>
      </c>
      <c r="D527" s="3" t="inlineStr">
        <is>
          <t>HCM</t>
        </is>
      </c>
      <c r="E527" s="3" t="inlineStr">
        <is>
          <t>BẢO TRÂM</t>
        </is>
      </c>
      <c r="F527" s="3" t="inlineStr">
        <is>
          <t>Shopee</t>
        </is>
      </c>
      <c r="G527" s="3" t="inlineStr">
        <is>
          <t>KL5-09</t>
        </is>
      </c>
      <c r="H527" s="4" t="inlineStr">
        <is>
          <t>Bộ lục giác KL5-09 ( đầu bi)</t>
        </is>
      </c>
      <c r="I527" s="3" t="inlineStr">
        <is>
          <t>Cái</t>
        </is>
      </c>
      <c r="J527" s="5" t="n">
        <v>269000</v>
      </c>
      <c r="K527" s="5" t="n">
        <v>317000</v>
      </c>
      <c r="L527" s="6" t="n">
        <v>390000</v>
      </c>
      <c r="M527" s="5" t="n"/>
      <c r="N527" s="5">
        <f>IF(AND(ISNUMBER(M527),ISNUMBER(L527)),M527-L527,"")</f>
        <v/>
      </c>
      <c r="O527" s="7">
        <f>IF(AND(ISNUMBER(M527),ISNUMBER(L527),L527&gt;0),(M527-L527)/L527,"")</f>
        <v/>
      </c>
      <c r="P527" s="3">
        <f>IF(O527="","",IF(O527&lt;-0.02,"🔴 Bán phá giá sàn",IF(O527&gt;0.05,"🔵 Bán cao hơn","🟢 Đúng giá sàn TMĐT")))</f>
        <v/>
      </c>
      <c r="Q527" s="3" t="n"/>
      <c r="R527" s="4" t="n"/>
      <c r="S527" s="4" t="n"/>
    </row>
    <row r="528">
      <c r="A528" s="3" t="n">
        <v>527</v>
      </c>
      <c r="B528" s="3" t="inlineStr">
        <is>
          <t>KH003</t>
        </is>
      </c>
      <c r="C528" s="4" t="inlineStr">
        <is>
          <t>CÔNG TY TNHH ĐỒ NGHỀ CẦM TAY PHƯƠNG MY</t>
        </is>
      </c>
      <c r="D528" s="3" t="inlineStr">
        <is>
          <t>HCM</t>
        </is>
      </c>
      <c r="E528" s="3" t="inlineStr">
        <is>
          <t>BẢO TRÂM</t>
        </is>
      </c>
      <c r="F528" s="3" t="inlineStr">
        <is>
          <t>Shopee</t>
        </is>
      </c>
      <c r="G528" s="3" t="inlineStr">
        <is>
          <t>KL7-09</t>
        </is>
      </c>
      <c r="H528" s="4" t="inlineStr">
        <is>
          <t>Bộ lục giác KL7-09 ( đầu bi)</t>
        </is>
      </c>
      <c r="I528" s="3" t="inlineStr">
        <is>
          <t>Cái</t>
        </is>
      </c>
      <c r="J528" s="5" t="n">
        <v>269000</v>
      </c>
      <c r="K528" s="5" t="n">
        <v>317000</v>
      </c>
      <c r="L528" s="6" t="n">
        <v>390000</v>
      </c>
      <c r="M528" s="5" t="n"/>
      <c r="N528" s="5">
        <f>IF(AND(ISNUMBER(M528),ISNUMBER(L528)),M528-L528,"")</f>
        <v/>
      </c>
      <c r="O528" s="7">
        <f>IF(AND(ISNUMBER(M528),ISNUMBER(L528),L528&gt;0),(M528-L528)/L528,"")</f>
        <v/>
      </c>
      <c r="P528" s="3">
        <f>IF(O528="","",IF(O528&lt;-0.02,"🔴 Bán phá giá sàn",IF(O528&gt;0.05,"🔵 Bán cao hơn","🟢 Đúng giá sàn TMĐT")))</f>
        <v/>
      </c>
      <c r="Q528" s="3" t="n"/>
      <c r="R528" s="4" t="n"/>
      <c r="S528" s="4" t="n"/>
    </row>
    <row r="529">
      <c r="A529" s="3" t="n">
        <v>528</v>
      </c>
      <c r="B529" s="3" t="inlineStr">
        <is>
          <t>KH003</t>
        </is>
      </c>
      <c r="C529" s="4" t="inlineStr">
        <is>
          <t>CÔNG TY TNHH ĐỒ NGHỀ CẦM TAY PHƯƠNG MY</t>
        </is>
      </c>
      <c r="D529" s="3" t="inlineStr">
        <is>
          <t>HCM</t>
        </is>
      </c>
      <c r="E529" s="3" t="inlineStr">
        <is>
          <t>BẢO TRÂM</t>
        </is>
      </c>
      <c r="F529" s="3" t="inlineStr">
        <is>
          <t>Shopee</t>
        </is>
      </c>
      <c r="G529" s="3" t="inlineStr">
        <is>
          <t>KL9-09</t>
        </is>
      </c>
      <c r="H529" s="4" t="inlineStr">
        <is>
          <t>Bộ lục giác KL9-09 (đầu hoa thị)</t>
        </is>
      </c>
      <c r="I529" s="3" t="inlineStr">
        <is>
          <t>Cái</t>
        </is>
      </c>
      <c r="J529" s="5" t="n">
        <v>269000</v>
      </c>
      <c r="K529" s="5" t="n">
        <v>317000</v>
      </c>
      <c r="L529" s="6" t="n">
        <v>390000</v>
      </c>
      <c r="M529" s="5" t="n"/>
      <c r="N529" s="5">
        <f>IF(AND(ISNUMBER(M529),ISNUMBER(L529)),M529-L529,"")</f>
        <v/>
      </c>
      <c r="O529" s="7">
        <f>IF(AND(ISNUMBER(M529),ISNUMBER(L529),L529&gt;0),(M529-L529)/L529,"")</f>
        <v/>
      </c>
      <c r="P529" s="3">
        <f>IF(O529="","",IF(O529&lt;-0.02,"🔴 Bán phá giá sàn",IF(O529&gt;0.05,"🔵 Bán cao hơn","🟢 Đúng giá sàn TMĐT")))</f>
        <v/>
      </c>
      <c r="Q529" s="3" t="n"/>
      <c r="R529" s="4" t="n"/>
      <c r="S529" s="4" t="n"/>
    </row>
    <row r="530">
      <c r="A530" s="3" t="n">
        <v>529</v>
      </c>
      <c r="B530" s="3" t="inlineStr">
        <is>
          <t>KH003</t>
        </is>
      </c>
      <c r="C530" s="4" t="inlineStr">
        <is>
          <t>CÔNG TY TNHH ĐỒ NGHỀ CẦM TAY PHƯƠNG MY</t>
        </is>
      </c>
      <c r="D530" s="3" t="inlineStr">
        <is>
          <t>HCM</t>
        </is>
      </c>
      <c r="E530" s="3" t="inlineStr">
        <is>
          <t>BẢO TRÂM</t>
        </is>
      </c>
      <c r="F530" s="3" t="inlineStr">
        <is>
          <t>Shopee</t>
        </is>
      </c>
      <c r="G530" s="3" t="inlineStr">
        <is>
          <t>KV10-13</t>
        </is>
      </c>
      <c r="H530" s="4" t="inlineStr">
        <is>
          <t>Bộ tuvit đóng KV10-13</t>
        </is>
      </c>
      <c r="I530" s="3" t="inlineStr">
        <is>
          <t>Cái</t>
        </is>
      </c>
      <c r="J530" s="5" t="n">
        <v>269000</v>
      </c>
      <c r="K530" s="5" t="n">
        <v>317000</v>
      </c>
      <c r="L530" s="6" t="n">
        <v>390000</v>
      </c>
      <c r="M530" s="5" t="n"/>
      <c r="N530" s="5">
        <f>IF(AND(ISNUMBER(M530),ISNUMBER(L530)),M530-L530,"")</f>
        <v/>
      </c>
      <c r="O530" s="7">
        <f>IF(AND(ISNUMBER(M530),ISNUMBER(L530),L530&gt;0),(M530-L530)/L530,"")</f>
        <v/>
      </c>
      <c r="P530" s="3">
        <f>IF(O530="","",IF(O530&lt;-0.02,"🔴 Bán phá giá sàn",IF(O530&gt;0.05,"🔵 Bán cao hơn","🟢 Đúng giá sàn TMĐT")))</f>
        <v/>
      </c>
      <c r="Q530" s="3" t="n"/>
      <c r="R530" s="4" t="n"/>
      <c r="S530" s="4" t="n"/>
    </row>
    <row r="531">
      <c r="A531" s="3" t="n">
        <v>530</v>
      </c>
      <c r="B531" s="3" t="inlineStr">
        <is>
          <t>KH003</t>
        </is>
      </c>
      <c r="C531" s="4" t="inlineStr">
        <is>
          <t>CÔNG TY TNHH ĐỒ NGHỀ CẦM TAY PHƯƠNG MY</t>
        </is>
      </c>
      <c r="D531" s="3" t="inlineStr">
        <is>
          <t>HCM</t>
        </is>
      </c>
      <c r="E531" s="3" t="inlineStr">
        <is>
          <t>BẢO TRÂM</t>
        </is>
      </c>
      <c r="F531" s="3" t="inlineStr">
        <is>
          <t>Shopee</t>
        </is>
      </c>
      <c r="G531" s="3" t="inlineStr">
        <is>
          <t>KB-ST18</t>
        </is>
      </c>
      <c r="H531" s="4" t="inlineStr">
        <is>
          <t>Công cụ đóng đinh bán tự động KB-ST18</t>
        </is>
      </c>
      <c r="I531" s="3" t="inlineStr">
        <is>
          <t>Cái</t>
        </is>
      </c>
      <c r="J531" s="5" t="n">
        <v>242000</v>
      </c>
      <c r="K531" s="5" t="n">
        <v>286000</v>
      </c>
      <c r="L531" s="6" t="n">
        <v>351000</v>
      </c>
      <c r="M531" s="5" t="n"/>
      <c r="N531" s="5">
        <f>IF(AND(ISNUMBER(M531),ISNUMBER(L531)),M531-L531,"")</f>
        <v/>
      </c>
      <c r="O531" s="7">
        <f>IF(AND(ISNUMBER(M531),ISNUMBER(L531),L531&gt;0),(M531-L531)/L531,"")</f>
        <v/>
      </c>
      <c r="P531" s="3">
        <f>IF(O531="","",IF(O531&lt;-0.02,"🔴 Bán phá giá sàn",IF(O531&gt;0.05,"🔵 Bán cao hơn","🟢 Đúng giá sàn TMĐT")))</f>
        <v/>
      </c>
      <c r="Q531" s="3" t="n"/>
      <c r="R531" s="4" t="n"/>
      <c r="S531" s="4" t="n"/>
    </row>
    <row r="532">
      <c r="A532" s="3" t="n">
        <v>531</v>
      </c>
      <c r="B532" s="3" t="inlineStr">
        <is>
          <t>KH003</t>
        </is>
      </c>
      <c r="C532" s="4" t="inlineStr">
        <is>
          <t>CÔNG TY TNHH ĐỒ NGHỀ CẦM TAY PHƯƠNG MY</t>
        </is>
      </c>
      <c r="D532" s="3" t="inlineStr">
        <is>
          <t>HCM</t>
        </is>
      </c>
      <c r="E532" s="3" t="inlineStr">
        <is>
          <t>BẢO TRÂM</t>
        </is>
      </c>
      <c r="F532" s="3" t="inlineStr">
        <is>
          <t>Shopee</t>
        </is>
      </c>
      <c r="G532" s="3" t="inlineStr">
        <is>
          <t>ES180i</t>
        </is>
      </c>
      <c r="H532" s="4" t="inlineStr">
        <is>
          <t>Cưa gấp KingBlue ES180i</t>
        </is>
      </c>
      <c r="I532" s="3" t="inlineStr">
        <is>
          <t>Cái</t>
        </is>
      </c>
      <c r="J532" s="5" t="n">
        <v>139000</v>
      </c>
      <c r="K532" s="5" t="n">
        <v>164000</v>
      </c>
      <c r="L532" s="6" t="n">
        <v>202000</v>
      </c>
      <c r="M532" s="5" t="n"/>
      <c r="N532" s="5">
        <f>IF(AND(ISNUMBER(M532),ISNUMBER(L532)),M532-L532,"")</f>
        <v/>
      </c>
      <c r="O532" s="7">
        <f>IF(AND(ISNUMBER(M532),ISNUMBER(L532),L532&gt;0),(M532-L532)/L532,"")</f>
        <v/>
      </c>
      <c r="P532" s="3">
        <f>IF(O532="","",IF(O532&lt;-0.02,"🔴 Bán phá giá sàn",IF(O532&gt;0.05,"🔵 Bán cao hơn","🟢 Đúng giá sàn TMĐT")))</f>
        <v/>
      </c>
      <c r="Q532" s="3" t="n"/>
      <c r="R532" s="4" t="n"/>
      <c r="S532" s="4" t="n"/>
    </row>
    <row r="533">
      <c r="A533" s="3" t="n">
        <v>532</v>
      </c>
      <c r="B533" s="3" t="inlineStr">
        <is>
          <t>KH003</t>
        </is>
      </c>
      <c r="C533" s="4" t="inlineStr">
        <is>
          <t>CÔNG TY TNHH ĐỒ NGHỀ CẦM TAY PHƯƠNG MY</t>
        </is>
      </c>
      <c r="D533" s="3" t="inlineStr">
        <is>
          <t>HCM</t>
        </is>
      </c>
      <c r="E533" s="3" t="inlineStr">
        <is>
          <t>BẢO TRÂM</t>
        </is>
      </c>
      <c r="F533" s="3" t="inlineStr">
        <is>
          <t>Shopee</t>
        </is>
      </c>
      <c r="G533" s="3" t="inlineStr">
        <is>
          <t>ES250</t>
        </is>
      </c>
      <c r="H533" s="4" t="inlineStr">
        <is>
          <t>Cưa gấp KingBlue ES250</t>
        </is>
      </c>
      <c r="I533" s="3" t="inlineStr">
        <is>
          <t>Cái</t>
        </is>
      </c>
      <c r="J533" s="5" t="n">
        <v>185000</v>
      </c>
      <c r="K533" s="5" t="n">
        <v>218000</v>
      </c>
      <c r="L533" s="6" t="n">
        <v>268000</v>
      </c>
      <c r="M533" s="5" t="n"/>
      <c r="N533" s="5">
        <f>IF(AND(ISNUMBER(M533),ISNUMBER(L533)),M533-L533,"")</f>
        <v/>
      </c>
      <c r="O533" s="7">
        <f>IF(AND(ISNUMBER(M533),ISNUMBER(L533),L533&gt;0),(M533-L533)/L533,"")</f>
        <v/>
      </c>
      <c r="P533" s="3">
        <f>IF(O533="","",IF(O533&lt;-0.02,"🔴 Bán phá giá sàn",IF(O533&gt;0.05,"🔵 Bán cao hơn","🟢 Đúng giá sàn TMĐT")))</f>
        <v/>
      </c>
      <c r="Q533" s="3" t="n"/>
      <c r="R533" s="4" t="n"/>
      <c r="S533" s="4" t="n"/>
    </row>
    <row r="534">
      <c r="A534" s="3" t="n">
        <v>533</v>
      </c>
      <c r="B534" s="3" t="inlineStr">
        <is>
          <t>KH003</t>
        </is>
      </c>
      <c r="C534" s="4" t="inlineStr">
        <is>
          <t>CÔNG TY TNHH ĐỒ NGHỀ CẦM TAY PHƯƠNG MY</t>
        </is>
      </c>
      <c r="D534" s="3" t="inlineStr">
        <is>
          <t>HCM</t>
        </is>
      </c>
      <c r="E534" s="3" t="inlineStr">
        <is>
          <t>BẢO TRÂM</t>
        </is>
      </c>
      <c r="F534" s="3" t="inlineStr">
        <is>
          <t>Shopee</t>
        </is>
      </c>
      <c r="G534" s="3" t="inlineStr">
        <is>
          <t>KB-E350</t>
        </is>
      </c>
      <c r="H534" s="4" t="inlineStr">
        <is>
          <t>Cưa KingBlue KB-E350</t>
        </is>
      </c>
      <c r="I534" s="3" t="inlineStr">
        <is>
          <t>Cái</t>
        </is>
      </c>
      <c r="J534" s="5" t="n">
        <v>242000</v>
      </c>
      <c r="K534" s="5" t="n">
        <v>286000</v>
      </c>
      <c r="L534" s="6" t="n">
        <v>351000</v>
      </c>
      <c r="M534" s="5" t="n"/>
      <c r="N534" s="5">
        <f>IF(AND(ISNUMBER(M534),ISNUMBER(L534)),M534-L534,"")</f>
        <v/>
      </c>
      <c r="O534" s="7">
        <f>IF(AND(ISNUMBER(M534),ISNUMBER(L534),L534&gt;0),(M534-L534)/L534,"")</f>
        <v/>
      </c>
      <c r="P534" s="3">
        <f>IF(O534="","",IF(O534&lt;-0.02,"🔴 Bán phá giá sàn",IF(O534&gt;0.05,"🔵 Bán cao hơn","🟢 Đúng giá sàn TMĐT")))</f>
        <v/>
      </c>
      <c r="Q534" s="3" t="n"/>
      <c r="R534" s="4" t="n"/>
      <c r="S534" s="4" t="n"/>
    </row>
    <row r="535">
      <c r="A535" s="3" t="n">
        <v>534</v>
      </c>
      <c r="B535" s="3" t="inlineStr">
        <is>
          <t>KH003</t>
        </is>
      </c>
      <c r="C535" s="4" t="inlineStr">
        <is>
          <t>CÔNG TY TNHH ĐỒ NGHỀ CẦM TAY PHƯƠNG MY</t>
        </is>
      </c>
      <c r="D535" s="3" t="inlineStr">
        <is>
          <t>HCM</t>
        </is>
      </c>
      <c r="E535" s="3" t="inlineStr">
        <is>
          <t>BẢO TRÂM</t>
        </is>
      </c>
      <c r="F535" s="3" t="inlineStr">
        <is>
          <t>Shopee</t>
        </is>
      </c>
      <c r="G535" s="3" t="inlineStr">
        <is>
          <t>KJC300</t>
        </is>
      </c>
      <c r="H535" s="4" t="inlineStr">
        <is>
          <t>Cưa tay KJC300</t>
        </is>
      </c>
      <c r="I535" s="3" t="inlineStr">
        <is>
          <t>Cái</t>
        </is>
      </c>
      <c r="J535" s="5" t="n">
        <v>269000</v>
      </c>
      <c r="K535" s="5" t="n">
        <v>317000</v>
      </c>
      <c r="L535" s="6" t="n">
        <v>390000</v>
      </c>
      <c r="M535" s="5" t="n"/>
      <c r="N535" s="5">
        <f>IF(AND(ISNUMBER(M535),ISNUMBER(L535)),M535-L535,"")</f>
        <v/>
      </c>
      <c r="O535" s="7">
        <f>IF(AND(ISNUMBER(M535),ISNUMBER(L535),L535&gt;0),(M535-L535)/L535,"")</f>
        <v/>
      </c>
      <c r="P535" s="3">
        <f>IF(O535="","",IF(O535&lt;-0.02,"🔴 Bán phá giá sàn",IF(O535&gt;0.05,"🔵 Bán cao hơn","🟢 Đúng giá sàn TMĐT")))</f>
        <v/>
      </c>
      <c r="Q535" s="3" t="n"/>
      <c r="R535" s="4" t="n"/>
      <c r="S535" s="4" t="n"/>
    </row>
    <row r="536">
      <c r="A536" s="3" t="n">
        <v>535</v>
      </c>
      <c r="B536" s="3" t="inlineStr">
        <is>
          <t>KH003</t>
        </is>
      </c>
      <c r="C536" s="4" t="inlineStr">
        <is>
          <t>CÔNG TY TNHH ĐỒ NGHỀ CẦM TAY PHƯƠNG MY</t>
        </is>
      </c>
      <c r="D536" s="3" t="inlineStr">
        <is>
          <t>HCM</t>
        </is>
      </c>
      <c r="E536" s="3" t="inlineStr">
        <is>
          <t>BẢO TRÂM</t>
        </is>
      </c>
      <c r="F536" s="3" t="inlineStr">
        <is>
          <t>Shopee</t>
        </is>
      </c>
      <c r="G536" s="3" t="inlineStr">
        <is>
          <t>KPG-032</t>
        </is>
      </c>
      <c r="H536" s="4" t="inlineStr">
        <is>
          <t>Dao cắt ống kim loại KPG-032</t>
        </is>
      </c>
      <c r="I536" s="3" t="inlineStr">
        <is>
          <t>Cái</t>
        </is>
      </c>
      <c r="J536" s="5" t="n">
        <v>259000</v>
      </c>
      <c r="K536" s="5" t="n">
        <v>306000</v>
      </c>
      <c r="L536" s="6" t="n">
        <v>376000</v>
      </c>
      <c r="M536" s="5" t="n"/>
      <c r="N536" s="5">
        <f>IF(AND(ISNUMBER(M536),ISNUMBER(L536)),M536-L536,"")</f>
        <v/>
      </c>
      <c r="O536" s="7">
        <f>IF(AND(ISNUMBER(M536),ISNUMBER(L536),L536&gt;0),(M536-L536)/L536,"")</f>
        <v/>
      </c>
      <c r="P536" s="3">
        <f>IF(O536="","",IF(O536&lt;-0.02,"🔴 Bán phá giá sàn",IF(O536&gt;0.05,"🔵 Bán cao hơn","🟢 Đúng giá sàn TMĐT")))</f>
        <v/>
      </c>
      <c r="Q536" s="3" t="n"/>
      <c r="R536" s="4" t="n"/>
      <c r="S536" s="4" t="n"/>
    </row>
    <row r="537">
      <c r="A537" s="3" t="n">
        <v>536</v>
      </c>
      <c r="B537" s="3" t="inlineStr">
        <is>
          <t>KH003</t>
        </is>
      </c>
      <c r="C537" s="4" t="inlineStr">
        <is>
          <t>CÔNG TY TNHH ĐỒ NGHỀ CẦM TAY PHƯƠNG MY</t>
        </is>
      </c>
      <c r="D537" s="3" t="inlineStr">
        <is>
          <t>HCM</t>
        </is>
      </c>
      <c r="E537" s="3" t="inlineStr">
        <is>
          <t>BẢO TRÂM</t>
        </is>
      </c>
      <c r="F537" s="3" t="inlineStr">
        <is>
          <t>Shopee</t>
        </is>
      </c>
      <c r="G537" s="3" t="inlineStr">
        <is>
          <t>KJH-05</t>
        </is>
      </c>
      <c r="H537" s="4" t="inlineStr">
        <is>
          <t>Dao rọc cáp đa năng KJH-05</t>
        </is>
      </c>
      <c r="I537" s="3" t="inlineStr">
        <is>
          <t>Cái</t>
        </is>
      </c>
      <c r="J537" s="5" t="n">
        <v>119000</v>
      </c>
      <c r="K537" s="5" t="n">
        <v>141000</v>
      </c>
      <c r="L537" s="6" t="n">
        <v>173000</v>
      </c>
      <c r="M537" s="5" t="n"/>
      <c r="N537" s="5">
        <f>IF(AND(ISNUMBER(M537),ISNUMBER(L537)),M537-L537,"")</f>
        <v/>
      </c>
      <c r="O537" s="7">
        <f>IF(AND(ISNUMBER(M537),ISNUMBER(L537),L537&gt;0),(M537-L537)/L537,"")</f>
        <v/>
      </c>
      <c r="P537" s="3">
        <f>IF(O537="","",IF(O537&lt;-0.02,"🔴 Bán phá giá sàn",IF(O537&gt;0.05,"🔵 Bán cao hơn","🟢 Đúng giá sàn TMĐT")))</f>
        <v/>
      </c>
      <c r="Q537" s="3" t="n"/>
      <c r="R537" s="4" t="n"/>
      <c r="S537" s="4" t="n"/>
    </row>
    <row r="538">
      <c r="A538" s="3" t="n">
        <v>537</v>
      </c>
      <c r="B538" s="3" t="inlineStr">
        <is>
          <t>KH003</t>
        </is>
      </c>
      <c r="C538" s="4" t="inlineStr">
        <is>
          <t>CÔNG TY TNHH ĐỒ NGHỀ CẦM TAY PHƯƠNG MY</t>
        </is>
      </c>
      <c r="D538" s="3" t="inlineStr">
        <is>
          <t>HCM</t>
        </is>
      </c>
      <c r="E538" s="3" t="inlineStr">
        <is>
          <t>BẢO TRÂM</t>
        </is>
      </c>
      <c r="F538" s="3" t="inlineStr">
        <is>
          <t>Shopee</t>
        </is>
      </c>
      <c r="G538" s="3" t="inlineStr">
        <is>
          <t>KJH-06</t>
        </is>
      </c>
      <c r="H538" s="4" t="inlineStr">
        <is>
          <t>Dao rọc cáp đa năng KJH-06</t>
        </is>
      </c>
      <c r="I538" s="3" t="inlineStr">
        <is>
          <t>Cái</t>
        </is>
      </c>
      <c r="J538" s="5" t="n">
        <v>171000</v>
      </c>
      <c r="K538" s="5" t="n">
        <v>202000</v>
      </c>
      <c r="L538" s="6" t="n">
        <v>248000</v>
      </c>
      <c r="M538" s="5" t="n"/>
      <c r="N538" s="5">
        <f>IF(AND(ISNUMBER(M538),ISNUMBER(L538)),M538-L538,"")</f>
        <v/>
      </c>
      <c r="O538" s="7">
        <f>IF(AND(ISNUMBER(M538),ISNUMBER(L538),L538&gt;0),(M538-L538)/L538,"")</f>
        <v/>
      </c>
      <c r="P538" s="3">
        <f>IF(O538="","",IF(O538&lt;-0.02,"🔴 Bán phá giá sàn",IF(O538&gt;0.05,"🔵 Bán cao hơn","🟢 Đúng giá sàn TMĐT")))</f>
        <v/>
      </c>
      <c r="Q538" s="3" t="n"/>
      <c r="R538" s="4" t="n"/>
      <c r="S538" s="4" t="n"/>
    </row>
    <row r="539">
      <c r="A539" s="3" t="n">
        <v>538</v>
      </c>
      <c r="B539" s="3" t="inlineStr">
        <is>
          <t>KH003</t>
        </is>
      </c>
      <c r="C539" s="4" t="inlineStr">
        <is>
          <t>CÔNG TY TNHH ĐỒ NGHỀ CẦM TAY PHƯƠNG MY</t>
        </is>
      </c>
      <c r="D539" s="3" t="inlineStr">
        <is>
          <t>HCM</t>
        </is>
      </c>
      <c r="E539" s="3" t="inlineStr">
        <is>
          <t>BẢO TRÂM</t>
        </is>
      </c>
      <c r="F539" s="3" t="inlineStr">
        <is>
          <t>Shopee</t>
        </is>
      </c>
      <c r="G539" s="3" t="inlineStr">
        <is>
          <t>KJH-01</t>
        </is>
      </c>
      <c r="H539" s="4" t="inlineStr">
        <is>
          <t>Dao rọc giấy KJH-01</t>
        </is>
      </c>
      <c r="I539" s="3" t="inlineStr">
        <is>
          <t>Cái</t>
        </is>
      </c>
      <c r="J539" s="5" t="n">
        <v>21000</v>
      </c>
      <c r="K539" s="5" t="n">
        <v>25000</v>
      </c>
      <c r="L539" s="6" t="n">
        <v>31000</v>
      </c>
      <c r="M539" s="5" t="n"/>
      <c r="N539" s="5">
        <f>IF(AND(ISNUMBER(M539),ISNUMBER(L539)),M539-L539,"")</f>
        <v/>
      </c>
      <c r="O539" s="7">
        <f>IF(AND(ISNUMBER(M539),ISNUMBER(L539),L539&gt;0),(M539-L539)/L539,"")</f>
        <v/>
      </c>
      <c r="P539" s="3">
        <f>IF(O539="","",IF(O539&lt;-0.02,"🔴 Bán phá giá sàn",IF(O539&gt;0.05,"🔵 Bán cao hơn","🟢 Đúng giá sàn TMĐT")))</f>
        <v/>
      </c>
      <c r="Q539" s="3" t="n"/>
      <c r="R539" s="4" t="n"/>
      <c r="S539" s="4" t="n"/>
    </row>
    <row r="540">
      <c r="A540" s="3" t="n">
        <v>539</v>
      </c>
      <c r="B540" s="3" t="inlineStr">
        <is>
          <t>KH003</t>
        </is>
      </c>
      <c r="C540" s="4" t="inlineStr">
        <is>
          <t>CÔNG TY TNHH ĐỒ NGHỀ CẦM TAY PHƯƠNG MY</t>
        </is>
      </c>
      <c r="D540" s="3" t="inlineStr">
        <is>
          <t>HCM</t>
        </is>
      </c>
      <c r="E540" s="3" t="inlineStr">
        <is>
          <t>BẢO TRÂM</t>
        </is>
      </c>
      <c r="F540" s="3" t="inlineStr">
        <is>
          <t>Shopee</t>
        </is>
      </c>
      <c r="G540" s="3" t="inlineStr">
        <is>
          <t>K54M</t>
        </is>
      </c>
      <c r="H540" s="4" t="inlineStr">
        <is>
          <t>Dụng cụ khò gas mini K54M</t>
        </is>
      </c>
      <c r="I540" s="3" t="inlineStr">
        <is>
          <t>Cái</t>
        </is>
      </c>
      <c r="J540" s="5" t="n">
        <v>209000</v>
      </c>
      <c r="K540" s="5" t="n">
        <v>247000</v>
      </c>
      <c r="L540" s="6" t="n">
        <v>303000</v>
      </c>
      <c r="M540" s="5" t="n"/>
      <c r="N540" s="5">
        <f>IF(AND(ISNUMBER(M540),ISNUMBER(L540)),M540-L540,"")</f>
        <v/>
      </c>
      <c r="O540" s="7">
        <f>IF(AND(ISNUMBER(M540),ISNUMBER(L540),L540&gt;0),(M540-L540)/L540,"")</f>
        <v/>
      </c>
      <c r="P540" s="3">
        <f>IF(O540="","",IF(O540&lt;-0.02,"🔴 Bán phá giá sàn",IF(O540&gt;0.05,"🔵 Bán cao hơn","🟢 Đúng giá sàn TMĐT")))</f>
        <v/>
      </c>
      <c r="Q540" s="3" t="n"/>
      <c r="R540" s="4" t="n"/>
      <c r="S540" s="4" t="n"/>
    </row>
    <row r="541">
      <c r="A541" s="3" t="n">
        <v>540</v>
      </c>
      <c r="B541" s="3" t="inlineStr">
        <is>
          <t>KH003</t>
        </is>
      </c>
      <c r="C541" s="4" t="inlineStr">
        <is>
          <t>CÔNG TY TNHH ĐỒ NGHỀ CẦM TAY PHƯƠNG MY</t>
        </is>
      </c>
      <c r="D541" s="3" t="inlineStr">
        <is>
          <t>HCM</t>
        </is>
      </c>
      <c r="E541" s="3" t="inlineStr">
        <is>
          <t>BẢO TRÂM</t>
        </is>
      </c>
      <c r="F541" s="3" t="inlineStr">
        <is>
          <t>Shopee</t>
        </is>
      </c>
      <c r="G541" s="3" t="inlineStr">
        <is>
          <t>KB-1301</t>
        </is>
      </c>
      <c r="H541" s="4" t="inlineStr">
        <is>
          <t>Dụng cụ vát mép (ba via) ống đồng KingBlue, KB-1301</t>
        </is>
      </c>
      <c r="I541" s="3" t="inlineStr">
        <is>
          <t>Cái</t>
        </is>
      </c>
      <c r="J541" s="5" t="n">
        <v>135000</v>
      </c>
      <c r="K541" s="5" t="n">
        <v>159000</v>
      </c>
      <c r="L541" s="6" t="n">
        <v>196000</v>
      </c>
      <c r="M541" s="5" t="n"/>
      <c r="N541" s="5">
        <f>IF(AND(ISNUMBER(M541),ISNUMBER(L541)),M541-L541,"")</f>
        <v/>
      </c>
      <c r="O541" s="7">
        <f>IF(AND(ISNUMBER(M541),ISNUMBER(L541),L541&gt;0),(M541-L541)/L541,"")</f>
        <v/>
      </c>
      <c r="P541" s="3">
        <f>IF(O541="","",IF(O541&lt;-0.02,"🔴 Bán phá giá sàn",IF(O541&gt;0.05,"🔵 Bán cao hơn","🟢 Đúng giá sàn TMĐT")))</f>
        <v/>
      </c>
      <c r="Q541" s="3" t="n"/>
      <c r="R541" s="4" t="n"/>
      <c r="S541" s="4" t="n"/>
    </row>
    <row r="542">
      <c r="A542" s="3" t="n">
        <v>541</v>
      </c>
      <c r="B542" s="3" t="inlineStr">
        <is>
          <t>KH003</t>
        </is>
      </c>
      <c r="C542" s="4" t="inlineStr">
        <is>
          <t>CÔNG TY TNHH ĐỒ NGHỀ CẦM TAY PHƯƠNG MY</t>
        </is>
      </c>
      <c r="D542" s="3" t="inlineStr">
        <is>
          <t>HCM</t>
        </is>
      </c>
      <c r="E542" s="3" t="inlineStr">
        <is>
          <t>BẢO TRÂM</t>
        </is>
      </c>
      <c r="F542" s="3" t="inlineStr">
        <is>
          <t>Shopee</t>
        </is>
      </c>
      <c r="G542" s="3" t="inlineStr">
        <is>
          <t>K45M</t>
        </is>
      </c>
      <c r="H542" s="4" t="inlineStr">
        <is>
          <t>Đầu khò gas K45M</t>
        </is>
      </c>
      <c r="I542" s="3" t="inlineStr">
        <is>
          <t>Cái</t>
        </is>
      </c>
      <c r="J542" s="5" t="n">
        <v>269000</v>
      </c>
      <c r="K542" s="5" t="n">
        <v>317000</v>
      </c>
      <c r="L542" s="6" t="n">
        <v>390000</v>
      </c>
      <c r="M542" s="5" t="n"/>
      <c r="N542" s="5">
        <f>IF(AND(ISNUMBER(M542),ISNUMBER(L542)),M542-L542,"")</f>
        <v/>
      </c>
      <c r="O542" s="7">
        <f>IF(AND(ISNUMBER(M542),ISNUMBER(L542),L542&gt;0),(M542-L542)/L542,"")</f>
        <v/>
      </c>
      <c r="P542" s="3">
        <f>IF(O542="","",IF(O542&lt;-0.02,"🔴 Bán phá giá sàn",IF(O542&gt;0.05,"🔵 Bán cao hơn","🟢 Đúng giá sàn TMĐT")))</f>
        <v/>
      </c>
      <c r="Q542" s="3" t="n"/>
      <c r="R542" s="4" t="n"/>
      <c r="S542" s="4" t="n"/>
    </row>
    <row r="543">
      <c r="A543" s="3" t="n">
        <v>542</v>
      </c>
      <c r="B543" s="3" t="inlineStr">
        <is>
          <t>KH003</t>
        </is>
      </c>
      <c r="C543" s="4" t="inlineStr">
        <is>
          <t>CÔNG TY TNHH ĐỒ NGHỀ CẦM TAY PHƯƠNG MY</t>
        </is>
      </c>
      <c r="D543" s="3" t="inlineStr">
        <is>
          <t>HCM</t>
        </is>
      </c>
      <c r="E543" s="3" t="inlineStr">
        <is>
          <t>BẢO TRÂM</t>
        </is>
      </c>
      <c r="F543" s="3" t="inlineStr">
        <is>
          <t>Shopee</t>
        </is>
      </c>
      <c r="G543" s="3" t="inlineStr">
        <is>
          <t>K49M</t>
        </is>
      </c>
      <c r="H543" s="4" t="inlineStr">
        <is>
          <t>Đầu khò gas K49M</t>
        </is>
      </c>
      <c r="I543" s="3" t="inlineStr">
        <is>
          <t>Cái</t>
        </is>
      </c>
      <c r="J543" s="5" t="n">
        <v>269000</v>
      </c>
      <c r="K543" s="5" t="n">
        <v>317000</v>
      </c>
      <c r="L543" s="6" t="n">
        <v>390000</v>
      </c>
      <c r="M543" s="5" t="n"/>
      <c r="N543" s="5">
        <f>IF(AND(ISNUMBER(M543),ISNUMBER(L543)),M543-L543,"")</f>
        <v/>
      </c>
      <c r="O543" s="7">
        <f>IF(AND(ISNUMBER(M543),ISNUMBER(L543),L543&gt;0),(M543-L543)/L543,"")</f>
        <v/>
      </c>
      <c r="P543" s="3">
        <f>IF(O543="","",IF(O543&lt;-0.02,"🔴 Bán phá giá sàn",IF(O543&gt;0.05,"🔵 Bán cao hơn","🟢 Đúng giá sàn TMĐT")))</f>
        <v/>
      </c>
      <c r="Q543" s="3" t="n"/>
      <c r="R543" s="4" t="n"/>
      <c r="S543" s="4" t="n"/>
    </row>
    <row r="544">
      <c r="A544" s="3" t="n">
        <v>543</v>
      </c>
      <c r="B544" s="3" t="inlineStr">
        <is>
          <t>KH003</t>
        </is>
      </c>
      <c r="C544" s="4" t="inlineStr">
        <is>
          <t>CÔNG TY TNHH ĐỒ NGHỀ CẦM TAY PHƯƠNG MY</t>
        </is>
      </c>
      <c r="D544" s="3" t="inlineStr">
        <is>
          <t>HCM</t>
        </is>
      </c>
      <c r="E544" s="3" t="inlineStr">
        <is>
          <t>BẢO TRÂM</t>
        </is>
      </c>
      <c r="F544" s="3" t="inlineStr">
        <is>
          <t>Shopee</t>
        </is>
      </c>
      <c r="G544" s="3" t="inlineStr"/>
      <c r="H544" s="4" t="inlineStr">
        <is>
          <t>Đầu nạp gas</t>
        </is>
      </c>
      <c r="I544" s="3" t="inlineStr">
        <is>
          <t>Cái</t>
        </is>
      </c>
      <c r="J544" s="5" t="n">
        <v>269000</v>
      </c>
      <c r="K544" s="5" t="n">
        <v>317000</v>
      </c>
      <c r="L544" s="6" t="n">
        <v>390000</v>
      </c>
      <c r="M544" s="5" t="n"/>
      <c r="N544" s="5">
        <f>IF(AND(ISNUMBER(M544),ISNUMBER(L544)),M544-L544,"")</f>
        <v/>
      </c>
      <c r="O544" s="7">
        <f>IF(AND(ISNUMBER(M544),ISNUMBER(L544),L544&gt;0),(M544-L544)/L544,"")</f>
        <v/>
      </c>
      <c r="P544" s="3">
        <f>IF(O544="","",IF(O544&lt;-0.02,"🔴 Bán phá giá sàn",IF(O544&gt;0.05,"🔵 Bán cao hơn","🟢 Đúng giá sàn TMĐT")))</f>
        <v/>
      </c>
      <c r="Q544" s="3" t="n"/>
      <c r="R544" s="4" t="n"/>
      <c r="S544" s="4" t="n"/>
    </row>
    <row r="545">
      <c r="A545" s="3" t="n">
        <v>544</v>
      </c>
      <c r="B545" s="3" t="inlineStr">
        <is>
          <t>KH003</t>
        </is>
      </c>
      <c r="C545" s="4" t="inlineStr">
        <is>
          <t>CÔNG TY TNHH ĐỒ NGHỀ CẦM TAY PHƯƠNG MY</t>
        </is>
      </c>
      <c r="D545" s="3" t="inlineStr">
        <is>
          <t>HCM</t>
        </is>
      </c>
      <c r="E545" s="3" t="inlineStr">
        <is>
          <t>BẢO TRÂM</t>
        </is>
      </c>
      <c r="F545" s="3" t="inlineStr">
        <is>
          <t>Shopee</t>
        </is>
      </c>
      <c r="G545" s="3" t="inlineStr">
        <is>
          <t>LED750</t>
        </is>
      </c>
      <c r="H545" s="4" t="inlineStr">
        <is>
          <t>Đèn Led cài áo LED750</t>
        </is>
      </c>
      <c r="I545" s="3" t="inlineStr">
        <is>
          <t>Cái</t>
        </is>
      </c>
      <c r="J545" s="5" t="n">
        <v>269000</v>
      </c>
      <c r="K545" s="5" t="n">
        <v>317000</v>
      </c>
      <c r="L545" s="6" t="n">
        <v>390000</v>
      </c>
      <c r="M545" s="5" t="n"/>
      <c r="N545" s="5">
        <f>IF(AND(ISNUMBER(M545),ISNUMBER(L545)),M545-L545,"")</f>
        <v/>
      </c>
      <c r="O545" s="7">
        <f>IF(AND(ISNUMBER(M545),ISNUMBER(L545),L545&gt;0),(M545-L545)/L545,"")</f>
        <v/>
      </c>
      <c r="P545" s="3">
        <f>IF(O545="","",IF(O545&lt;-0.02,"🔴 Bán phá giá sàn",IF(O545&gt;0.05,"🔵 Bán cao hơn","🟢 Đúng giá sàn TMĐT")))</f>
        <v/>
      </c>
      <c r="Q545" s="3" t="n"/>
      <c r="R545" s="4" t="n"/>
      <c r="S545" s="4" t="n"/>
    </row>
    <row r="546">
      <c r="A546" s="3" t="n">
        <v>545</v>
      </c>
      <c r="B546" s="3" t="inlineStr">
        <is>
          <t>KH003</t>
        </is>
      </c>
      <c r="C546" s="4" t="inlineStr">
        <is>
          <t>CÔNG TY TNHH ĐỒ NGHỀ CẦM TAY PHƯƠNG MY</t>
        </is>
      </c>
      <c r="D546" s="3" t="inlineStr">
        <is>
          <t>HCM</t>
        </is>
      </c>
      <c r="E546" s="3" t="inlineStr">
        <is>
          <t>BẢO TRÂM</t>
        </is>
      </c>
      <c r="F546" s="3" t="inlineStr">
        <is>
          <t>Shopee</t>
        </is>
      </c>
      <c r="G546" s="3" t="inlineStr">
        <is>
          <t>LED6500</t>
        </is>
      </c>
      <c r="H546" s="4" t="inlineStr">
        <is>
          <t>Đèn Led công trình dùng pin  LED6500</t>
        </is>
      </c>
      <c r="I546" s="3" t="inlineStr">
        <is>
          <t>Cái</t>
        </is>
      </c>
      <c r="J546" s="5" t="n">
        <v>1800000</v>
      </c>
      <c r="K546" s="5" t="n">
        <v>2052000</v>
      </c>
      <c r="L546" s="6" t="n">
        <v>2430000</v>
      </c>
      <c r="M546" s="5" t="n"/>
      <c r="N546" s="5">
        <f>IF(AND(ISNUMBER(M546),ISNUMBER(L546)),M546-L546,"")</f>
        <v/>
      </c>
      <c r="O546" s="7">
        <f>IF(AND(ISNUMBER(M546),ISNUMBER(L546),L546&gt;0),(M546-L546)/L546,"")</f>
        <v/>
      </c>
      <c r="P546" s="3">
        <f>IF(O546="","",IF(O546&lt;-0.02,"🔴 Bán phá giá sàn",IF(O546&gt;0.05,"🔵 Bán cao hơn","🟢 Đúng giá sàn TMĐT")))</f>
        <v/>
      </c>
      <c r="Q546" s="3" t="n"/>
      <c r="R546" s="4" t="n"/>
      <c r="S546" s="4" t="n"/>
    </row>
    <row r="547">
      <c r="A547" s="3" t="n">
        <v>546</v>
      </c>
      <c r="B547" s="3" t="inlineStr">
        <is>
          <t>KH003</t>
        </is>
      </c>
      <c r="C547" s="4" t="inlineStr">
        <is>
          <t>CÔNG TY TNHH ĐỒ NGHỀ CẦM TAY PHƯƠNG MY</t>
        </is>
      </c>
      <c r="D547" s="3" t="inlineStr">
        <is>
          <t>HCM</t>
        </is>
      </c>
      <c r="E547" s="3" t="inlineStr">
        <is>
          <t>BẢO TRÂM</t>
        </is>
      </c>
      <c r="F547" s="3" t="inlineStr">
        <is>
          <t>Shopee</t>
        </is>
      </c>
      <c r="G547" s="3" t="inlineStr">
        <is>
          <t>LED500</t>
        </is>
      </c>
      <c r="H547" s="4" t="inlineStr">
        <is>
          <t>Đèn Led đội đầu LED500</t>
        </is>
      </c>
      <c r="I547" s="3" t="inlineStr">
        <is>
          <t>Cái</t>
        </is>
      </c>
      <c r="J547" s="5" t="n">
        <v>440000</v>
      </c>
      <c r="K547" s="5" t="n">
        <v>502000</v>
      </c>
      <c r="L547" s="6" t="n">
        <v>594000</v>
      </c>
      <c r="M547" s="5" t="n"/>
      <c r="N547" s="5">
        <f>IF(AND(ISNUMBER(M547),ISNUMBER(L547)),M547-L547,"")</f>
        <v/>
      </c>
      <c r="O547" s="7">
        <f>IF(AND(ISNUMBER(M547),ISNUMBER(L547),L547&gt;0),(M547-L547)/L547,"")</f>
        <v/>
      </c>
      <c r="P547" s="3">
        <f>IF(O547="","",IF(O547&lt;-0.02,"🔴 Bán phá giá sàn",IF(O547&gt;0.05,"🔵 Bán cao hơn","🟢 Đúng giá sàn TMĐT")))</f>
        <v/>
      </c>
      <c r="Q547" s="3" t="n"/>
      <c r="R547" s="4" t="n"/>
      <c r="S547" s="4" t="n"/>
    </row>
    <row r="548">
      <c r="A548" s="3" t="n">
        <v>547</v>
      </c>
      <c r="B548" s="3" t="inlineStr">
        <is>
          <t>KH003</t>
        </is>
      </c>
      <c r="C548" s="4" t="inlineStr">
        <is>
          <t>CÔNG TY TNHH ĐỒ NGHỀ CẦM TAY PHƯƠNG MY</t>
        </is>
      </c>
      <c r="D548" s="3" t="inlineStr">
        <is>
          <t>HCM</t>
        </is>
      </c>
      <c r="E548" s="3" t="inlineStr">
        <is>
          <t>BẢO TRÂM</t>
        </is>
      </c>
      <c r="F548" s="3" t="inlineStr">
        <is>
          <t>Shopee</t>
        </is>
      </c>
      <c r="G548" s="3" t="inlineStr">
        <is>
          <t>MINI20GKD</t>
        </is>
      </c>
      <c r="H548" s="4" t="inlineStr">
        <is>
          <t>Đinh MINI20GKD</t>
        </is>
      </c>
      <c r="I548" s="3" t="inlineStr">
        <is>
          <t>Cái</t>
        </is>
      </c>
      <c r="J548" s="5" t="n">
        <v>269000</v>
      </c>
      <c r="K548" s="5" t="n">
        <v>317000</v>
      </c>
      <c r="L548" s="6" t="n">
        <v>390000</v>
      </c>
      <c r="M548" s="5" t="n"/>
      <c r="N548" s="5">
        <f>IF(AND(ISNUMBER(M548),ISNUMBER(L548)),M548-L548,"")</f>
        <v/>
      </c>
      <c r="O548" s="7">
        <f>IF(AND(ISNUMBER(M548),ISNUMBER(L548),L548&gt;0),(M548-L548)/L548,"")</f>
        <v/>
      </c>
      <c r="P548" s="3">
        <f>IF(O548="","",IF(O548&lt;-0.02,"🔴 Bán phá giá sàn",IF(O548&gt;0.05,"🔵 Bán cao hơn","🟢 Đúng giá sàn TMĐT")))</f>
        <v/>
      </c>
      <c r="Q548" s="3" t="n"/>
      <c r="R548" s="4" t="n"/>
      <c r="S548" s="4" t="n"/>
    </row>
    <row r="549">
      <c r="A549" s="3" t="n">
        <v>548</v>
      </c>
      <c r="B549" s="3" t="inlineStr">
        <is>
          <t>KH003</t>
        </is>
      </c>
      <c r="C549" s="4" t="inlineStr">
        <is>
          <t>CÔNG TY TNHH ĐỒ NGHỀ CẦM TAY PHƯƠNG MY</t>
        </is>
      </c>
      <c r="D549" s="3" t="inlineStr">
        <is>
          <t>HCM</t>
        </is>
      </c>
      <c r="E549" s="3" t="inlineStr">
        <is>
          <t>BẢO TRÂM</t>
        </is>
      </c>
      <c r="F549" s="3" t="inlineStr">
        <is>
          <t>Shopee</t>
        </is>
      </c>
      <c r="G549" s="3" t="inlineStr"/>
      <c r="H549" s="4" t="inlineStr">
        <is>
          <t>Đinh MINIGJD</t>
        </is>
      </c>
      <c r="I549" s="3" t="inlineStr">
        <is>
          <t>Cái</t>
        </is>
      </c>
      <c r="J549" s="5" t="n">
        <v>269000</v>
      </c>
      <c r="K549" s="5" t="n">
        <v>317000</v>
      </c>
      <c r="L549" s="6" t="n">
        <v>390000</v>
      </c>
      <c r="M549" s="5" t="n"/>
      <c r="N549" s="5">
        <f>IF(AND(ISNUMBER(M549),ISNUMBER(L549)),M549-L549,"")</f>
        <v/>
      </c>
      <c r="O549" s="7">
        <f>IF(AND(ISNUMBER(M549),ISNUMBER(L549),L549&gt;0),(M549-L549)/L549,"")</f>
        <v/>
      </c>
      <c r="P549" s="3">
        <f>IF(O549="","",IF(O549&lt;-0.02,"🔴 Bán phá giá sàn",IF(O549&gt;0.05,"🔵 Bán cao hơn","🟢 Đúng giá sàn TMĐT")))</f>
        <v/>
      </c>
      <c r="Q549" s="3" t="n"/>
      <c r="R549" s="4" t="n"/>
      <c r="S549" s="4" t="n"/>
    </row>
    <row r="550">
      <c r="A550" s="3" t="n">
        <v>549</v>
      </c>
      <c r="B550" s="3" t="inlineStr">
        <is>
          <t>KH003</t>
        </is>
      </c>
      <c r="C550" s="4" t="inlineStr">
        <is>
          <t>CÔNG TY TNHH ĐỒ NGHỀ CẦM TAY PHƯƠNG MY</t>
        </is>
      </c>
      <c r="D550" s="3" t="inlineStr">
        <is>
          <t>HCM</t>
        </is>
      </c>
      <c r="E550" s="3" t="inlineStr">
        <is>
          <t>BẢO TRÂM</t>
        </is>
      </c>
      <c r="F550" s="3" t="inlineStr">
        <is>
          <t>Shopee</t>
        </is>
      </c>
      <c r="G550" s="3" t="inlineStr"/>
      <c r="H550" s="4" t="inlineStr">
        <is>
          <t>Đinh MINISFD</t>
        </is>
      </c>
      <c r="I550" s="3" t="inlineStr">
        <is>
          <t>Cái</t>
        </is>
      </c>
      <c r="J550" s="5" t="n">
        <v>269000</v>
      </c>
      <c r="K550" s="5" t="n">
        <v>317000</v>
      </c>
      <c r="L550" s="6" t="n">
        <v>390000</v>
      </c>
      <c r="M550" s="5" t="n"/>
      <c r="N550" s="5">
        <f>IF(AND(ISNUMBER(M550),ISNUMBER(L550)),M550-L550,"")</f>
        <v/>
      </c>
      <c r="O550" s="7">
        <f>IF(AND(ISNUMBER(M550),ISNUMBER(L550),L550&gt;0),(M550-L550)/L550,"")</f>
        <v/>
      </c>
      <c r="P550" s="3">
        <f>IF(O550="","",IF(O550&lt;-0.02,"🔴 Bán phá giá sàn",IF(O550&gt;0.05,"🔵 Bán cao hơn","🟢 Đúng giá sàn TMĐT")))</f>
        <v/>
      </c>
      <c r="Q550" s="3" t="n"/>
      <c r="R550" s="4" t="n"/>
      <c r="S550" s="4" t="n"/>
    </row>
    <row r="551">
      <c r="A551" s="3" t="n">
        <v>550</v>
      </c>
      <c r="B551" s="3" t="inlineStr">
        <is>
          <t>KH003</t>
        </is>
      </c>
      <c r="C551" s="4" t="inlineStr">
        <is>
          <t>CÔNG TY TNHH ĐỒ NGHỀ CẦM TAY PHƯƠNG MY</t>
        </is>
      </c>
      <c r="D551" s="3" t="inlineStr">
        <is>
          <t>HCM</t>
        </is>
      </c>
      <c r="E551" s="3" t="inlineStr">
        <is>
          <t>BẢO TRÂM</t>
        </is>
      </c>
      <c r="F551" s="3" t="inlineStr">
        <is>
          <t>Shopee</t>
        </is>
      </c>
      <c r="G551" s="3" t="inlineStr">
        <is>
          <t>KIW-600</t>
        </is>
      </c>
      <c r="H551" s="4" t="inlineStr">
        <is>
          <t>Đồng hồ vạn năng điện tử KIW-600</t>
        </is>
      </c>
      <c r="I551" s="3" t="inlineStr">
        <is>
          <t>Cái</t>
        </is>
      </c>
      <c r="J551" s="5" t="n">
        <v>269000</v>
      </c>
      <c r="K551" s="5" t="n">
        <v>317000</v>
      </c>
      <c r="L551" s="6" t="n">
        <v>390000</v>
      </c>
      <c r="M551" s="5" t="n"/>
      <c r="N551" s="5">
        <f>IF(AND(ISNUMBER(M551),ISNUMBER(L551)),M551-L551,"")</f>
        <v/>
      </c>
      <c r="O551" s="7">
        <f>IF(AND(ISNUMBER(M551),ISNUMBER(L551),L551&gt;0),(M551-L551)/L551,"")</f>
        <v/>
      </c>
      <c r="P551" s="3">
        <f>IF(O551="","",IF(O551&lt;-0.02,"🔴 Bán phá giá sàn",IF(O551&gt;0.05,"🔵 Bán cao hơn","🟢 Đúng giá sàn TMĐT")))</f>
        <v/>
      </c>
      <c r="Q551" s="3" t="n"/>
      <c r="R551" s="4" t="n"/>
      <c r="S551" s="4" t="n"/>
    </row>
    <row r="552">
      <c r="A552" s="3" t="n">
        <v>551</v>
      </c>
      <c r="B552" s="3" t="inlineStr">
        <is>
          <t>KH003</t>
        </is>
      </c>
      <c r="C552" s="4" t="inlineStr">
        <is>
          <t>CÔNG TY TNHH ĐỒ NGHỀ CẦM TAY PHƯƠNG MY</t>
        </is>
      </c>
      <c r="D552" s="3" t="inlineStr">
        <is>
          <t>HCM</t>
        </is>
      </c>
      <c r="E552" s="3" t="inlineStr">
        <is>
          <t>BẢO TRÂM</t>
        </is>
      </c>
      <c r="F552" s="3" t="inlineStr">
        <is>
          <t>Shopee</t>
        </is>
      </c>
      <c r="G552" s="3" t="inlineStr">
        <is>
          <t>KFG-1.2/8/11.3</t>
        </is>
      </c>
      <c r="H552" s="4" t="inlineStr">
        <is>
          <t>Ghim KFG-1.2/8/11.3</t>
        </is>
      </c>
      <c r="I552" s="3" t="inlineStr">
        <is>
          <t>Hộp</t>
        </is>
      </c>
      <c r="J552" s="5" t="n">
        <v>52000</v>
      </c>
      <c r="K552" s="5" t="n">
        <v>61000</v>
      </c>
      <c r="L552" s="6" t="n">
        <v>75000</v>
      </c>
      <c r="M552" s="5" t="n"/>
      <c r="N552" s="5">
        <f>IF(AND(ISNUMBER(M552),ISNUMBER(L552)),M552-L552,"")</f>
        <v/>
      </c>
      <c r="O552" s="7">
        <f>IF(AND(ISNUMBER(M552),ISNUMBER(L552),L552&gt;0),(M552-L552)/L552,"")</f>
        <v/>
      </c>
      <c r="P552" s="3">
        <f>IF(O552="","",IF(O552&lt;-0.02,"🔴 Bán phá giá sàn",IF(O552&gt;0.05,"🔵 Bán cao hơn","🟢 Đúng giá sàn TMĐT")))</f>
        <v/>
      </c>
      <c r="Q552" s="3" t="n"/>
      <c r="R552" s="4" t="n"/>
      <c r="S552" s="4" t="n"/>
    </row>
    <row r="553">
      <c r="A553" s="3" t="n">
        <v>552</v>
      </c>
      <c r="B553" s="3" t="inlineStr">
        <is>
          <t>KH003</t>
        </is>
      </c>
      <c r="C553" s="4" t="inlineStr">
        <is>
          <t>CÔNG TY TNHH ĐỒ NGHỀ CẦM TAY PHƯƠNG MY</t>
        </is>
      </c>
      <c r="D553" s="3" t="inlineStr">
        <is>
          <t>HCM</t>
        </is>
      </c>
      <c r="E553" s="3" t="inlineStr">
        <is>
          <t>BẢO TRÂM</t>
        </is>
      </c>
      <c r="F553" s="3" t="inlineStr">
        <is>
          <t>Shopee</t>
        </is>
      </c>
      <c r="G553" s="3" t="inlineStr">
        <is>
          <t>KFG-16/6</t>
        </is>
      </c>
      <c r="H553" s="4" t="inlineStr">
        <is>
          <t>Ghim KFG-16/6</t>
        </is>
      </c>
      <c r="I553" s="3" t="inlineStr">
        <is>
          <t>Hộp</t>
        </is>
      </c>
      <c r="J553" s="5" t="n">
        <v>27000</v>
      </c>
      <c r="K553" s="5" t="n">
        <v>32000</v>
      </c>
      <c r="L553" s="6" t="n">
        <v>39000</v>
      </c>
      <c r="M553" s="5" t="n"/>
      <c r="N553" s="5">
        <f>IF(AND(ISNUMBER(M553),ISNUMBER(L553)),M553-L553,"")</f>
        <v/>
      </c>
      <c r="O553" s="7">
        <f>IF(AND(ISNUMBER(M553),ISNUMBER(L553),L553&gt;0),(M553-L553)/L553,"")</f>
        <v/>
      </c>
      <c r="P553" s="3">
        <f>IF(O553="","",IF(O553&lt;-0.02,"🔴 Bán phá giá sàn",IF(O553&gt;0.05,"🔵 Bán cao hơn","🟢 Đúng giá sàn TMĐT")))</f>
        <v/>
      </c>
      <c r="Q553" s="3" t="n"/>
      <c r="R553" s="4" t="n"/>
      <c r="S553" s="4" t="n"/>
    </row>
    <row r="554">
      <c r="A554" s="3" t="n">
        <v>553</v>
      </c>
      <c r="B554" s="3" t="inlineStr">
        <is>
          <t>KH003</t>
        </is>
      </c>
      <c r="C554" s="4" t="inlineStr">
        <is>
          <t>CÔNG TY TNHH ĐỒ NGHỀ CẦM TAY PHƯƠNG MY</t>
        </is>
      </c>
      <c r="D554" s="3" t="inlineStr">
        <is>
          <t>HCM</t>
        </is>
      </c>
      <c r="E554" s="3" t="inlineStr">
        <is>
          <t>BẢO TRÂM</t>
        </is>
      </c>
      <c r="F554" s="3" t="inlineStr">
        <is>
          <t>Shopee</t>
        </is>
      </c>
      <c r="G554" s="3" t="inlineStr">
        <is>
          <t>KFG-16/8</t>
        </is>
      </c>
      <c r="H554" s="4" t="inlineStr">
        <is>
          <t>Ghim KFG-16/8</t>
        </is>
      </c>
      <c r="I554" s="3" t="inlineStr">
        <is>
          <t>Hộp</t>
        </is>
      </c>
      <c r="J554" s="5" t="n">
        <v>31000</v>
      </c>
      <c r="K554" s="5" t="n">
        <v>37000</v>
      </c>
      <c r="L554" s="6" t="n">
        <v>45000</v>
      </c>
      <c r="M554" s="5" t="n"/>
      <c r="N554" s="5">
        <f>IF(AND(ISNUMBER(M554),ISNUMBER(L554)),M554-L554,"")</f>
        <v/>
      </c>
      <c r="O554" s="7">
        <f>IF(AND(ISNUMBER(M554),ISNUMBER(L554),L554&gt;0),(M554-L554)/L554,"")</f>
        <v/>
      </c>
      <c r="P554" s="3">
        <f>IF(O554="","",IF(O554&lt;-0.02,"🔴 Bán phá giá sàn",IF(O554&gt;0.05,"🔵 Bán cao hơn","🟢 Đúng giá sàn TMĐT")))</f>
        <v/>
      </c>
      <c r="Q554" s="3" t="n"/>
      <c r="R554" s="4" t="n"/>
      <c r="S554" s="4" t="n"/>
    </row>
    <row r="555">
      <c r="A555" s="3" t="n">
        <v>554</v>
      </c>
      <c r="B555" s="3" t="inlineStr">
        <is>
          <t>KH003</t>
        </is>
      </c>
      <c r="C555" s="4" t="inlineStr">
        <is>
          <t>CÔNG TY TNHH ĐỒ NGHỀ CẦM TAY PHƯƠNG MY</t>
        </is>
      </c>
      <c r="D555" s="3" t="inlineStr">
        <is>
          <t>HCM</t>
        </is>
      </c>
      <c r="E555" s="3" t="inlineStr">
        <is>
          <t>BẢO TRÂM</t>
        </is>
      </c>
      <c r="F555" s="3" t="inlineStr">
        <is>
          <t>Shopee</t>
        </is>
      </c>
      <c r="G555" s="3" t="inlineStr">
        <is>
          <t>HKE-924</t>
        </is>
      </c>
      <c r="H555" s="4" t="inlineStr">
        <is>
          <t>Hít gạch điện tử HKE-924</t>
        </is>
      </c>
      <c r="I555" s="3" t="inlineStr">
        <is>
          <t>Cái</t>
        </is>
      </c>
      <c r="J555" s="5" t="n">
        <v>680000</v>
      </c>
      <c r="K555" s="5" t="n">
        <v>789000</v>
      </c>
      <c r="L555" s="6" t="n">
        <v>952000</v>
      </c>
      <c r="M555" s="5" t="n"/>
      <c r="N555" s="5">
        <f>IF(AND(ISNUMBER(M555),ISNUMBER(L555)),M555-L555,"")</f>
        <v/>
      </c>
      <c r="O555" s="7">
        <f>IF(AND(ISNUMBER(M555),ISNUMBER(L555),L555&gt;0),(M555-L555)/L555,"")</f>
        <v/>
      </c>
      <c r="P555" s="3">
        <f>IF(O555="","",IF(O555&lt;-0.02,"🔴 Bán phá giá sàn",IF(O555&gt;0.05,"🔵 Bán cao hơn","🟢 Đúng giá sàn TMĐT")))</f>
        <v/>
      </c>
      <c r="Q555" s="3" t="n"/>
      <c r="R555" s="4" t="n"/>
      <c r="S555" s="4" t="n"/>
    </row>
    <row r="556">
      <c r="A556" s="3" t="n">
        <v>555</v>
      </c>
      <c r="B556" s="3" t="inlineStr">
        <is>
          <t>KH003</t>
        </is>
      </c>
      <c r="C556" s="4" t="inlineStr">
        <is>
          <t>CÔNG TY TNHH ĐỒ NGHỀ CẦM TAY PHƯƠNG MY</t>
        </is>
      </c>
      <c r="D556" s="3" t="inlineStr">
        <is>
          <t>HCM</t>
        </is>
      </c>
      <c r="E556" s="3" t="inlineStr">
        <is>
          <t>BẢO TRÂM</t>
        </is>
      </c>
      <c r="F556" s="3" t="inlineStr">
        <is>
          <t>Shopee</t>
        </is>
      </c>
      <c r="G556" s="3" t="inlineStr">
        <is>
          <t>HKE-200</t>
        </is>
      </c>
      <c r="H556" s="4" t="inlineStr">
        <is>
          <t>Hít kính điện tử HKE-200</t>
        </is>
      </c>
      <c r="I556" s="3" t="inlineStr">
        <is>
          <t>Cái</t>
        </is>
      </c>
      <c r="J556" s="5" t="n">
        <v>583000</v>
      </c>
      <c r="K556" s="5" t="n">
        <v>676000</v>
      </c>
      <c r="L556" s="6" t="n">
        <v>816000</v>
      </c>
      <c r="M556" s="5" t="n"/>
      <c r="N556" s="5">
        <f>IF(AND(ISNUMBER(M556),ISNUMBER(L556)),M556-L556,"")</f>
        <v/>
      </c>
      <c r="O556" s="7">
        <f>IF(AND(ISNUMBER(M556),ISNUMBER(L556),L556&gt;0),(M556-L556)/L556,"")</f>
        <v/>
      </c>
      <c r="P556" s="3">
        <f>IF(O556="","",IF(O556&lt;-0.02,"🔴 Bán phá giá sàn",IF(O556&gt;0.05,"🔵 Bán cao hơn","🟢 Đúng giá sàn TMĐT")))</f>
        <v/>
      </c>
      <c r="Q556" s="3" t="n"/>
      <c r="R556" s="4" t="n"/>
      <c r="S556" s="4" t="n"/>
    </row>
    <row r="557">
      <c r="A557" s="3" t="n">
        <v>556</v>
      </c>
      <c r="B557" s="3" t="inlineStr">
        <is>
          <t>KH003</t>
        </is>
      </c>
      <c r="C557" s="4" t="inlineStr">
        <is>
          <t>CÔNG TY TNHH ĐỒ NGHỀ CẦM TAY PHƯƠNG MY</t>
        </is>
      </c>
      <c r="D557" s="3" t="inlineStr">
        <is>
          <t>HCM</t>
        </is>
      </c>
      <c r="E557" s="3" t="inlineStr">
        <is>
          <t>BẢO TRÂM</t>
        </is>
      </c>
      <c r="F557" s="3" t="inlineStr">
        <is>
          <t>Shopee</t>
        </is>
      </c>
      <c r="G557" s="3" t="inlineStr">
        <is>
          <t>HK2-130</t>
        </is>
      </c>
      <c r="H557" s="4" t="inlineStr">
        <is>
          <t>Hít kính HK2-130</t>
        </is>
      </c>
      <c r="I557" s="3" t="inlineStr">
        <is>
          <t>Cái</t>
        </is>
      </c>
      <c r="J557" s="5" t="n">
        <v>308000</v>
      </c>
      <c r="K557" s="5" t="n">
        <v>364000</v>
      </c>
      <c r="L557" s="6" t="n">
        <v>447000</v>
      </c>
      <c r="M557" s="5" t="n"/>
      <c r="N557" s="5">
        <f>IF(AND(ISNUMBER(M557),ISNUMBER(L557)),M557-L557,"")</f>
        <v/>
      </c>
      <c r="O557" s="7">
        <f>IF(AND(ISNUMBER(M557),ISNUMBER(L557),L557&gt;0),(M557-L557)/L557,"")</f>
        <v/>
      </c>
      <c r="P557" s="3">
        <f>IF(O557="","",IF(O557&lt;-0.02,"🔴 Bán phá giá sàn",IF(O557&gt;0.05,"🔵 Bán cao hơn","🟢 Đúng giá sàn TMĐT")))</f>
        <v/>
      </c>
      <c r="Q557" s="3" t="n"/>
      <c r="R557" s="4" t="n"/>
      <c r="S557" s="4" t="n"/>
    </row>
    <row r="558">
      <c r="A558" s="3" t="n">
        <v>557</v>
      </c>
      <c r="B558" s="3" t="inlineStr">
        <is>
          <t>KH003</t>
        </is>
      </c>
      <c r="C558" s="4" t="inlineStr">
        <is>
          <t>CÔNG TY TNHH ĐỒ NGHỀ CẦM TAY PHƯƠNG MY</t>
        </is>
      </c>
      <c r="D558" s="3" t="inlineStr">
        <is>
          <t>HCM</t>
        </is>
      </c>
      <c r="E558" s="3" t="inlineStr">
        <is>
          <t>BẢO TRÂM</t>
        </is>
      </c>
      <c r="F558" s="3" t="inlineStr">
        <is>
          <t>Shopee</t>
        </is>
      </c>
      <c r="G558" s="3" t="inlineStr">
        <is>
          <t>KPQ-32</t>
        </is>
      </c>
      <c r="H558" s="4" t="inlineStr">
        <is>
          <t>Kéo cắt góc nẹp điện KPQ-32</t>
        </is>
      </c>
      <c r="I558" s="3" t="inlineStr">
        <is>
          <t>Cái</t>
        </is>
      </c>
      <c r="J558" s="5" t="n">
        <v>163000</v>
      </c>
      <c r="K558" s="5" t="n">
        <v>192000</v>
      </c>
      <c r="L558" s="6" t="n">
        <v>236000</v>
      </c>
      <c r="M558" s="5" t="n"/>
      <c r="N558" s="5">
        <f>IF(AND(ISNUMBER(M558),ISNUMBER(L558)),M558-L558,"")</f>
        <v/>
      </c>
      <c r="O558" s="7">
        <f>IF(AND(ISNUMBER(M558),ISNUMBER(L558),L558&gt;0),(M558-L558)/L558,"")</f>
        <v/>
      </c>
      <c r="P558" s="3">
        <f>IF(O558="","",IF(O558&lt;-0.02,"🔴 Bán phá giá sàn",IF(O558&gt;0.05,"🔵 Bán cao hơn","🟢 Đúng giá sàn TMĐT")))</f>
        <v/>
      </c>
      <c r="Q558" s="3" t="n"/>
      <c r="R558" s="4" t="n"/>
      <c r="S558" s="4" t="n"/>
    </row>
    <row r="559">
      <c r="A559" s="3" t="n">
        <v>558</v>
      </c>
      <c r="B559" s="3" t="inlineStr">
        <is>
          <t>KH003</t>
        </is>
      </c>
      <c r="C559" s="4" t="inlineStr">
        <is>
          <t>CÔNG TY TNHH ĐỒ NGHỀ CẦM TAY PHƯƠNG MY</t>
        </is>
      </c>
      <c r="D559" s="3" t="inlineStr">
        <is>
          <t>HCM</t>
        </is>
      </c>
      <c r="E559" s="3" t="inlineStr">
        <is>
          <t>BẢO TRÂM</t>
        </is>
      </c>
      <c r="F559" s="3" t="inlineStr">
        <is>
          <t>Shopee</t>
        </is>
      </c>
      <c r="G559" s="3" t="inlineStr">
        <is>
          <t>KPC-132</t>
        </is>
      </c>
      <c r="H559" s="4" t="inlineStr">
        <is>
          <t>Kéo cắt ống KPC-132</t>
        </is>
      </c>
      <c r="I559" s="3" t="inlineStr">
        <is>
          <t>Cái</t>
        </is>
      </c>
      <c r="J559" s="5" t="n">
        <v>101000</v>
      </c>
      <c r="K559" s="5" t="n">
        <v>119000</v>
      </c>
      <c r="L559" s="6" t="n">
        <v>147000</v>
      </c>
      <c r="M559" s="5" t="n"/>
      <c r="N559" s="5">
        <f>IF(AND(ISNUMBER(M559),ISNUMBER(L559)),M559-L559,"")</f>
        <v/>
      </c>
      <c r="O559" s="7">
        <f>IF(AND(ISNUMBER(M559),ISNUMBER(L559),L559&gt;0),(M559-L559)/L559,"")</f>
        <v/>
      </c>
      <c r="P559" s="3">
        <f>IF(O559="","",IF(O559&lt;-0.02,"🔴 Bán phá giá sàn",IF(O559&gt;0.05,"🔵 Bán cao hơn","🟢 Đúng giá sàn TMĐT")))</f>
        <v/>
      </c>
      <c r="Q559" s="3" t="n"/>
      <c r="R559" s="4" t="n"/>
      <c r="S559" s="4" t="n"/>
    </row>
    <row r="560">
      <c r="A560" s="3" t="n">
        <v>559</v>
      </c>
      <c r="B560" s="3" t="inlineStr">
        <is>
          <t>KH003</t>
        </is>
      </c>
      <c r="C560" s="4" t="inlineStr">
        <is>
          <t>CÔNG TY TNHH ĐỒ NGHỀ CẦM TAY PHƯƠNG MY</t>
        </is>
      </c>
      <c r="D560" s="3" t="inlineStr">
        <is>
          <t>HCM</t>
        </is>
      </c>
      <c r="E560" s="3" t="inlineStr">
        <is>
          <t>BẢO TRÂM</t>
        </is>
      </c>
      <c r="F560" s="3" t="inlineStr">
        <is>
          <t>Shopee</t>
        </is>
      </c>
      <c r="G560" s="3" t="inlineStr">
        <is>
          <t>KPC-164</t>
        </is>
      </c>
      <c r="H560" s="4" t="inlineStr">
        <is>
          <t>Kéo cắt ống KPC-164</t>
        </is>
      </c>
      <c r="I560" s="3" t="inlineStr">
        <is>
          <t>Cái</t>
        </is>
      </c>
      <c r="J560" s="5" t="n">
        <v>262000</v>
      </c>
      <c r="K560" s="5" t="n">
        <v>309000</v>
      </c>
      <c r="L560" s="6" t="n">
        <v>380000</v>
      </c>
      <c r="M560" s="5" t="n"/>
      <c r="N560" s="5">
        <f>IF(AND(ISNUMBER(M560),ISNUMBER(L560)),M560-L560,"")</f>
        <v/>
      </c>
      <c r="O560" s="7">
        <f>IF(AND(ISNUMBER(M560),ISNUMBER(L560),L560&gt;0),(M560-L560)/L560,"")</f>
        <v/>
      </c>
      <c r="P560" s="3">
        <f>IF(O560="","",IF(O560&lt;-0.02,"🔴 Bán phá giá sàn",IF(O560&gt;0.05,"🔵 Bán cao hơn","🟢 Đúng giá sàn TMĐT")))</f>
        <v/>
      </c>
      <c r="Q560" s="3" t="n"/>
      <c r="R560" s="4" t="n"/>
      <c r="S560" s="4" t="n"/>
    </row>
    <row r="561">
      <c r="A561" s="3" t="n">
        <v>560</v>
      </c>
      <c r="B561" s="3" t="inlineStr">
        <is>
          <t>KH003</t>
        </is>
      </c>
      <c r="C561" s="4" t="inlineStr">
        <is>
          <t>CÔNG TY TNHH ĐỒ NGHỀ CẦM TAY PHƯƠNG MY</t>
        </is>
      </c>
      <c r="D561" s="3" t="inlineStr">
        <is>
          <t>HCM</t>
        </is>
      </c>
      <c r="E561" s="3" t="inlineStr">
        <is>
          <t>BẢO TRÂM</t>
        </is>
      </c>
      <c r="F561" s="3" t="inlineStr">
        <is>
          <t>Shopee</t>
        </is>
      </c>
      <c r="G561" s="3" t="inlineStr">
        <is>
          <t>KPC-242</t>
        </is>
      </c>
      <c r="H561" s="4" t="inlineStr">
        <is>
          <t>Kéo cắt ống KPC-242</t>
        </is>
      </c>
      <c r="I561" s="3" t="inlineStr">
        <is>
          <t>Cái</t>
        </is>
      </c>
      <c r="J561" s="5" t="n">
        <v>172000</v>
      </c>
      <c r="K561" s="5" t="n">
        <v>203000</v>
      </c>
      <c r="L561" s="6" t="n">
        <v>249000</v>
      </c>
      <c r="M561" s="5" t="n"/>
      <c r="N561" s="5">
        <f>IF(AND(ISNUMBER(M561),ISNUMBER(L561)),M561-L561,"")</f>
        <v/>
      </c>
      <c r="O561" s="7">
        <f>IF(AND(ISNUMBER(M561),ISNUMBER(L561),L561&gt;0),(M561-L561)/L561,"")</f>
        <v/>
      </c>
      <c r="P561" s="3">
        <f>IF(O561="","",IF(O561&lt;-0.02,"🔴 Bán phá giá sàn",IF(O561&gt;0.05,"🔵 Bán cao hơn","🟢 Đúng giá sàn TMĐT")))</f>
        <v/>
      </c>
      <c r="Q561" s="3" t="n"/>
      <c r="R561" s="4" t="n"/>
      <c r="S561" s="4" t="n"/>
    </row>
    <row r="562">
      <c r="A562" s="3" t="n">
        <v>561</v>
      </c>
      <c r="B562" s="3" t="inlineStr">
        <is>
          <t>KH003</t>
        </is>
      </c>
      <c r="C562" s="4" t="inlineStr">
        <is>
          <t>CÔNG TY TNHH ĐỒ NGHỀ CẦM TAY PHƯƠNG MY</t>
        </is>
      </c>
      <c r="D562" s="3" t="inlineStr">
        <is>
          <t>HCM</t>
        </is>
      </c>
      <c r="E562" s="3" t="inlineStr">
        <is>
          <t>BẢO TRÂM</t>
        </is>
      </c>
      <c r="F562" s="3" t="inlineStr">
        <is>
          <t>Shopee</t>
        </is>
      </c>
      <c r="G562" s="3" t="inlineStr">
        <is>
          <t>QC1</t>
        </is>
      </c>
      <c r="H562" s="4" t="inlineStr">
        <is>
          <t>Kéo cắt trái cây QC1</t>
        </is>
      </c>
      <c r="I562" s="3" t="inlineStr">
        <is>
          <t>Cái</t>
        </is>
      </c>
      <c r="J562" s="5" t="n">
        <v>38000</v>
      </c>
      <c r="K562" s="5" t="n">
        <v>45000</v>
      </c>
      <c r="L562" s="6" t="n">
        <v>55000</v>
      </c>
      <c r="M562" s="5" t="n"/>
      <c r="N562" s="5">
        <f>IF(AND(ISNUMBER(M562),ISNUMBER(L562)),M562-L562,"")</f>
        <v/>
      </c>
      <c r="O562" s="7">
        <f>IF(AND(ISNUMBER(M562),ISNUMBER(L562),L562&gt;0),(M562-L562)/L562,"")</f>
        <v/>
      </c>
      <c r="P562" s="3">
        <f>IF(O562="","",IF(O562&lt;-0.02,"🔴 Bán phá giá sàn",IF(O562&gt;0.05,"🔵 Bán cao hơn","🟢 Đúng giá sàn TMĐT")))</f>
        <v/>
      </c>
      <c r="Q562" s="3" t="n"/>
      <c r="R562" s="4" t="n"/>
      <c r="S562" s="4" t="n"/>
    </row>
    <row r="563">
      <c r="A563" s="3" t="n">
        <v>562</v>
      </c>
      <c r="B563" s="3" t="inlineStr">
        <is>
          <t>KH003</t>
        </is>
      </c>
      <c r="C563" s="4" t="inlineStr">
        <is>
          <t>CÔNG TY TNHH ĐỒ NGHỀ CẦM TAY PHƯƠNG MY</t>
        </is>
      </c>
      <c r="D563" s="3" t="inlineStr">
        <is>
          <t>HCM</t>
        </is>
      </c>
      <c r="E563" s="3" t="inlineStr">
        <is>
          <t>BẢO TRÂM</t>
        </is>
      </c>
      <c r="F563" s="3" t="inlineStr">
        <is>
          <t>Shopee</t>
        </is>
      </c>
      <c r="G563" s="3" t="inlineStr">
        <is>
          <t>QC2</t>
        </is>
      </c>
      <c r="H563" s="4" t="inlineStr">
        <is>
          <t>Kéo cắt trái cây QC2</t>
        </is>
      </c>
      <c r="I563" s="3" t="inlineStr">
        <is>
          <t>Cái</t>
        </is>
      </c>
      <c r="J563" s="5" t="n">
        <v>65000</v>
      </c>
      <c r="K563" s="5" t="n">
        <v>77000</v>
      </c>
      <c r="L563" s="6" t="n">
        <v>94000</v>
      </c>
      <c r="M563" s="5" t="n"/>
      <c r="N563" s="5">
        <f>IF(AND(ISNUMBER(M563),ISNUMBER(L563)),M563-L563,"")</f>
        <v/>
      </c>
      <c r="O563" s="7">
        <f>IF(AND(ISNUMBER(M563),ISNUMBER(L563),L563&gt;0),(M563-L563)/L563,"")</f>
        <v/>
      </c>
      <c r="P563" s="3">
        <f>IF(O563="","",IF(O563&lt;-0.02,"🔴 Bán phá giá sàn",IF(O563&gt;0.05,"🔵 Bán cao hơn","🟢 Đúng giá sàn TMĐT")))</f>
        <v/>
      </c>
      <c r="Q563" s="3" t="n"/>
      <c r="R563" s="4" t="n"/>
      <c r="S563" s="4" t="n"/>
    </row>
    <row r="564">
      <c r="A564" s="3" t="n">
        <v>563</v>
      </c>
      <c r="B564" s="3" t="inlineStr">
        <is>
          <t>KH003</t>
        </is>
      </c>
      <c r="C564" s="4" t="inlineStr">
        <is>
          <t>CÔNG TY TNHH ĐỒ NGHỀ CẦM TAY PHƯƠNG MY</t>
        </is>
      </c>
      <c r="D564" s="3" t="inlineStr">
        <is>
          <t>HCM</t>
        </is>
      </c>
      <c r="E564" s="3" t="inlineStr">
        <is>
          <t>BẢO TRÂM</t>
        </is>
      </c>
      <c r="F564" s="3" t="inlineStr">
        <is>
          <t>Shopee</t>
        </is>
      </c>
      <c r="G564" s="3" t="inlineStr">
        <is>
          <t>NG107</t>
        </is>
      </c>
      <c r="H564" s="4" t="inlineStr">
        <is>
          <t>Kích nâng gạch NG107</t>
        </is>
      </c>
      <c r="I564" s="3" t="inlineStr">
        <is>
          <t>Cái</t>
        </is>
      </c>
      <c r="J564" s="5" t="n">
        <v>105000</v>
      </c>
      <c r="K564" s="5" t="n">
        <v>124000</v>
      </c>
      <c r="L564" s="6" t="n">
        <v>152000</v>
      </c>
      <c r="M564" s="5" t="n"/>
      <c r="N564" s="5">
        <f>IF(AND(ISNUMBER(M564),ISNUMBER(L564)),M564-L564,"")</f>
        <v/>
      </c>
      <c r="O564" s="7">
        <f>IF(AND(ISNUMBER(M564),ISNUMBER(L564),L564&gt;0),(M564-L564)/L564,"")</f>
        <v/>
      </c>
      <c r="P564" s="3">
        <f>IF(O564="","",IF(O564&lt;-0.02,"🔴 Bán phá giá sàn",IF(O564&gt;0.05,"🔵 Bán cao hơn","🟢 Đúng giá sàn TMĐT")))</f>
        <v/>
      </c>
      <c r="Q564" s="3" t="n"/>
      <c r="R564" s="4" t="n"/>
      <c r="S564" s="4" t="n"/>
    </row>
    <row r="565">
      <c r="A565" s="3" t="n">
        <v>564</v>
      </c>
      <c r="B565" s="3" t="inlineStr">
        <is>
          <t>KH003</t>
        </is>
      </c>
      <c r="C565" s="4" t="inlineStr">
        <is>
          <t>CÔNG TY TNHH ĐỒ NGHỀ CẦM TAY PHƯƠNG MY</t>
        </is>
      </c>
      <c r="D565" s="3" t="inlineStr">
        <is>
          <t>HCM</t>
        </is>
      </c>
      <c r="E565" s="3" t="inlineStr">
        <is>
          <t>BẢO TRÂM</t>
        </is>
      </c>
      <c r="F565" s="3" t="inlineStr">
        <is>
          <t>Shopee</t>
        </is>
      </c>
      <c r="G565" s="3" t="inlineStr">
        <is>
          <t>KND150</t>
        </is>
      </c>
      <c r="H565" s="4" t="inlineStr">
        <is>
          <t>Kìm cắt chân mạch đa năng KND150</t>
        </is>
      </c>
      <c r="I565" s="3" t="inlineStr">
        <is>
          <t>Cái</t>
        </is>
      </c>
      <c r="J565" s="5" t="n">
        <v>64000</v>
      </c>
      <c r="K565" s="5" t="n">
        <v>76000</v>
      </c>
      <c r="L565" s="6" t="n">
        <v>93000</v>
      </c>
      <c r="M565" s="5" t="n"/>
      <c r="N565" s="5">
        <f>IF(AND(ISNUMBER(M565),ISNUMBER(L565)),M565-L565,"")</f>
        <v/>
      </c>
      <c r="O565" s="7">
        <f>IF(AND(ISNUMBER(M565),ISNUMBER(L565),L565&gt;0),(M565-L565)/L565,"")</f>
        <v/>
      </c>
      <c r="P565" s="3">
        <f>IF(O565="","",IF(O565&lt;-0.02,"🔴 Bán phá giá sàn",IF(O565&gt;0.05,"🔵 Bán cao hơn","🟢 Đúng giá sàn TMĐT")))</f>
        <v/>
      </c>
      <c r="Q565" s="3" t="n"/>
      <c r="R565" s="4" t="n"/>
      <c r="S565" s="4" t="n"/>
    </row>
    <row r="566">
      <c r="A566" s="3" t="n">
        <v>565</v>
      </c>
      <c r="B566" s="3" t="inlineStr">
        <is>
          <t>KH003</t>
        </is>
      </c>
      <c r="C566" s="4" t="inlineStr">
        <is>
          <t>CÔNG TY TNHH ĐỒ NGHỀ CẦM TAY PHƯƠNG MY</t>
        </is>
      </c>
      <c r="D566" s="3" t="inlineStr">
        <is>
          <t>HCM</t>
        </is>
      </c>
      <c r="E566" s="3" t="inlineStr">
        <is>
          <t>BẢO TRÂM</t>
        </is>
      </c>
      <c r="F566" s="3" t="inlineStr">
        <is>
          <t>Shopee</t>
        </is>
      </c>
      <c r="G566" s="3" t="inlineStr">
        <is>
          <t>KC3-09</t>
        </is>
      </c>
      <c r="H566" s="4" t="inlineStr">
        <is>
          <t>Kìm cắt đa năng KC3-09</t>
        </is>
      </c>
      <c r="I566" s="3" t="inlineStr">
        <is>
          <t>Cái</t>
        </is>
      </c>
      <c r="J566" s="5" t="n">
        <v>269000</v>
      </c>
      <c r="K566" s="5" t="n">
        <v>317000</v>
      </c>
      <c r="L566" s="6" t="n">
        <v>390000</v>
      </c>
      <c r="M566" s="5" t="n"/>
      <c r="N566" s="5">
        <f>IF(AND(ISNUMBER(M566),ISNUMBER(L566)),M566-L566,"")</f>
        <v/>
      </c>
      <c r="O566" s="7">
        <f>IF(AND(ISNUMBER(M566),ISNUMBER(L566),L566&gt;0),(M566-L566)/L566,"")</f>
        <v/>
      </c>
      <c r="P566" s="3">
        <f>IF(O566="","",IF(O566&lt;-0.02,"🔴 Bán phá giá sàn",IF(O566&gt;0.05,"🔵 Bán cao hơn","🟢 Đúng giá sàn TMĐT")))</f>
        <v/>
      </c>
      <c r="Q566" s="3" t="n"/>
      <c r="R566" s="4" t="n"/>
      <c r="S566" s="4" t="n"/>
    </row>
    <row r="567">
      <c r="A567" s="3" t="n">
        <v>566</v>
      </c>
      <c r="B567" s="3" t="inlineStr">
        <is>
          <t>KH003</t>
        </is>
      </c>
      <c r="C567" s="4" t="inlineStr">
        <is>
          <t>CÔNG TY TNHH ĐỒ NGHỀ CẦM TAY PHƯƠNG MY</t>
        </is>
      </c>
      <c r="D567" s="3" t="inlineStr">
        <is>
          <t>HCM</t>
        </is>
      </c>
      <c r="E567" s="3" t="inlineStr">
        <is>
          <t>BẢO TRÂM</t>
        </is>
      </c>
      <c r="F567" s="3" t="inlineStr">
        <is>
          <t>Shopee</t>
        </is>
      </c>
      <c r="G567" s="3" t="inlineStr">
        <is>
          <t>KND200</t>
        </is>
      </c>
      <c r="H567" s="4" t="inlineStr">
        <is>
          <t>Kìm cắt tuốt đa năng 5 in1 KND200</t>
        </is>
      </c>
      <c r="I567" s="3" t="inlineStr">
        <is>
          <t>Cái</t>
        </is>
      </c>
      <c r="J567" s="5" t="n">
        <v>72000</v>
      </c>
      <c r="K567" s="5" t="n">
        <v>85000</v>
      </c>
      <c r="L567" s="6" t="n">
        <v>104000</v>
      </c>
      <c r="M567" s="5" t="n"/>
      <c r="N567" s="5">
        <f>IF(AND(ISNUMBER(M567),ISNUMBER(L567)),M567-L567,"")</f>
        <v/>
      </c>
      <c r="O567" s="7">
        <f>IF(AND(ISNUMBER(M567),ISNUMBER(L567),L567&gt;0),(M567-L567)/L567,"")</f>
        <v/>
      </c>
      <c r="P567" s="3">
        <f>IF(O567="","",IF(O567&lt;-0.02,"🔴 Bán phá giá sàn",IF(O567&gt;0.05,"🔵 Bán cao hơn","🟢 Đúng giá sàn TMĐT")))</f>
        <v/>
      </c>
      <c r="Q567" s="3" t="n"/>
      <c r="R567" s="4" t="n"/>
      <c r="S567" s="4" t="n"/>
    </row>
    <row r="568">
      <c r="A568" s="3" t="n">
        <v>567</v>
      </c>
      <c r="B568" s="3" t="inlineStr">
        <is>
          <t>KH003</t>
        </is>
      </c>
      <c r="C568" s="4" t="inlineStr">
        <is>
          <t>CÔNG TY TNHH ĐỒ NGHỀ CẦM TAY PHƯƠNG MY</t>
        </is>
      </c>
      <c r="D568" s="3" t="inlineStr">
        <is>
          <t>HCM</t>
        </is>
      </c>
      <c r="E568" s="3" t="inlineStr">
        <is>
          <t>BẢO TRÂM</t>
        </is>
      </c>
      <c r="F568" s="3" t="inlineStr">
        <is>
          <t>Shopee</t>
        </is>
      </c>
      <c r="G568" s="3" t="inlineStr"/>
      <c r="H568" s="4" t="inlineStr">
        <is>
          <t>Kìm cong phe ngoài KCE 180</t>
        </is>
      </c>
      <c r="I568" s="3" t="inlineStr">
        <is>
          <t>Cái</t>
        </is>
      </c>
      <c r="J568" s="5" t="n">
        <v>269000</v>
      </c>
      <c r="K568" s="5" t="n">
        <v>317000</v>
      </c>
      <c r="L568" s="6" t="n">
        <v>390000</v>
      </c>
      <c r="M568" s="5" t="n"/>
      <c r="N568" s="5">
        <f>IF(AND(ISNUMBER(M568),ISNUMBER(L568)),M568-L568,"")</f>
        <v/>
      </c>
      <c r="O568" s="7">
        <f>IF(AND(ISNUMBER(M568),ISNUMBER(L568),L568&gt;0),(M568-L568)/L568,"")</f>
        <v/>
      </c>
      <c r="P568" s="3">
        <f>IF(O568="","",IF(O568&lt;-0.02,"🔴 Bán phá giá sàn",IF(O568&gt;0.05,"🔵 Bán cao hơn","🟢 Đúng giá sàn TMĐT")))</f>
        <v/>
      </c>
      <c r="Q568" s="3" t="n"/>
      <c r="R568" s="4" t="n"/>
      <c r="S568" s="4" t="n"/>
    </row>
    <row r="569">
      <c r="A569" s="3" t="n">
        <v>568</v>
      </c>
      <c r="B569" s="3" t="inlineStr">
        <is>
          <t>KH003</t>
        </is>
      </c>
      <c r="C569" s="4" t="inlineStr">
        <is>
          <t>CÔNG TY TNHH ĐỒ NGHỀ CẦM TAY PHƯƠNG MY</t>
        </is>
      </c>
      <c r="D569" s="3" t="inlineStr">
        <is>
          <t>HCM</t>
        </is>
      </c>
      <c r="E569" s="3" t="inlineStr">
        <is>
          <t>BẢO TRÂM</t>
        </is>
      </c>
      <c r="F569" s="3" t="inlineStr">
        <is>
          <t>Shopee</t>
        </is>
      </c>
      <c r="G569" s="3" t="inlineStr"/>
      <c r="H569" s="4" t="inlineStr">
        <is>
          <t>Kìm cong phe trong KCD 180</t>
        </is>
      </c>
      <c r="I569" s="3" t="inlineStr">
        <is>
          <t>Cái</t>
        </is>
      </c>
      <c r="J569" s="5" t="n">
        <v>269000</v>
      </c>
      <c r="K569" s="5" t="n">
        <v>317000</v>
      </c>
      <c r="L569" s="6" t="n">
        <v>390000</v>
      </c>
      <c r="M569" s="5" t="n"/>
      <c r="N569" s="5">
        <f>IF(AND(ISNUMBER(M569),ISNUMBER(L569)),M569-L569,"")</f>
        <v/>
      </c>
      <c r="O569" s="7">
        <f>IF(AND(ISNUMBER(M569),ISNUMBER(L569),L569&gt;0),(M569-L569)/L569,"")</f>
        <v/>
      </c>
      <c r="P569" s="3">
        <f>IF(O569="","",IF(O569&lt;-0.02,"🔴 Bán phá giá sàn",IF(O569&gt;0.05,"🔵 Bán cao hơn","🟢 Đúng giá sàn TMĐT")))</f>
        <v/>
      </c>
      <c r="Q569" s="3" t="n"/>
      <c r="R569" s="4" t="n"/>
      <c r="S569" s="4" t="n"/>
    </row>
    <row r="570">
      <c r="A570" s="3" t="n">
        <v>569</v>
      </c>
      <c r="B570" s="3" t="inlineStr">
        <is>
          <t>KH003</t>
        </is>
      </c>
      <c r="C570" s="4" t="inlineStr">
        <is>
          <t>CÔNG TY TNHH ĐỒ NGHỀ CẦM TAY PHƯƠNG MY</t>
        </is>
      </c>
      <c r="D570" s="3" t="inlineStr">
        <is>
          <t>HCM</t>
        </is>
      </c>
      <c r="E570" s="3" t="inlineStr">
        <is>
          <t>BẢO TRÂM</t>
        </is>
      </c>
      <c r="F570" s="3" t="inlineStr">
        <is>
          <t>Shopee</t>
        </is>
      </c>
      <c r="G570" s="3" t="inlineStr">
        <is>
          <t>KS2-250</t>
        </is>
      </c>
      <c r="H570" s="4" t="inlineStr">
        <is>
          <t>Kìm chết KS2-250</t>
        </is>
      </c>
      <c r="I570" s="3" t="inlineStr">
        <is>
          <t>Cái</t>
        </is>
      </c>
      <c r="J570" s="5" t="n">
        <v>149000</v>
      </c>
      <c r="K570" s="5" t="n">
        <v>176000</v>
      </c>
      <c r="L570" s="6" t="n">
        <v>216000</v>
      </c>
      <c r="M570" s="5" t="n"/>
      <c r="N570" s="5">
        <f>IF(AND(ISNUMBER(M570),ISNUMBER(L570)),M570-L570,"")</f>
        <v/>
      </c>
      <c r="O570" s="7">
        <f>IF(AND(ISNUMBER(M570),ISNUMBER(L570),L570&gt;0),(M570-L570)/L570,"")</f>
        <v/>
      </c>
      <c r="P570" s="3">
        <f>IF(O570="","",IF(O570&lt;-0.02,"🔴 Bán phá giá sàn",IF(O570&gt;0.05,"🔵 Bán cao hơn","🟢 Đúng giá sàn TMĐT")))</f>
        <v/>
      </c>
      <c r="Q570" s="3" t="n"/>
      <c r="R570" s="4" t="n"/>
      <c r="S570" s="4" t="n"/>
    </row>
    <row r="571">
      <c r="A571" s="3" t="n">
        <v>570</v>
      </c>
      <c r="B571" s="3" t="inlineStr">
        <is>
          <t>KH003</t>
        </is>
      </c>
      <c r="C571" s="4" t="inlineStr">
        <is>
          <t>CÔNG TY TNHH ĐỒ NGHỀ CẦM TAY PHƯƠNG MY</t>
        </is>
      </c>
      <c r="D571" s="3" t="inlineStr">
        <is>
          <t>HCM</t>
        </is>
      </c>
      <c r="E571" s="3" t="inlineStr">
        <is>
          <t>BẢO TRÂM</t>
        </is>
      </c>
      <c r="F571" s="3" t="inlineStr">
        <is>
          <t>Shopee</t>
        </is>
      </c>
      <c r="G571" s="3" t="inlineStr">
        <is>
          <t>KS4-260</t>
        </is>
      </c>
      <c r="H571" s="4" t="inlineStr">
        <is>
          <t>Kìm chết ngàm rộng 4 chế độ KS4-260</t>
        </is>
      </c>
      <c r="I571" s="3" t="inlineStr">
        <is>
          <t>Cái</t>
        </is>
      </c>
      <c r="J571" s="5" t="n">
        <v>270000</v>
      </c>
      <c r="K571" s="5" t="n">
        <v>319000</v>
      </c>
      <c r="L571" s="6" t="n">
        <v>392000</v>
      </c>
      <c r="M571" s="5" t="n"/>
      <c r="N571" s="5">
        <f>IF(AND(ISNUMBER(M571),ISNUMBER(L571)),M571-L571,"")</f>
        <v/>
      </c>
      <c r="O571" s="7">
        <f>IF(AND(ISNUMBER(M571),ISNUMBER(L571),L571&gt;0),(M571-L571)/L571,"")</f>
        <v/>
      </c>
      <c r="P571" s="3">
        <f>IF(O571="","",IF(O571&lt;-0.02,"🔴 Bán phá giá sàn",IF(O571&gt;0.05,"🔵 Bán cao hơn","🟢 Đúng giá sàn TMĐT")))</f>
        <v/>
      </c>
      <c r="Q571" s="3" t="n"/>
      <c r="R571" s="4" t="n"/>
      <c r="S571" s="4" t="n"/>
    </row>
    <row r="572">
      <c r="A572" s="3" t="n">
        <v>571</v>
      </c>
      <c r="B572" s="3" t="inlineStr">
        <is>
          <t>KH003</t>
        </is>
      </c>
      <c r="C572" s="4" t="inlineStr">
        <is>
          <t>CÔNG TY TNHH ĐỒ NGHỀ CẦM TAY PHƯƠNG MY</t>
        </is>
      </c>
      <c r="D572" s="3" t="inlineStr">
        <is>
          <t>HCM</t>
        </is>
      </c>
      <c r="E572" s="3" t="inlineStr">
        <is>
          <t>BẢO TRÂM</t>
        </is>
      </c>
      <c r="F572" s="3" t="inlineStr">
        <is>
          <t>Shopee</t>
        </is>
      </c>
      <c r="G572" s="3" t="inlineStr">
        <is>
          <t>KC1-09</t>
        </is>
      </c>
      <c r="H572" s="4" t="inlineStr">
        <is>
          <t>Kìm điện đa năng KC1-09</t>
        </is>
      </c>
      <c r="I572" s="3" t="inlineStr">
        <is>
          <t>Cái</t>
        </is>
      </c>
      <c r="J572" s="5" t="n">
        <v>127000</v>
      </c>
      <c r="K572" s="5" t="n">
        <v>150000</v>
      </c>
      <c r="L572" s="6" t="n">
        <v>184000</v>
      </c>
      <c r="M572" s="5" t="n"/>
      <c r="N572" s="5">
        <f>IF(AND(ISNUMBER(M572),ISNUMBER(L572)),M572-L572,"")</f>
        <v/>
      </c>
      <c r="O572" s="7">
        <f>IF(AND(ISNUMBER(M572),ISNUMBER(L572),L572&gt;0),(M572-L572)/L572,"")</f>
        <v/>
      </c>
      <c r="P572" s="3">
        <f>IF(O572="","",IF(O572&lt;-0.02,"🔴 Bán phá giá sàn",IF(O572&gt;0.05,"🔵 Bán cao hơn","🟢 Đúng giá sàn TMĐT")))</f>
        <v/>
      </c>
      <c r="Q572" s="3" t="n"/>
      <c r="R572" s="4" t="n"/>
      <c r="S572" s="4" t="n"/>
    </row>
    <row r="573">
      <c r="A573" s="3" t="n">
        <v>572</v>
      </c>
      <c r="B573" s="3" t="inlineStr">
        <is>
          <t>KH003</t>
        </is>
      </c>
      <c r="C573" s="4" t="inlineStr">
        <is>
          <t>CÔNG TY TNHH ĐỒ NGHỀ CẦM TAY PHƯƠNG MY</t>
        </is>
      </c>
      <c r="D573" s="3" t="inlineStr">
        <is>
          <t>HCM</t>
        </is>
      </c>
      <c r="E573" s="3" t="inlineStr">
        <is>
          <t>BẢO TRÂM</t>
        </is>
      </c>
      <c r="F573" s="3" t="inlineStr">
        <is>
          <t>Shopee</t>
        </is>
      </c>
      <c r="G573" s="3" t="inlineStr">
        <is>
          <t>KC2-09</t>
        </is>
      </c>
      <c r="H573" s="4" t="inlineStr">
        <is>
          <t>Kìm mỏ nhọn đa năng KC2-09</t>
        </is>
      </c>
      <c r="I573" s="3" t="inlineStr">
        <is>
          <t>Cái</t>
        </is>
      </c>
      <c r="J573" s="5" t="n">
        <v>127000</v>
      </c>
      <c r="K573" s="5" t="n">
        <v>150000</v>
      </c>
      <c r="L573" s="6" t="n">
        <v>184000</v>
      </c>
      <c r="M573" s="5" t="n"/>
      <c r="N573" s="5">
        <f>IF(AND(ISNUMBER(M573),ISNUMBER(L573)),M573-L573,"")</f>
        <v/>
      </c>
      <c r="O573" s="7">
        <f>IF(AND(ISNUMBER(M573),ISNUMBER(L573),L573&gt;0),(M573-L573)/L573,"")</f>
        <v/>
      </c>
      <c r="P573" s="3">
        <f>IF(O573="","",IF(O573&lt;-0.02,"🔴 Bán phá giá sàn",IF(O573&gt;0.05,"🔵 Bán cao hơn","🟢 Đúng giá sàn TMĐT")))</f>
        <v/>
      </c>
      <c r="Q573" s="3" t="n"/>
      <c r="R573" s="4" t="n"/>
      <c r="S573" s="4" t="n"/>
    </row>
    <row r="574">
      <c r="A574" s="3" t="n">
        <v>573</v>
      </c>
      <c r="B574" s="3" t="inlineStr">
        <is>
          <t>KH003</t>
        </is>
      </c>
      <c r="C574" s="4" t="inlineStr">
        <is>
          <t>CÔNG TY TNHH ĐỒ NGHỀ CẦM TAY PHƯƠNG MY</t>
        </is>
      </c>
      <c r="D574" s="3" t="inlineStr">
        <is>
          <t>HCM</t>
        </is>
      </c>
      <c r="E574" s="3" t="inlineStr">
        <is>
          <t>BẢO TRÂM</t>
        </is>
      </c>
      <c r="F574" s="3" t="inlineStr">
        <is>
          <t>Shopee</t>
        </is>
      </c>
      <c r="G574" s="3" t="inlineStr">
        <is>
          <t>KC4-300</t>
        </is>
      </c>
      <c r="H574" s="4" t="inlineStr">
        <is>
          <t>Kìm mỏ quạ KC4-300</t>
        </is>
      </c>
      <c r="I574" s="3" t="inlineStr">
        <is>
          <t>Cái</t>
        </is>
      </c>
      <c r="J574" s="5" t="n">
        <v>193000</v>
      </c>
      <c r="K574" s="5" t="n">
        <v>228000</v>
      </c>
      <c r="L574" s="6" t="n">
        <v>280000</v>
      </c>
      <c r="M574" s="5" t="n"/>
      <c r="N574" s="5">
        <f>IF(AND(ISNUMBER(M574),ISNUMBER(L574)),M574-L574,"")</f>
        <v/>
      </c>
      <c r="O574" s="7">
        <f>IF(AND(ISNUMBER(M574),ISNUMBER(L574),L574&gt;0),(M574-L574)/L574,"")</f>
        <v/>
      </c>
      <c r="P574" s="3">
        <f>IF(O574="","",IF(O574&lt;-0.02,"🔴 Bán phá giá sàn",IF(O574&gt;0.05,"🔵 Bán cao hơn","🟢 Đúng giá sàn TMĐT")))</f>
        <v/>
      </c>
      <c r="Q574" s="3" t="n"/>
      <c r="R574" s="4" t="n"/>
      <c r="S574" s="4" t="n"/>
    </row>
    <row r="575">
      <c r="A575" s="3" t="n">
        <v>574</v>
      </c>
      <c r="B575" s="3" t="inlineStr">
        <is>
          <t>KH003</t>
        </is>
      </c>
      <c r="C575" s="4" t="inlineStr">
        <is>
          <t>CÔNG TY TNHH ĐỒ NGHỀ CẦM TAY PHƯƠNG MY</t>
        </is>
      </c>
      <c r="D575" s="3" t="inlineStr">
        <is>
          <t>HCM</t>
        </is>
      </c>
      <c r="E575" s="3" t="inlineStr">
        <is>
          <t>BẢO TRÂM</t>
        </is>
      </c>
      <c r="F575" s="3" t="inlineStr">
        <is>
          <t>Shopee</t>
        </is>
      </c>
      <c r="G575" s="3" t="inlineStr">
        <is>
          <t>KJ-230</t>
        </is>
      </c>
      <c r="H575" s="4" t="inlineStr">
        <is>
          <t>Kìm rút đinh công nghiệp KJ-230</t>
        </is>
      </c>
      <c r="I575" s="3" t="inlineStr">
        <is>
          <t>Cái</t>
        </is>
      </c>
      <c r="J575" s="5" t="n">
        <v>249000</v>
      </c>
      <c r="K575" s="5" t="n">
        <v>294000</v>
      </c>
      <c r="L575" s="6" t="n">
        <v>361000</v>
      </c>
      <c r="M575" s="5" t="n"/>
      <c r="N575" s="5">
        <f>IF(AND(ISNUMBER(M575),ISNUMBER(L575)),M575-L575,"")</f>
        <v/>
      </c>
      <c r="O575" s="7">
        <f>IF(AND(ISNUMBER(M575),ISNUMBER(L575),L575&gt;0),(M575-L575)/L575,"")</f>
        <v/>
      </c>
      <c r="P575" s="3">
        <f>IF(O575="","",IF(O575&lt;-0.02,"🔴 Bán phá giá sàn",IF(O575&gt;0.05,"🔵 Bán cao hơn","🟢 Đúng giá sàn TMĐT")))</f>
        <v/>
      </c>
      <c r="Q575" s="3" t="n"/>
      <c r="R575" s="4" t="n"/>
      <c r="S575" s="4" t="n"/>
    </row>
    <row r="576">
      <c r="A576" s="3" t="n">
        <v>575</v>
      </c>
      <c r="B576" s="3" t="inlineStr">
        <is>
          <t>KH003</t>
        </is>
      </c>
      <c r="C576" s="4" t="inlineStr">
        <is>
          <t>CÔNG TY TNHH ĐỒ NGHỀ CẦM TAY PHƯƠNG MY</t>
        </is>
      </c>
      <c r="D576" s="3" t="inlineStr">
        <is>
          <t>HCM</t>
        </is>
      </c>
      <c r="E576" s="3" t="inlineStr">
        <is>
          <t>BẢO TRÂM</t>
        </is>
      </c>
      <c r="F576" s="3" t="inlineStr">
        <is>
          <t>Shopee</t>
        </is>
      </c>
      <c r="G576" s="3" t="inlineStr">
        <is>
          <t>KJ-103</t>
        </is>
      </c>
      <c r="H576" s="4" t="inlineStr">
        <is>
          <t>Kìm rút đinh KJ-103</t>
        </is>
      </c>
      <c r="I576" s="3" t="inlineStr">
        <is>
          <t>Cái</t>
        </is>
      </c>
      <c r="J576" s="5" t="n">
        <v>94000</v>
      </c>
      <c r="K576" s="5" t="n">
        <v>111000</v>
      </c>
      <c r="L576" s="6" t="n">
        <v>136000</v>
      </c>
      <c r="M576" s="5" t="n"/>
      <c r="N576" s="5">
        <f>IF(AND(ISNUMBER(M576),ISNUMBER(L576)),M576-L576,"")</f>
        <v/>
      </c>
      <c r="O576" s="7">
        <f>IF(AND(ISNUMBER(M576),ISNUMBER(L576),L576&gt;0),(M576-L576)/L576,"")</f>
        <v/>
      </c>
      <c r="P576" s="3">
        <f>IF(O576="","",IF(O576&lt;-0.02,"🔴 Bán phá giá sàn",IF(O576&gt;0.05,"🔵 Bán cao hơn","🟢 Đúng giá sàn TMĐT")))</f>
        <v/>
      </c>
      <c r="Q576" s="3" t="n"/>
      <c r="R576" s="4" t="n"/>
      <c r="S576" s="4" t="n"/>
    </row>
    <row r="577">
      <c r="A577" s="3" t="n">
        <v>576</v>
      </c>
      <c r="B577" s="3" t="inlineStr">
        <is>
          <t>KH003</t>
        </is>
      </c>
      <c r="C577" s="4" t="inlineStr">
        <is>
          <t>CÔNG TY TNHH ĐỒ NGHỀ CẦM TAY PHƯƠNG MY</t>
        </is>
      </c>
      <c r="D577" s="3" t="inlineStr">
        <is>
          <t>HCM</t>
        </is>
      </c>
      <c r="E577" s="3" t="inlineStr">
        <is>
          <t>BẢO TRÂM</t>
        </is>
      </c>
      <c r="F577" s="3" t="inlineStr">
        <is>
          <t>Shopee</t>
        </is>
      </c>
      <c r="G577" s="3" t="inlineStr">
        <is>
          <t>KJ-105</t>
        </is>
      </c>
      <c r="H577" s="4" t="inlineStr">
        <is>
          <t>Kìm rút đinh rút KJ-105</t>
        </is>
      </c>
      <c r="I577" s="3" t="inlineStr">
        <is>
          <t>Cái</t>
        </is>
      </c>
      <c r="J577" s="5" t="n">
        <v>154000</v>
      </c>
      <c r="K577" s="5" t="n">
        <v>182000</v>
      </c>
      <c r="L577" s="6" t="n">
        <v>223000</v>
      </c>
      <c r="M577" s="5" t="n"/>
      <c r="N577" s="5">
        <f>IF(AND(ISNUMBER(M577),ISNUMBER(L577)),M577-L577,"")</f>
        <v/>
      </c>
      <c r="O577" s="7">
        <f>IF(AND(ISNUMBER(M577),ISNUMBER(L577),L577&gt;0),(M577-L577)/L577,"")</f>
        <v/>
      </c>
      <c r="P577" s="3">
        <f>IF(O577="","",IF(O577&lt;-0.02,"🔴 Bán phá giá sàn",IF(O577&gt;0.05,"🔵 Bán cao hơn","🟢 Đúng giá sàn TMĐT")))</f>
        <v/>
      </c>
      <c r="Q577" s="3" t="n"/>
      <c r="R577" s="4" t="n"/>
      <c r="S577" s="4" t="n"/>
    </row>
    <row r="578">
      <c r="A578" s="3" t="n">
        <v>577</v>
      </c>
      <c r="B578" s="3" t="inlineStr">
        <is>
          <t>KH003</t>
        </is>
      </c>
      <c r="C578" s="4" t="inlineStr">
        <is>
          <t>CÔNG TY TNHH ĐỒ NGHỀ CẦM TAY PHƯƠNG MY</t>
        </is>
      </c>
      <c r="D578" s="3" t="inlineStr">
        <is>
          <t>HCM</t>
        </is>
      </c>
      <c r="E578" s="3" t="inlineStr">
        <is>
          <t>BẢO TRÂM</t>
        </is>
      </c>
      <c r="F578" s="3" t="inlineStr">
        <is>
          <t>Shopee</t>
        </is>
      </c>
      <c r="G578" s="3" t="inlineStr">
        <is>
          <t>KJ-104</t>
        </is>
      </c>
      <c r="H578" s="4" t="inlineStr">
        <is>
          <t>Kìm rút đinh rút trợ lực KJ-104</t>
        </is>
      </c>
      <c r="I578" s="3" t="inlineStr">
        <is>
          <t>Cái</t>
        </is>
      </c>
      <c r="J578" s="5" t="n">
        <v>204000</v>
      </c>
      <c r="K578" s="5" t="n">
        <v>241000</v>
      </c>
      <c r="L578" s="6" t="n">
        <v>296000</v>
      </c>
      <c r="M578" s="5" t="n"/>
      <c r="N578" s="5">
        <f>IF(AND(ISNUMBER(M578),ISNUMBER(L578)),M578-L578,"")</f>
        <v/>
      </c>
      <c r="O578" s="7">
        <f>IF(AND(ISNUMBER(M578),ISNUMBER(L578),L578&gt;0),(M578-L578)/L578,"")</f>
        <v/>
      </c>
      <c r="P578" s="3">
        <f>IF(O578="","",IF(O578&lt;-0.02,"🔴 Bán phá giá sàn",IF(O578&gt;0.05,"🔵 Bán cao hơn","🟢 Đúng giá sàn TMĐT")))</f>
        <v/>
      </c>
      <c r="Q578" s="3" t="n"/>
      <c r="R578" s="4" t="n"/>
      <c r="S578" s="4" t="n"/>
    </row>
    <row r="579">
      <c r="A579" s="3" t="n">
        <v>578</v>
      </c>
      <c r="B579" s="3" t="inlineStr">
        <is>
          <t>KH003</t>
        </is>
      </c>
      <c r="C579" s="4" t="inlineStr">
        <is>
          <t>CÔNG TY TNHH ĐỒ NGHỀ CẦM TAY PHƯƠNG MY</t>
        </is>
      </c>
      <c r="D579" s="3" t="inlineStr">
        <is>
          <t>HCM</t>
        </is>
      </c>
      <c r="E579" s="3" t="inlineStr">
        <is>
          <t>BẢO TRÂM</t>
        </is>
      </c>
      <c r="F579" s="3" t="inlineStr">
        <is>
          <t>Shopee</t>
        </is>
      </c>
      <c r="G579" s="3" t="inlineStr">
        <is>
          <t>KND180</t>
        </is>
      </c>
      <c r="H579" s="4" t="inlineStr">
        <is>
          <t>Kìm tuốt dây điện đa năng KND180</t>
        </is>
      </c>
      <c r="I579" s="3" t="inlineStr">
        <is>
          <t>Cái</t>
        </is>
      </c>
      <c r="J579" s="5" t="n">
        <v>127000</v>
      </c>
      <c r="K579" s="5" t="n">
        <v>150000</v>
      </c>
      <c r="L579" s="6" t="n">
        <v>184000</v>
      </c>
      <c r="M579" s="5" t="n"/>
      <c r="N579" s="5">
        <f>IF(AND(ISNUMBER(M579),ISNUMBER(L579)),M579-L579,"")</f>
        <v/>
      </c>
      <c r="O579" s="7">
        <f>IF(AND(ISNUMBER(M579),ISNUMBER(L579),L579&gt;0),(M579-L579)/L579,"")</f>
        <v/>
      </c>
      <c r="P579" s="3">
        <f>IF(O579="","",IF(O579&lt;-0.02,"🔴 Bán phá giá sàn",IF(O579&gt;0.05,"🔵 Bán cao hơn","🟢 Đúng giá sàn TMĐT")))</f>
        <v/>
      </c>
      <c r="Q579" s="3" t="n"/>
      <c r="R579" s="4" t="n"/>
      <c r="S579" s="4" t="n"/>
    </row>
    <row r="580">
      <c r="A580" s="3" t="n">
        <v>579</v>
      </c>
      <c r="B580" s="3" t="inlineStr">
        <is>
          <t>KH003</t>
        </is>
      </c>
      <c r="C580" s="4" t="inlineStr">
        <is>
          <t>CÔNG TY TNHH ĐỒ NGHỀ CẦM TAY PHƯƠNG MY</t>
        </is>
      </c>
      <c r="D580" s="3" t="inlineStr">
        <is>
          <t>HCM</t>
        </is>
      </c>
      <c r="E580" s="3" t="inlineStr">
        <is>
          <t>BẢO TRÂM</t>
        </is>
      </c>
      <c r="F580" s="3" t="inlineStr">
        <is>
          <t>Shopee</t>
        </is>
      </c>
      <c r="G580" s="3" t="inlineStr"/>
      <c r="H580" s="4" t="inlineStr">
        <is>
          <t>Kìm thẳng phe ngoài KCB 180</t>
        </is>
      </c>
      <c r="I580" s="3" t="inlineStr">
        <is>
          <t>Cái</t>
        </is>
      </c>
      <c r="J580" s="5" t="n">
        <v>269000</v>
      </c>
      <c r="K580" s="5" t="n">
        <v>317000</v>
      </c>
      <c r="L580" s="6" t="n">
        <v>390000</v>
      </c>
      <c r="M580" s="5" t="n"/>
      <c r="N580" s="5">
        <f>IF(AND(ISNUMBER(M580),ISNUMBER(L580)),M580-L580,"")</f>
        <v/>
      </c>
      <c r="O580" s="7">
        <f>IF(AND(ISNUMBER(M580),ISNUMBER(L580),L580&gt;0),(M580-L580)/L580,"")</f>
        <v/>
      </c>
      <c r="P580" s="3">
        <f>IF(O580="","",IF(O580&lt;-0.02,"🔴 Bán phá giá sàn",IF(O580&gt;0.05,"🔵 Bán cao hơn","🟢 Đúng giá sàn TMĐT")))</f>
        <v/>
      </c>
      <c r="Q580" s="3" t="n"/>
      <c r="R580" s="4" t="n"/>
      <c r="S580" s="4" t="n"/>
    </row>
    <row r="581">
      <c r="A581" s="3" t="n">
        <v>580</v>
      </c>
      <c r="B581" s="3" t="inlineStr">
        <is>
          <t>KH003</t>
        </is>
      </c>
      <c r="C581" s="4" t="inlineStr">
        <is>
          <t>CÔNG TY TNHH ĐỒ NGHỀ CẦM TAY PHƯƠNG MY</t>
        </is>
      </c>
      <c r="D581" s="3" t="inlineStr">
        <is>
          <t>HCM</t>
        </is>
      </c>
      <c r="E581" s="3" t="inlineStr">
        <is>
          <t>BẢO TRÂM</t>
        </is>
      </c>
      <c r="F581" s="3" t="inlineStr">
        <is>
          <t>Shopee</t>
        </is>
      </c>
      <c r="G581" s="3" t="inlineStr"/>
      <c r="H581" s="4" t="inlineStr">
        <is>
          <t>Kìm thẳng phe trong KCA 180</t>
        </is>
      </c>
      <c r="I581" s="3" t="inlineStr">
        <is>
          <t>Cái</t>
        </is>
      </c>
      <c r="J581" s="5" t="n">
        <v>269000</v>
      </c>
      <c r="K581" s="5" t="n">
        <v>317000</v>
      </c>
      <c r="L581" s="6" t="n">
        <v>390000</v>
      </c>
      <c r="M581" s="5" t="n"/>
      <c r="N581" s="5">
        <f>IF(AND(ISNUMBER(M581),ISNUMBER(L581)),M581-L581,"")</f>
        <v/>
      </c>
      <c r="O581" s="7">
        <f>IF(AND(ISNUMBER(M581),ISNUMBER(L581),L581&gt;0),(M581-L581)/L581,"")</f>
        <v/>
      </c>
      <c r="P581" s="3">
        <f>IF(O581="","",IF(O581&lt;-0.02,"🔴 Bán phá giá sàn",IF(O581&gt;0.05,"🔵 Bán cao hơn","🟢 Đúng giá sàn TMĐT")))</f>
        <v/>
      </c>
      <c r="Q581" s="3" t="n"/>
      <c r="R581" s="4" t="n"/>
      <c r="S581" s="4" t="n"/>
    </row>
    <row r="582">
      <c r="A582" s="3" t="n">
        <v>581</v>
      </c>
      <c r="B582" s="3" t="inlineStr">
        <is>
          <t>KH003</t>
        </is>
      </c>
      <c r="C582" s="4" t="inlineStr">
        <is>
          <t>CÔNG TY TNHH ĐỒ NGHỀ CẦM TAY PHƯƠNG MY</t>
        </is>
      </c>
      <c r="D582" s="3" t="inlineStr">
        <is>
          <t>HCM</t>
        </is>
      </c>
      <c r="E582" s="3" t="inlineStr">
        <is>
          <t>BẢO TRÂM</t>
        </is>
      </c>
      <c r="F582" s="3" t="inlineStr">
        <is>
          <t>Shopee</t>
        </is>
      </c>
      <c r="G582" s="3" t="inlineStr">
        <is>
          <t>KBY3-020CO</t>
        </is>
      </c>
      <c r="H582" s="4" t="inlineStr">
        <is>
          <t>Khoan inox chuôi lục KBY3-020CO</t>
        </is>
      </c>
      <c r="I582" s="3" t="inlineStr">
        <is>
          <t>Vỉ</t>
        </is>
      </c>
      <c r="J582" s="5" t="n">
        <v>28000</v>
      </c>
      <c r="K582" s="5" t="n">
        <v>35000</v>
      </c>
      <c r="L582" s="6" t="n">
        <v>45000</v>
      </c>
      <c r="M582" s="5" t="n"/>
      <c r="N582" s="5">
        <f>IF(AND(ISNUMBER(M582),ISNUMBER(L582)),M582-L582,"")</f>
        <v/>
      </c>
      <c r="O582" s="7">
        <f>IF(AND(ISNUMBER(M582),ISNUMBER(L582),L582&gt;0),(M582-L582)/L582,"")</f>
        <v/>
      </c>
      <c r="P582" s="3">
        <f>IF(O582="","",IF(O582&lt;-0.02,"🔴 Bán phá giá sàn",IF(O582&gt;0.05,"🔵 Bán cao hơn","🟢 Đúng giá sàn TMĐT")))</f>
        <v/>
      </c>
      <c r="Q582" s="3" t="n"/>
      <c r="R582" s="4" t="n"/>
      <c r="S582" s="4" t="n"/>
    </row>
    <row r="583">
      <c r="A583" s="3" t="n">
        <v>582</v>
      </c>
      <c r="B583" s="3" t="inlineStr">
        <is>
          <t>KH003</t>
        </is>
      </c>
      <c r="C583" s="4" t="inlineStr">
        <is>
          <t>CÔNG TY TNHH ĐỒ NGHỀ CẦM TAY PHƯƠNG MY</t>
        </is>
      </c>
      <c r="D583" s="3" t="inlineStr">
        <is>
          <t>HCM</t>
        </is>
      </c>
      <c r="E583" s="3" t="inlineStr">
        <is>
          <t>BẢO TRÂM</t>
        </is>
      </c>
      <c r="F583" s="3" t="inlineStr">
        <is>
          <t>Shopee</t>
        </is>
      </c>
      <c r="G583" s="3" t="inlineStr">
        <is>
          <t>KBY3-025CO</t>
        </is>
      </c>
      <c r="H583" s="4" t="inlineStr">
        <is>
          <t>Khoan inox chuôi lục KBY3-025CO</t>
        </is>
      </c>
      <c r="I583" s="3" t="inlineStr">
        <is>
          <t>Vỉ</t>
        </is>
      </c>
      <c r="J583" s="5" t="n">
        <v>28000</v>
      </c>
      <c r="K583" s="5" t="n">
        <v>35000</v>
      </c>
      <c r="L583" s="6" t="n">
        <v>45000</v>
      </c>
      <c r="M583" s="5" t="n"/>
      <c r="N583" s="5">
        <f>IF(AND(ISNUMBER(M583),ISNUMBER(L583)),M583-L583,"")</f>
        <v/>
      </c>
      <c r="O583" s="7">
        <f>IF(AND(ISNUMBER(M583),ISNUMBER(L583),L583&gt;0),(M583-L583)/L583,"")</f>
        <v/>
      </c>
      <c r="P583" s="3">
        <f>IF(O583="","",IF(O583&lt;-0.02,"🔴 Bán phá giá sàn",IF(O583&gt;0.05,"🔵 Bán cao hơn","🟢 Đúng giá sàn TMĐT")))</f>
        <v/>
      </c>
      <c r="Q583" s="3" t="n"/>
      <c r="R583" s="4" t="n"/>
      <c r="S583" s="4" t="n"/>
    </row>
    <row r="584">
      <c r="A584" s="3" t="n">
        <v>583</v>
      </c>
      <c r="B584" s="3" t="inlineStr">
        <is>
          <t>KH003</t>
        </is>
      </c>
      <c r="C584" s="4" t="inlineStr">
        <is>
          <t>CÔNG TY TNHH ĐỒ NGHỀ CẦM TAY PHƯƠNG MY</t>
        </is>
      </c>
      <c r="D584" s="3" t="inlineStr">
        <is>
          <t>HCM</t>
        </is>
      </c>
      <c r="E584" s="3" t="inlineStr">
        <is>
          <t>BẢO TRÂM</t>
        </is>
      </c>
      <c r="F584" s="3" t="inlineStr">
        <is>
          <t>Shopee</t>
        </is>
      </c>
      <c r="G584" s="3" t="inlineStr">
        <is>
          <t>KBY3-030CO</t>
        </is>
      </c>
      <c r="H584" s="4" t="inlineStr">
        <is>
          <t>Khoan inox chuôi lục KBY3-030CO</t>
        </is>
      </c>
      <c r="I584" s="3" t="inlineStr">
        <is>
          <t>Vỉ</t>
        </is>
      </c>
      <c r="J584" s="5" t="n">
        <v>31000</v>
      </c>
      <c r="K584" s="5" t="n">
        <v>39000</v>
      </c>
      <c r="L584" s="6" t="n">
        <v>50000</v>
      </c>
      <c r="M584" s="5" t="n"/>
      <c r="N584" s="5">
        <f>IF(AND(ISNUMBER(M584),ISNUMBER(L584)),M584-L584,"")</f>
        <v/>
      </c>
      <c r="O584" s="7">
        <f>IF(AND(ISNUMBER(M584),ISNUMBER(L584),L584&gt;0),(M584-L584)/L584,"")</f>
        <v/>
      </c>
      <c r="P584" s="3">
        <f>IF(O584="","",IF(O584&lt;-0.02,"🔴 Bán phá giá sàn",IF(O584&gt;0.05,"🔵 Bán cao hơn","🟢 Đúng giá sàn TMĐT")))</f>
        <v/>
      </c>
      <c r="Q584" s="3" t="n"/>
      <c r="R584" s="4" t="n"/>
      <c r="S584" s="4" t="n"/>
    </row>
    <row r="585">
      <c r="A585" s="3" t="n">
        <v>584</v>
      </c>
      <c r="B585" s="3" t="inlineStr">
        <is>
          <t>KH003</t>
        </is>
      </c>
      <c r="C585" s="4" t="inlineStr">
        <is>
          <t>CÔNG TY TNHH ĐỒ NGHỀ CẦM TAY PHƯƠNG MY</t>
        </is>
      </c>
      <c r="D585" s="3" t="inlineStr">
        <is>
          <t>HCM</t>
        </is>
      </c>
      <c r="E585" s="3" t="inlineStr">
        <is>
          <t>BẢO TRÂM</t>
        </is>
      </c>
      <c r="F585" s="3" t="inlineStr">
        <is>
          <t>Shopee</t>
        </is>
      </c>
      <c r="G585" s="3" t="inlineStr">
        <is>
          <t>KBY3-032CO</t>
        </is>
      </c>
      <c r="H585" s="4" t="inlineStr">
        <is>
          <t>Khoan inox chuôi lục KBY3-032CO</t>
        </is>
      </c>
      <c r="I585" s="3" t="inlineStr">
        <is>
          <t>Vỉ</t>
        </is>
      </c>
      <c r="J585" s="5" t="n">
        <v>35000</v>
      </c>
      <c r="K585" s="5" t="n">
        <v>43000</v>
      </c>
      <c r="L585" s="6" t="n">
        <v>56000</v>
      </c>
      <c r="M585" s="5" t="n"/>
      <c r="N585" s="5">
        <f>IF(AND(ISNUMBER(M585),ISNUMBER(L585)),M585-L585,"")</f>
        <v/>
      </c>
      <c r="O585" s="7">
        <f>IF(AND(ISNUMBER(M585),ISNUMBER(L585),L585&gt;0),(M585-L585)/L585,"")</f>
        <v/>
      </c>
      <c r="P585" s="3">
        <f>IF(O585="","",IF(O585&lt;-0.02,"🔴 Bán phá giá sàn",IF(O585&gt;0.05,"🔵 Bán cao hơn","🟢 Đúng giá sàn TMĐT")))</f>
        <v/>
      </c>
      <c r="Q585" s="3" t="n"/>
      <c r="R585" s="4" t="n"/>
      <c r="S585" s="4" t="n"/>
    </row>
    <row r="586">
      <c r="A586" s="3" t="n">
        <v>585</v>
      </c>
      <c r="B586" s="3" t="inlineStr">
        <is>
          <t>KH003</t>
        </is>
      </c>
      <c r="C586" s="4" t="inlineStr">
        <is>
          <t>CÔNG TY TNHH ĐỒ NGHỀ CẦM TAY PHƯƠNG MY</t>
        </is>
      </c>
      <c r="D586" s="3" t="inlineStr">
        <is>
          <t>HCM</t>
        </is>
      </c>
      <c r="E586" s="3" t="inlineStr">
        <is>
          <t>BẢO TRÂM</t>
        </is>
      </c>
      <c r="F586" s="3" t="inlineStr">
        <is>
          <t>Shopee</t>
        </is>
      </c>
      <c r="G586" s="3" t="inlineStr">
        <is>
          <t>KBY3-035CO</t>
        </is>
      </c>
      <c r="H586" s="4" t="inlineStr">
        <is>
          <t>Khoan inox chuôi lục KBY3-035CO</t>
        </is>
      </c>
      <c r="I586" s="3" t="inlineStr">
        <is>
          <t>Vỉ</t>
        </is>
      </c>
      <c r="J586" s="5" t="n">
        <v>36000</v>
      </c>
      <c r="K586" s="5" t="n">
        <v>45000</v>
      </c>
      <c r="L586" s="6" t="n">
        <v>58000</v>
      </c>
      <c r="M586" s="5" t="n"/>
      <c r="N586" s="5">
        <f>IF(AND(ISNUMBER(M586),ISNUMBER(L586)),M586-L586,"")</f>
        <v/>
      </c>
      <c r="O586" s="7">
        <f>IF(AND(ISNUMBER(M586),ISNUMBER(L586),L586&gt;0),(M586-L586)/L586,"")</f>
        <v/>
      </c>
      <c r="P586" s="3">
        <f>IF(O586="","",IF(O586&lt;-0.02,"🔴 Bán phá giá sàn",IF(O586&gt;0.05,"🔵 Bán cao hơn","🟢 Đúng giá sàn TMĐT")))</f>
        <v/>
      </c>
      <c r="Q586" s="3" t="n"/>
      <c r="R586" s="4" t="n"/>
      <c r="S586" s="4" t="n"/>
    </row>
    <row r="587">
      <c r="A587" s="3" t="n">
        <v>586</v>
      </c>
      <c r="B587" s="3" t="inlineStr">
        <is>
          <t>KH003</t>
        </is>
      </c>
      <c r="C587" s="4" t="inlineStr">
        <is>
          <t>CÔNG TY TNHH ĐỒ NGHỀ CẦM TAY PHƯƠNG MY</t>
        </is>
      </c>
      <c r="D587" s="3" t="inlineStr">
        <is>
          <t>HCM</t>
        </is>
      </c>
      <c r="E587" s="3" t="inlineStr">
        <is>
          <t>BẢO TRÂM</t>
        </is>
      </c>
      <c r="F587" s="3" t="inlineStr">
        <is>
          <t>Shopee</t>
        </is>
      </c>
      <c r="G587" s="3" t="inlineStr">
        <is>
          <t>KBY3-040CO</t>
        </is>
      </c>
      <c r="H587" s="4" t="inlineStr">
        <is>
          <t>Khoan inox chuôi lục KBY3-040CO</t>
        </is>
      </c>
      <c r="I587" s="3" t="inlineStr">
        <is>
          <t>Vỉ</t>
        </is>
      </c>
      <c r="J587" s="5" t="n">
        <v>40000</v>
      </c>
      <c r="K587" s="5" t="n">
        <v>50000</v>
      </c>
      <c r="L587" s="6" t="n">
        <v>64000</v>
      </c>
      <c r="M587" s="5" t="n"/>
      <c r="N587" s="5">
        <f>IF(AND(ISNUMBER(M587),ISNUMBER(L587)),M587-L587,"")</f>
        <v/>
      </c>
      <c r="O587" s="7">
        <f>IF(AND(ISNUMBER(M587),ISNUMBER(L587),L587&gt;0),(M587-L587)/L587,"")</f>
        <v/>
      </c>
      <c r="P587" s="3">
        <f>IF(O587="","",IF(O587&lt;-0.02,"🔴 Bán phá giá sàn",IF(O587&gt;0.05,"🔵 Bán cao hơn","🟢 Đúng giá sàn TMĐT")))</f>
        <v/>
      </c>
      <c r="Q587" s="3" t="n"/>
      <c r="R587" s="4" t="n"/>
      <c r="S587" s="4" t="n"/>
    </row>
    <row r="588">
      <c r="A588" s="3" t="n">
        <v>587</v>
      </c>
      <c r="B588" s="3" t="inlineStr">
        <is>
          <t>KH003</t>
        </is>
      </c>
      <c r="C588" s="4" t="inlineStr">
        <is>
          <t>CÔNG TY TNHH ĐỒ NGHỀ CẦM TAY PHƯƠNG MY</t>
        </is>
      </c>
      <c r="D588" s="3" t="inlineStr">
        <is>
          <t>HCM</t>
        </is>
      </c>
      <c r="E588" s="3" t="inlineStr">
        <is>
          <t>BẢO TRÂM</t>
        </is>
      </c>
      <c r="F588" s="3" t="inlineStr">
        <is>
          <t>Shopee</t>
        </is>
      </c>
      <c r="G588" s="3" t="inlineStr">
        <is>
          <t>KBY3-042CO</t>
        </is>
      </c>
      <c r="H588" s="4" t="inlineStr">
        <is>
          <t>Khoan inox chuôi lục KBY3-042CO</t>
        </is>
      </c>
      <c r="I588" s="3" t="inlineStr">
        <is>
          <t>Vỉ</t>
        </is>
      </c>
      <c r="J588" s="5" t="n">
        <v>45000</v>
      </c>
      <c r="K588" s="5" t="n">
        <v>56000</v>
      </c>
      <c r="L588" s="6" t="n">
        <v>72000</v>
      </c>
      <c r="M588" s="5" t="n"/>
      <c r="N588" s="5">
        <f>IF(AND(ISNUMBER(M588),ISNUMBER(L588)),M588-L588,"")</f>
        <v/>
      </c>
      <c r="O588" s="7">
        <f>IF(AND(ISNUMBER(M588),ISNUMBER(L588),L588&gt;0),(M588-L588)/L588,"")</f>
        <v/>
      </c>
      <c r="P588" s="3">
        <f>IF(O588="","",IF(O588&lt;-0.02,"🔴 Bán phá giá sàn",IF(O588&gt;0.05,"🔵 Bán cao hơn","🟢 Đúng giá sàn TMĐT")))</f>
        <v/>
      </c>
      <c r="Q588" s="3" t="n"/>
      <c r="R588" s="4" t="n"/>
      <c r="S588" s="4" t="n"/>
    </row>
    <row r="589">
      <c r="A589" s="3" t="n">
        <v>588</v>
      </c>
      <c r="B589" s="3" t="inlineStr">
        <is>
          <t>KH003</t>
        </is>
      </c>
      <c r="C589" s="4" t="inlineStr">
        <is>
          <t>CÔNG TY TNHH ĐỒ NGHỀ CẦM TAY PHƯƠNG MY</t>
        </is>
      </c>
      <c r="D589" s="3" t="inlineStr">
        <is>
          <t>HCM</t>
        </is>
      </c>
      <c r="E589" s="3" t="inlineStr">
        <is>
          <t>BẢO TRÂM</t>
        </is>
      </c>
      <c r="F589" s="3" t="inlineStr">
        <is>
          <t>Shopee</t>
        </is>
      </c>
      <c r="G589" s="3" t="inlineStr">
        <is>
          <t>KBY3-045CO</t>
        </is>
      </c>
      <c r="H589" s="4" t="inlineStr">
        <is>
          <t>Khoan inox chuôi lục KBY3-045CO</t>
        </is>
      </c>
      <c r="I589" s="3" t="inlineStr">
        <is>
          <t>Vỉ</t>
        </is>
      </c>
      <c r="J589" s="5" t="n">
        <v>46000</v>
      </c>
      <c r="K589" s="5" t="n">
        <v>57000</v>
      </c>
      <c r="L589" s="6" t="n">
        <v>74000</v>
      </c>
      <c r="M589" s="5" t="n"/>
      <c r="N589" s="5">
        <f>IF(AND(ISNUMBER(M589),ISNUMBER(L589)),M589-L589,"")</f>
        <v/>
      </c>
      <c r="O589" s="7">
        <f>IF(AND(ISNUMBER(M589),ISNUMBER(L589),L589&gt;0),(M589-L589)/L589,"")</f>
        <v/>
      </c>
      <c r="P589" s="3">
        <f>IF(O589="","",IF(O589&lt;-0.02,"🔴 Bán phá giá sàn",IF(O589&gt;0.05,"🔵 Bán cao hơn","🟢 Đúng giá sàn TMĐT")))</f>
        <v/>
      </c>
      <c r="Q589" s="3" t="n"/>
      <c r="R589" s="4" t="n"/>
      <c r="S589" s="4" t="n"/>
    </row>
    <row r="590">
      <c r="A590" s="3" t="n">
        <v>589</v>
      </c>
      <c r="B590" s="3" t="inlineStr">
        <is>
          <t>KH003</t>
        </is>
      </c>
      <c r="C590" s="4" t="inlineStr">
        <is>
          <t>CÔNG TY TNHH ĐỒ NGHỀ CẦM TAY PHƯƠNG MY</t>
        </is>
      </c>
      <c r="D590" s="3" t="inlineStr">
        <is>
          <t>HCM</t>
        </is>
      </c>
      <c r="E590" s="3" t="inlineStr">
        <is>
          <t>BẢO TRÂM</t>
        </is>
      </c>
      <c r="F590" s="3" t="inlineStr">
        <is>
          <t>Shopee</t>
        </is>
      </c>
      <c r="G590" s="3" t="inlineStr">
        <is>
          <t>KBY3-050CO</t>
        </is>
      </c>
      <c r="H590" s="4" t="inlineStr">
        <is>
          <t>Khoan inox chuôi lục KBY3-050CO</t>
        </is>
      </c>
      <c r="I590" s="3" t="inlineStr">
        <is>
          <t>Vỉ</t>
        </is>
      </c>
      <c r="J590" s="5" t="n">
        <v>53000</v>
      </c>
      <c r="K590" s="5" t="n">
        <v>66000</v>
      </c>
      <c r="L590" s="6" t="n">
        <v>85000</v>
      </c>
      <c r="M590" s="5" t="n"/>
      <c r="N590" s="5">
        <f>IF(AND(ISNUMBER(M590),ISNUMBER(L590)),M590-L590,"")</f>
        <v/>
      </c>
      <c r="O590" s="7">
        <f>IF(AND(ISNUMBER(M590),ISNUMBER(L590),L590&gt;0),(M590-L590)/L590,"")</f>
        <v/>
      </c>
      <c r="P590" s="3">
        <f>IF(O590="","",IF(O590&lt;-0.02,"🔴 Bán phá giá sàn",IF(O590&gt;0.05,"🔵 Bán cao hơn","🟢 Đúng giá sàn TMĐT")))</f>
        <v/>
      </c>
      <c r="Q590" s="3" t="n"/>
      <c r="R590" s="4" t="n"/>
      <c r="S590" s="4" t="n"/>
    </row>
    <row r="591">
      <c r="A591" s="3" t="n">
        <v>590</v>
      </c>
      <c r="B591" s="3" t="inlineStr">
        <is>
          <t>KH003</t>
        </is>
      </c>
      <c r="C591" s="4" t="inlineStr">
        <is>
          <t>CÔNG TY TNHH ĐỒ NGHỀ CẦM TAY PHƯƠNG MY</t>
        </is>
      </c>
      <c r="D591" s="3" t="inlineStr">
        <is>
          <t>HCM</t>
        </is>
      </c>
      <c r="E591" s="3" t="inlineStr">
        <is>
          <t>BẢO TRÂM</t>
        </is>
      </c>
      <c r="F591" s="3" t="inlineStr">
        <is>
          <t>Shopee</t>
        </is>
      </c>
      <c r="G591" s="3" t="inlineStr">
        <is>
          <t>KBY3-060CO</t>
        </is>
      </c>
      <c r="H591" s="4" t="inlineStr">
        <is>
          <t>Khoan inox chuôi lục KBY3-060CO</t>
        </is>
      </c>
      <c r="I591" s="3" t="inlineStr">
        <is>
          <t>Vỉ</t>
        </is>
      </c>
      <c r="J591" s="5" t="n">
        <v>65000</v>
      </c>
      <c r="K591" s="5" t="n">
        <v>81000</v>
      </c>
      <c r="L591" s="6" t="n">
        <v>104000</v>
      </c>
      <c r="M591" s="5" t="n"/>
      <c r="N591" s="5">
        <f>IF(AND(ISNUMBER(M591),ISNUMBER(L591)),M591-L591,"")</f>
        <v/>
      </c>
      <c r="O591" s="7">
        <f>IF(AND(ISNUMBER(M591),ISNUMBER(L591),L591&gt;0),(M591-L591)/L591,"")</f>
        <v/>
      </c>
      <c r="P591" s="3">
        <f>IF(O591="","",IF(O591&lt;-0.02,"🔴 Bán phá giá sàn",IF(O591&gt;0.05,"🔵 Bán cao hơn","🟢 Đúng giá sàn TMĐT")))</f>
        <v/>
      </c>
      <c r="Q591" s="3" t="n"/>
      <c r="R591" s="4" t="n"/>
      <c r="S591" s="4" t="n"/>
    </row>
    <row r="592">
      <c r="A592" s="3" t="n">
        <v>591</v>
      </c>
      <c r="B592" s="3" t="inlineStr">
        <is>
          <t>KH003</t>
        </is>
      </c>
      <c r="C592" s="4" t="inlineStr">
        <is>
          <t>CÔNG TY TNHH ĐỒ NGHỀ CẦM TAY PHƯƠNG MY</t>
        </is>
      </c>
      <c r="D592" s="3" t="inlineStr">
        <is>
          <t>HCM</t>
        </is>
      </c>
      <c r="E592" s="3" t="inlineStr">
        <is>
          <t>BẢO TRÂM</t>
        </is>
      </c>
      <c r="F592" s="3" t="inlineStr">
        <is>
          <t>Shopee</t>
        </is>
      </c>
      <c r="G592" s="3" t="inlineStr">
        <is>
          <t>KBY3-080CO</t>
        </is>
      </c>
      <c r="H592" s="4" t="inlineStr">
        <is>
          <t>Khoan inox chuôi lục KBY3-080CO</t>
        </is>
      </c>
      <c r="I592" s="3" t="inlineStr">
        <is>
          <t>Cái</t>
        </is>
      </c>
      <c r="J592" s="5" t="n">
        <v>58000</v>
      </c>
      <c r="K592" s="5" t="n">
        <v>72000</v>
      </c>
      <c r="L592" s="6" t="n">
        <v>93000</v>
      </c>
      <c r="M592" s="5" t="n"/>
      <c r="N592" s="5">
        <f>IF(AND(ISNUMBER(M592),ISNUMBER(L592)),M592-L592,"")</f>
        <v/>
      </c>
      <c r="O592" s="7">
        <f>IF(AND(ISNUMBER(M592),ISNUMBER(L592),L592&gt;0),(M592-L592)/L592,"")</f>
        <v/>
      </c>
      <c r="P592" s="3">
        <f>IF(O592="","",IF(O592&lt;-0.02,"🔴 Bán phá giá sàn",IF(O592&gt;0.05,"🔵 Bán cao hơn","🟢 Đúng giá sàn TMĐT")))</f>
        <v/>
      </c>
      <c r="Q592" s="3" t="n"/>
      <c r="R592" s="4" t="n"/>
      <c r="S592" s="4" t="n"/>
    </row>
    <row r="593">
      <c r="A593" s="3" t="n">
        <v>592</v>
      </c>
      <c r="B593" s="3" t="inlineStr">
        <is>
          <t>KH003</t>
        </is>
      </c>
      <c r="C593" s="4" t="inlineStr">
        <is>
          <t>CÔNG TY TNHH ĐỒ NGHỀ CẦM TAY PHƯƠNG MY</t>
        </is>
      </c>
      <c r="D593" s="3" t="inlineStr">
        <is>
          <t>HCM</t>
        </is>
      </c>
      <c r="E593" s="3" t="inlineStr">
        <is>
          <t>BẢO TRÂM</t>
        </is>
      </c>
      <c r="F593" s="3" t="inlineStr">
        <is>
          <t>Shopee</t>
        </is>
      </c>
      <c r="G593" s="3" t="inlineStr">
        <is>
          <t>KBY3-100CO</t>
        </is>
      </c>
      <c r="H593" s="4" t="inlineStr">
        <is>
          <t>Khoan inox chuôi lục KBY3-100CO</t>
        </is>
      </c>
      <c r="I593" s="3" t="inlineStr">
        <is>
          <t>Cái</t>
        </is>
      </c>
      <c r="J593" s="5" t="n">
        <v>90000</v>
      </c>
      <c r="K593" s="5" t="n">
        <v>112000</v>
      </c>
      <c r="L593" s="6" t="n">
        <v>144000</v>
      </c>
      <c r="M593" s="5" t="n"/>
      <c r="N593" s="5">
        <f>IF(AND(ISNUMBER(M593),ISNUMBER(L593)),M593-L593,"")</f>
        <v/>
      </c>
      <c r="O593" s="7">
        <f>IF(AND(ISNUMBER(M593),ISNUMBER(L593),L593&gt;0),(M593-L593)/L593,"")</f>
        <v/>
      </c>
      <c r="P593" s="3">
        <f>IF(O593="","",IF(O593&lt;-0.02,"🔴 Bán phá giá sàn",IF(O593&gt;0.05,"🔵 Bán cao hơn","🟢 Đúng giá sàn TMĐT")))</f>
        <v/>
      </c>
      <c r="Q593" s="3" t="n"/>
      <c r="R593" s="4" t="n"/>
      <c r="S593" s="4" t="n"/>
    </row>
    <row r="594">
      <c r="A594" s="3" t="n">
        <v>593</v>
      </c>
      <c r="B594" s="3" t="inlineStr">
        <is>
          <t>KH003</t>
        </is>
      </c>
      <c r="C594" s="4" t="inlineStr">
        <is>
          <t>CÔNG TY TNHH ĐỒ NGHỀ CẦM TAY PHƯƠNG MY</t>
        </is>
      </c>
      <c r="D594" s="3" t="inlineStr">
        <is>
          <t>HCM</t>
        </is>
      </c>
      <c r="E594" s="3" t="inlineStr">
        <is>
          <t>BẢO TRÂM</t>
        </is>
      </c>
      <c r="F594" s="3" t="inlineStr">
        <is>
          <t>Shopee</t>
        </is>
      </c>
      <c r="G594" s="3" t="inlineStr">
        <is>
          <t>F1</t>
        </is>
      </c>
      <c r="H594" s="4" t="inlineStr">
        <is>
          <t>Lưỡi cắt Kingblue F1 110DN (vàng)</t>
        </is>
      </c>
      <c r="I594" s="3" t="inlineStr">
        <is>
          <t>Cái</t>
        </is>
      </c>
      <c r="J594" s="5" t="n">
        <v>92000</v>
      </c>
      <c r="K594" s="5" t="n">
        <v>108000</v>
      </c>
      <c r="L594" s="6" t="n">
        <v>133000</v>
      </c>
      <c r="M594" s="5" t="n"/>
      <c r="N594" s="5">
        <f>IF(AND(ISNUMBER(M594),ISNUMBER(L594)),M594-L594,"")</f>
        <v/>
      </c>
      <c r="O594" s="7">
        <f>IF(AND(ISNUMBER(M594),ISNUMBER(L594),L594&gt;0),(M594-L594)/L594,"")</f>
        <v/>
      </c>
      <c r="P594" s="3">
        <f>IF(O594="","",IF(O594&lt;-0.02,"🔴 Bán phá giá sàn",IF(O594&gt;0.05,"🔵 Bán cao hơn","🟢 Đúng giá sàn TMĐT")))</f>
        <v/>
      </c>
      <c r="Q594" s="3" t="n"/>
      <c r="R594" s="4" t="n"/>
      <c r="S594" s="4" t="n"/>
    </row>
    <row r="595">
      <c r="A595" s="3" t="n">
        <v>594</v>
      </c>
      <c r="B595" s="3" t="inlineStr">
        <is>
          <t>KH003</t>
        </is>
      </c>
      <c r="C595" s="4" t="inlineStr">
        <is>
          <t>CÔNG TY TNHH ĐỒ NGHỀ CẦM TAY PHƯƠNG MY</t>
        </is>
      </c>
      <c r="D595" s="3" t="inlineStr">
        <is>
          <t>HCM</t>
        </is>
      </c>
      <c r="E595" s="3" t="inlineStr">
        <is>
          <t>BẢO TRÂM</t>
        </is>
      </c>
      <c r="F595" s="3" t="inlineStr">
        <is>
          <t>Shopee</t>
        </is>
      </c>
      <c r="G595" s="3" t="inlineStr">
        <is>
          <t>S2</t>
        </is>
      </c>
      <c r="H595" s="4" t="inlineStr">
        <is>
          <t>Lưỡi cắt KingBlue S2 105DN</t>
        </is>
      </c>
      <c r="I595" s="3" t="inlineStr">
        <is>
          <t>Cái</t>
        </is>
      </c>
      <c r="J595" s="5" t="n">
        <v>51000</v>
      </c>
      <c r="K595" s="5" t="n">
        <v>60000</v>
      </c>
      <c r="L595" s="6" t="n">
        <v>74000</v>
      </c>
      <c r="M595" s="5" t="n"/>
      <c r="N595" s="5">
        <f>IF(AND(ISNUMBER(M595),ISNUMBER(L595)),M595-L595,"")</f>
        <v/>
      </c>
      <c r="O595" s="7">
        <f>IF(AND(ISNUMBER(M595),ISNUMBER(L595),L595&gt;0),(M595-L595)/L595,"")</f>
        <v/>
      </c>
      <c r="P595" s="3">
        <f>IF(O595="","",IF(O595&lt;-0.02,"🔴 Bán phá giá sàn",IF(O595&gt;0.05,"🔵 Bán cao hơn","🟢 Đúng giá sàn TMĐT")))</f>
        <v/>
      </c>
      <c r="Q595" s="3" t="n"/>
      <c r="R595" s="4" t="n"/>
      <c r="S595" s="4" t="n"/>
    </row>
    <row r="596">
      <c r="A596" s="3" t="n">
        <v>595</v>
      </c>
      <c r="B596" s="3" t="inlineStr">
        <is>
          <t>KH003</t>
        </is>
      </c>
      <c r="C596" s="4" t="inlineStr">
        <is>
          <t>CÔNG TY TNHH ĐỒ NGHỀ CẦM TAY PHƯƠNG MY</t>
        </is>
      </c>
      <c r="D596" s="3" t="inlineStr">
        <is>
          <t>HCM</t>
        </is>
      </c>
      <c r="E596" s="3" t="inlineStr">
        <is>
          <t>BẢO TRÂM</t>
        </is>
      </c>
      <c r="F596" s="3" t="inlineStr">
        <is>
          <t>Shopee</t>
        </is>
      </c>
      <c r="G596" s="3" t="inlineStr">
        <is>
          <t>S4-105DN</t>
        </is>
      </c>
      <c r="H596" s="4" t="inlineStr">
        <is>
          <t>Lưỡi cắt KingBlue S4-105DN</t>
        </is>
      </c>
      <c r="I596" s="3" t="inlineStr">
        <is>
          <t>Cái</t>
        </is>
      </c>
      <c r="J596" s="5" t="n">
        <v>125000</v>
      </c>
      <c r="K596" s="5" t="n">
        <v>147000</v>
      </c>
      <c r="L596" s="6" t="n">
        <v>181000</v>
      </c>
      <c r="M596" s="5" t="n"/>
      <c r="N596" s="5">
        <f>IF(AND(ISNUMBER(M596),ISNUMBER(L596)),M596-L596,"")</f>
        <v/>
      </c>
      <c r="O596" s="7">
        <f>IF(AND(ISNUMBER(M596),ISNUMBER(L596),L596&gt;0),(M596-L596)/L596,"")</f>
        <v/>
      </c>
      <c r="P596" s="3">
        <f>IF(O596="","",IF(O596&lt;-0.02,"🔴 Bán phá giá sàn",IF(O596&gt;0.05,"🔵 Bán cao hơn","🟢 Đúng giá sàn TMĐT")))</f>
        <v/>
      </c>
      <c r="Q596" s="3" t="n"/>
      <c r="R596" s="4" t="n"/>
      <c r="S596" s="4" t="n"/>
    </row>
    <row r="597">
      <c r="A597" s="3" t="n">
        <v>596</v>
      </c>
      <c r="B597" s="3" t="inlineStr">
        <is>
          <t>KH003</t>
        </is>
      </c>
      <c r="C597" s="4" t="inlineStr">
        <is>
          <t>CÔNG TY TNHH ĐỒ NGHỀ CẦM TAY PHƯƠNG MY</t>
        </is>
      </c>
      <c r="D597" s="3" t="inlineStr">
        <is>
          <t>HCM</t>
        </is>
      </c>
      <c r="E597" s="3" t="inlineStr">
        <is>
          <t>BẢO TRÂM</t>
        </is>
      </c>
      <c r="F597" s="3" t="inlineStr">
        <is>
          <t>Shopee</t>
        </is>
      </c>
      <c r="G597" s="3" t="inlineStr">
        <is>
          <t>K1-185x32T</t>
        </is>
      </c>
      <c r="H597" s="4" t="inlineStr">
        <is>
          <t>Lưỡi cưa kim loại KingBlue K1-185x32T (Cưa sắt)</t>
        </is>
      </c>
      <c r="I597" s="3" t="inlineStr">
        <is>
          <t>Cái</t>
        </is>
      </c>
      <c r="J597" s="5" t="n">
        <v>273000</v>
      </c>
      <c r="K597" s="5" t="n">
        <v>322000</v>
      </c>
      <c r="L597" s="6" t="n">
        <v>396000</v>
      </c>
      <c r="M597" s="5" t="n"/>
      <c r="N597" s="5">
        <f>IF(AND(ISNUMBER(M597),ISNUMBER(L597)),M597-L597,"")</f>
        <v/>
      </c>
      <c r="O597" s="7">
        <f>IF(AND(ISNUMBER(M597),ISNUMBER(L597),L597&gt;0),(M597-L597)/L597,"")</f>
        <v/>
      </c>
      <c r="P597" s="3">
        <f>IF(O597="","",IF(O597&lt;-0.02,"🔴 Bán phá giá sàn",IF(O597&gt;0.05,"🔵 Bán cao hơn","🟢 Đúng giá sàn TMĐT")))</f>
        <v/>
      </c>
      <c r="Q597" s="3" t="n"/>
      <c r="R597" s="4" t="n"/>
      <c r="S597" s="4" t="n"/>
    </row>
    <row r="598">
      <c r="A598" s="3" t="n">
        <v>597</v>
      </c>
      <c r="B598" s="3" t="inlineStr">
        <is>
          <t>KH003</t>
        </is>
      </c>
      <c r="C598" s="4" t="inlineStr">
        <is>
          <t>CÔNG TY TNHH ĐỒ NGHỀ CẦM TAY PHƯƠNG MY</t>
        </is>
      </c>
      <c r="D598" s="3" t="inlineStr">
        <is>
          <t>HCM</t>
        </is>
      </c>
      <c r="E598" s="3" t="inlineStr">
        <is>
          <t>BẢO TRÂM</t>
        </is>
      </c>
      <c r="F598" s="3" t="inlineStr">
        <is>
          <t>Shopee</t>
        </is>
      </c>
      <c r="G598" s="3" t="inlineStr">
        <is>
          <t>KB-LE350</t>
        </is>
      </c>
      <c r="H598" s="4" t="inlineStr">
        <is>
          <t>Lưỡi Cưa KingBlue KB-LE350</t>
        </is>
      </c>
      <c r="I598" s="3" t="inlineStr">
        <is>
          <t>Cái</t>
        </is>
      </c>
      <c r="J598" s="5" t="n">
        <v>158000</v>
      </c>
      <c r="K598" s="5" t="n">
        <v>186000</v>
      </c>
      <c r="L598" s="6" t="n">
        <v>229000</v>
      </c>
      <c r="M598" s="5" t="n"/>
      <c r="N598" s="5">
        <f>IF(AND(ISNUMBER(M598),ISNUMBER(L598)),M598-L598,"")</f>
        <v/>
      </c>
      <c r="O598" s="7">
        <f>IF(AND(ISNUMBER(M598),ISNUMBER(L598),L598&gt;0),(M598-L598)/L598,"")</f>
        <v/>
      </c>
      <c r="P598" s="3">
        <f>IF(O598="","",IF(O598&lt;-0.02,"🔴 Bán phá giá sàn",IF(O598&gt;0.05,"🔵 Bán cao hơn","🟢 Đúng giá sàn TMĐT")))</f>
        <v/>
      </c>
      <c r="Q598" s="3" t="n"/>
      <c r="R598" s="4" t="n"/>
      <c r="S598" s="4" t="n"/>
    </row>
    <row r="599">
      <c r="A599" s="3" t="n">
        <v>598</v>
      </c>
      <c r="B599" s="3" t="inlineStr">
        <is>
          <t>KH003</t>
        </is>
      </c>
      <c r="C599" s="4" t="inlineStr">
        <is>
          <t>CÔNG TY TNHH ĐỒ NGHỀ CẦM TAY PHƯƠNG MY</t>
        </is>
      </c>
      <c r="D599" s="3" t="inlineStr">
        <is>
          <t>HCM</t>
        </is>
      </c>
      <c r="E599" s="3" t="inlineStr">
        <is>
          <t>BẢO TRÂM</t>
        </is>
      </c>
      <c r="F599" s="3" t="inlineStr">
        <is>
          <t>Shopee</t>
        </is>
      </c>
      <c r="G599" s="3" t="inlineStr">
        <is>
          <t>QLE300</t>
        </is>
      </c>
      <c r="H599" s="4" t="inlineStr">
        <is>
          <t>Lưỡi cưa Kingblue QLE300</t>
        </is>
      </c>
      <c r="I599" s="3" t="inlineStr">
        <is>
          <t>Cái</t>
        </is>
      </c>
      <c r="J599" s="5" t="n">
        <v>110000</v>
      </c>
      <c r="K599" s="5" t="n">
        <v>130000</v>
      </c>
      <c r="L599" s="6" t="n">
        <v>160000</v>
      </c>
      <c r="M599" s="5" t="n"/>
      <c r="N599" s="5">
        <f>IF(AND(ISNUMBER(M599),ISNUMBER(L599)),M599-L599,"")</f>
        <v/>
      </c>
      <c r="O599" s="7">
        <f>IF(AND(ISNUMBER(M599),ISNUMBER(L599),L599&gt;0),(M599-L599)/L599,"")</f>
        <v/>
      </c>
      <c r="P599" s="3">
        <f>IF(O599="","",IF(O599&lt;-0.02,"🔴 Bán phá giá sàn",IF(O599&gt;0.05,"🔵 Bán cao hơn","🟢 Đúng giá sàn TMĐT")))</f>
        <v/>
      </c>
      <c r="Q599" s="3" t="n"/>
      <c r="R599" s="4" t="n"/>
      <c r="S599" s="4" t="n"/>
    </row>
    <row r="600">
      <c r="A600" s="3" t="n">
        <v>599</v>
      </c>
      <c r="B600" s="3" t="inlineStr">
        <is>
          <t>KH003</t>
        </is>
      </c>
      <c r="C600" s="4" t="inlineStr">
        <is>
          <t>CÔNG TY TNHH ĐỒ NGHỀ CẦM TAY PHƯƠNG MY</t>
        </is>
      </c>
      <c r="D600" s="3" t="inlineStr">
        <is>
          <t>HCM</t>
        </is>
      </c>
      <c r="E600" s="3" t="inlineStr">
        <is>
          <t>BẢO TRÂM</t>
        </is>
      </c>
      <c r="F600" s="3" t="inlineStr">
        <is>
          <t>Shopee</t>
        </is>
      </c>
      <c r="G600" s="3" t="inlineStr">
        <is>
          <t>X1-180x40T</t>
        </is>
      </c>
      <c r="H600" s="4" t="inlineStr">
        <is>
          <t>Lưỡi cưa Kingblue X1-180x40T (Cưa gỗ)-NEW</t>
        </is>
      </c>
      <c r="I600" s="3" t="inlineStr">
        <is>
          <t>Cái</t>
        </is>
      </c>
      <c r="J600" s="5" t="n">
        <v>190000</v>
      </c>
      <c r="K600" s="5" t="n">
        <v>224000</v>
      </c>
      <c r="L600" s="6" t="n">
        <v>276000</v>
      </c>
      <c r="M600" s="5" t="n"/>
      <c r="N600" s="5">
        <f>IF(AND(ISNUMBER(M600),ISNUMBER(L600)),M600-L600,"")</f>
        <v/>
      </c>
      <c r="O600" s="7">
        <f>IF(AND(ISNUMBER(M600),ISNUMBER(L600),L600&gt;0),(M600-L600)/L600,"")</f>
        <v/>
      </c>
      <c r="P600" s="3">
        <f>IF(O600="","",IF(O600&lt;-0.02,"🔴 Bán phá giá sàn",IF(O600&gt;0.05,"🔵 Bán cao hơn","🟢 Đúng giá sàn TMĐT")))</f>
        <v/>
      </c>
      <c r="Q600" s="3" t="n"/>
      <c r="R600" s="4" t="n"/>
      <c r="S600" s="4" t="n"/>
    </row>
    <row r="601">
      <c r="A601" s="3" t="n">
        <v>600</v>
      </c>
      <c r="B601" s="3" t="inlineStr">
        <is>
          <t>KH003</t>
        </is>
      </c>
      <c r="C601" s="4" t="inlineStr">
        <is>
          <t>CÔNG TY TNHH ĐỒ NGHỀ CẦM TAY PHƯƠNG MY</t>
        </is>
      </c>
      <c r="D601" s="3" t="inlineStr">
        <is>
          <t>HCM</t>
        </is>
      </c>
      <c r="E601" s="3" t="inlineStr">
        <is>
          <t>BẢO TRÂM</t>
        </is>
      </c>
      <c r="F601" s="3" t="inlineStr">
        <is>
          <t>Shopee</t>
        </is>
      </c>
      <c r="G601" s="3" t="inlineStr">
        <is>
          <t>XS-110x30T</t>
        </is>
      </c>
      <c r="H601" s="4" t="inlineStr">
        <is>
          <t>Lưỡi cưa Kingblue XS-110x30T (Cưa gỗ)-NEW</t>
        </is>
      </c>
      <c r="I601" s="3" t="inlineStr">
        <is>
          <t>Cái</t>
        </is>
      </c>
      <c r="J601" s="5" t="n">
        <v>72000</v>
      </c>
      <c r="K601" s="5" t="n">
        <v>85000</v>
      </c>
      <c r="L601" s="6" t="n">
        <v>104000</v>
      </c>
      <c r="M601" s="5" t="n"/>
      <c r="N601" s="5">
        <f>IF(AND(ISNUMBER(M601),ISNUMBER(L601)),M601-L601,"")</f>
        <v/>
      </c>
      <c r="O601" s="7">
        <f>IF(AND(ISNUMBER(M601),ISNUMBER(L601),L601&gt;0),(M601-L601)/L601,"")</f>
        <v/>
      </c>
      <c r="P601" s="3">
        <f>IF(O601="","",IF(O601&lt;-0.02,"🔴 Bán phá giá sàn",IF(O601&gt;0.05,"🔵 Bán cao hơn","🟢 Đúng giá sàn TMĐT")))</f>
        <v/>
      </c>
      <c r="Q601" s="3" t="n"/>
      <c r="R601" s="4" t="n"/>
      <c r="S601" s="4" t="n"/>
    </row>
    <row r="602">
      <c r="A602" s="3" t="n">
        <v>601</v>
      </c>
      <c r="B602" s="3" t="inlineStr">
        <is>
          <t>KH003</t>
        </is>
      </c>
      <c r="C602" s="4" t="inlineStr">
        <is>
          <t>CÔNG TY TNHH ĐỒ NGHỀ CẦM TAY PHƯƠNG MY</t>
        </is>
      </c>
      <c r="D602" s="3" t="inlineStr">
        <is>
          <t>HCM</t>
        </is>
      </c>
      <c r="E602" s="3" t="inlineStr">
        <is>
          <t>BẢO TRÂM</t>
        </is>
      </c>
      <c r="F602" s="3" t="inlineStr">
        <is>
          <t>Shopee</t>
        </is>
      </c>
      <c r="G602" s="3" t="inlineStr">
        <is>
          <t>K18VFS</t>
        </is>
      </c>
      <c r="H602" s="4" t="inlineStr">
        <is>
          <t>Máy Bắn Vít 18V K18VFS</t>
        </is>
      </c>
      <c r="I602" s="3" t="inlineStr">
        <is>
          <t>Cái</t>
        </is>
      </c>
      <c r="J602" s="5" t="n">
        <v>1540000</v>
      </c>
      <c r="K602" s="5" t="n">
        <v>1690000</v>
      </c>
      <c r="L602" s="6" t="n">
        <v>1930000</v>
      </c>
      <c r="M602" s="5" t="n"/>
      <c r="N602" s="5">
        <f>IF(AND(ISNUMBER(M602),ISNUMBER(L602)),M602-L602,"")</f>
        <v/>
      </c>
      <c r="O602" s="7">
        <f>IF(AND(ISNUMBER(M602),ISNUMBER(L602),L602&gt;0),(M602-L602)/L602,"")</f>
        <v/>
      </c>
      <c r="P602" s="3">
        <f>IF(O602="","",IF(O602&lt;-0.02,"🔴 Bán phá giá sàn",IF(O602&gt;0.05,"🔵 Bán cao hơn","🟢 Đúng giá sàn TMĐT")))</f>
        <v/>
      </c>
      <c r="Q602" s="3" t="n"/>
      <c r="R602" s="4" t="n"/>
      <c r="S602" s="4" t="n"/>
    </row>
    <row r="603">
      <c r="A603" s="3" t="n">
        <v>602</v>
      </c>
      <c r="B603" s="3" t="inlineStr">
        <is>
          <t>KH003</t>
        </is>
      </c>
      <c r="C603" s="4" t="inlineStr">
        <is>
          <t>CÔNG TY TNHH ĐỒ NGHỀ CẦM TAY PHƯƠNG MY</t>
        </is>
      </c>
      <c r="D603" s="3" t="inlineStr">
        <is>
          <t>HCM</t>
        </is>
      </c>
      <c r="E603" s="3" t="inlineStr">
        <is>
          <t>BẢO TRÂM</t>
        </is>
      </c>
      <c r="F603" s="3" t="inlineStr">
        <is>
          <t>Shopee</t>
        </is>
      </c>
      <c r="G603" s="3" t="inlineStr">
        <is>
          <t>KB-02XS</t>
        </is>
      </c>
      <c r="H603" s="4" t="inlineStr">
        <is>
          <t>Máy cân bằng KB-02XS</t>
        </is>
      </c>
      <c r="I603" s="3" t="inlineStr">
        <is>
          <t>Cái</t>
        </is>
      </c>
      <c r="J603" s="5" t="n">
        <v>269000</v>
      </c>
      <c r="K603" s="5" t="n">
        <v>317000</v>
      </c>
      <c r="L603" s="6" t="n">
        <v>390000</v>
      </c>
      <c r="M603" s="5" t="n"/>
      <c r="N603" s="5">
        <f>IF(AND(ISNUMBER(M603),ISNUMBER(L603)),M603-L603,"")</f>
        <v/>
      </c>
      <c r="O603" s="7">
        <f>IF(AND(ISNUMBER(M603),ISNUMBER(L603),L603&gt;0),(M603-L603)/L603,"")</f>
        <v/>
      </c>
      <c r="P603" s="3">
        <f>IF(O603="","",IF(O603&lt;-0.02,"🔴 Bán phá giá sàn",IF(O603&gt;0.05,"🔵 Bán cao hơn","🟢 Đúng giá sàn TMĐT")))</f>
        <v/>
      </c>
      <c r="Q603" s="3" t="n"/>
      <c r="R603" s="4" t="n"/>
      <c r="S603" s="4" t="n"/>
    </row>
    <row r="604">
      <c r="A604" s="3" t="n">
        <v>603</v>
      </c>
      <c r="B604" s="3" t="inlineStr">
        <is>
          <t>KH003</t>
        </is>
      </c>
      <c r="C604" s="4" t="inlineStr">
        <is>
          <t>CÔNG TY TNHH ĐỒ NGHỀ CẦM TAY PHƯƠNG MY</t>
        </is>
      </c>
      <c r="D604" s="3" t="inlineStr">
        <is>
          <t>HCM</t>
        </is>
      </c>
      <c r="E604" s="3" t="inlineStr">
        <is>
          <t>BẢO TRÂM</t>
        </is>
      </c>
      <c r="F604" s="3" t="inlineStr">
        <is>
          <t>Shopee</t>
        </is>
      </c>
      <c r="G604" s="3" t="inlineStr">
        <is>
          <t>K18QES</t>
        </is>
      </c>
      <c r="H604" s="4" t="inlineStr">
        <is>
          <t>Máy Khoan 3 Chức Năng 18V K18QES</t>
        </is>
      </c>
      <c r="I604" s="3" t="inlineStr">
        <is>
          <t>Cái</t>
        </is>
      </c>
      <c r="J604" s="5" t="n">
        <v>2380000</v>
      </c>
      <c r="K604" s="5" t="n">
        <v>2610000</v>
      </c>
      <c r="L604" s="6" t="n">
        <v>2970000</v>
      </c>
      <c r="M604" s="5" t="n"/>
      <c r="N604" s="5">
        <f>IF(AND(ISNUMBER(M604),ISNUMBER(L604)),M604-L604,"")</f>
        <v/>
      </c>
      <c r="O604" s="7">
        <f>IF(AND(ISNUMBER(M604),ISNUMBER(L604),L604&gt;0),(M604-L604)/L604,"")</f>
        <v/>
      </c>
      <c r="P604" s="3">
        <f>IF(O604="","",IF(O604&lt;-0.02,"🔴 Bán phá giá sàn",IF(O604&gt;0.05,"🔵 Bán cao hơn","🟢 Đúng giá sàn TMĐT")))</f>
        <v/>
      </c>
      <c r="Q604" s="3" t="n"/>
      <c r="R604" s="4" t="n"/>
      <c r="S604" s="4" t="n"/>
    </row>
    <row r="605">
      <c r="A605" s="3" t="n">
        <v>604</v>
      </c>
      <c r="B605" s="3" t="inlineStr">
        <is>
          <t>KH003</t>
        </is>
      </c>
      <c r="C605" s="4" t="inlineStr">
        <is>
          <t>CÔNG TY TNHH ĐỒ NGHỀ CẦM TAY PHƯƠNG MY</t>
        </is>
      </c>
      <c r="D605" s="3" t="inlineStr">
        <is>
          <t>HCM</t>
        </is>
      </c>
      <c r="E605" s="3" t="inlineStr">
        <is>
          <t>BẢO TRÂM</t>
        </is>
      </c>
      <c r="F605" s="3" t="inlineStr">
        <is>
          <t>Shopee</t>
        </is>
      </c>
      <c r="G605" s="3" t="inlineStr">
        <is>
          <t>K18QFS</t>
        </is>
      </c>
      <c r="H605" s="4" t="inlineStr">
        <is>
          <t>Máy khoan bê tông 18V K18QFS</t>
        </is>
      </c>
      <c r="I605" s="3" t="inlineStr">
        <is>
          <t>Cái</t>
        </is>
      </c>
      <c r="J605" s="5" t="n">
        <v>2110000</v>
      </c>
      <c r="K605" s="5" t="n">
        <v>2320000</v>
      </c>
      <c r="L605" s="6" t="n">
        <v>2640000</v>
      </c>
      <c r="M605" s="5" t="n"/>
      <c r="N605" s="5">
        <f>IF(AND(ISNUMBER(M605),ISNUMBER(L605)),M605-L605,"")</f>
        <v/>
      </c>
      <c r="O605" s="7">
        <f>IF(AND(ISNUMBER(M605),ISNUMBER(L605),L605&gt;0),(M605-L605)/L605,"")</f>
        <v/>
      </c>
      <c r="P605" s="3">
        <f>IF(O605="","",IF(O605&lt;-0.02,"🔴 Bán phá giá sàn",IF(O605&gt;0.05,"🔵 Bán cao hơn","🟢 Đúng giá sàn TMĐT")))</f>
        <v/>
      </c>
      <c r="Q605" s="3" t="n"/>
      <c r="R605" s="4" t="n"/>
      <c r="S605" s="4" t="n"/>
    </row>
    <row r="606">
      <c r="A606" s="3" t="n">
        <v>605</v>
      </c>
      <c r="B606" s="3" t="inlineStr">
        <is>
          <t>KH003</t>
        </is>
      </c>
      <c r="C606" s="4" t="inlineStr">
        <is>
          <t>CÔNG TY TNHH ĐỒ NGHỀ CẦM TAY PHƯƠNG MY</t>
        </is>
      </c>
      <c r="D606" s="3" t="inlineStr">
        <is>
          <t>HCM</t>
        </is>
      </c>
      <c r="E606" s="3" t="inlineStr">
        <is>
          <t>BẢO TRÂM</t>
        </is>
      </c>
      <c r="F606" s="3" t="inlineStr">
        <is>
          <t>Shopee</t>
        </is>
      </c>
      <c r="G606" s="3" t="inlineStr">
        <is>
          <t>K18MGS</t>
        </is>
      </c>
      <c r="H606" s="4" t="inlineStr">
        <is>
          <t>Máy Mài Góc 18V K18MGS</t>
        </is>
      </c>
      <c r="I606" s="3" t="inlineStr">
        <is>
          <t>Cái</t>
        </is>
      </c>
      <c r="J606" s="5" t="n">
        <v>1340000</v>
      </c>
      <c r="K606" s="5" t="n">
        <v>1480000</v>
      </c>
      <c r="L606" s="6" t="n">
        <v>1680000</v>
      </c>
      <c r="M606" s="5" t="n"/>
      <c r="N606" s="5">
        <f>IF(AND(ISNUMBER(M606),ISNUMBER(L606)),M606-L606,"")</f>
        <v/>
      </c>
      <c r="O606" s="7">
        <f>IF(AND(ISNUMBER(M606),ISNUMBER(L606),L606&gt;0),(M606-L606)/L606,"")</f>
        <v/>
      </c>
      <c r="P606" s="3">
        <f>IF(O606="","",IF(O606&lt;-0.02,"🔴 Bán phá giá sàn",IF(O606&gt;0.05,"🔵 Bán cao hơn","🟢 Đúng giá sàn TMĐT")))</f>
        <v/>
      </c>
      <c r="Q606" s="3" t="n"/>
      <c r="R606" s="4" t="n"/>
      <c r="S606" s="4" t="n"/>
    </row>
    <row r="607">
      <c r="A607" s="3" t="n">
        <v>606</v>
      </c>
      <c r="B607" s="3" t="inlineStr">
        <is>
          <t>KH003</t>
        </is>
      </c>
      <c r="C607" s="4" t="inlineStr">
        <is>
          <t>CÔNG TY TNHH ĐỒ NGHỀ CẦM TAY PHƯƠNG MY</t>
        </is>
      </c>
      <c r="D607" s="3" t="inlineStr">
        <is>
          <t>HCM</t>
        </is>
      </c>
      <c r="E607" s="3" t="inlineStr">
        <is>
          <t>BẢO TRÂM</t>
        </is>
      </c>
      <c r="F607" s="3" t="inlineStr">
        <is>
          <t>Shopee</t>
        </is>
      </c>
      <c r="G607" s="3" t="inlineStr">
        <is>
          <t>KBA-UL1200</t>
        </is>
      </c>
      <c r="H607" s="4" t="inlineStr">
        <is>
          <t>Máy rửa xe áp lực cao KBA-UL1200</t>
        </is>
      </c>
      <c r="I607" s="3" t="inlineStr">
        <is>
          <t>Cái</t>
        </is>
      </c>
      <c r="J607" s="5" t="n">
        <v>1290000</v>
      </c>
      <c r="K607" s="5" t="n">
        <v>1450000</v>
      </c>
      <c r="L607" s="6" t="n">
        <v>1680000</v>
      </c>
      <c r="M607" s="5" t="n"/>
      <c r="N607" s="5">
        <f>IF(AND(ISNUMBER(M607),ISNUMBER(L607)),M607-L607,"")</f>
        <v/>
      </c>
      <c r="O607" s="7">
        <f>IF(AND(ISNUMBER(M607),ISNUMBER(L607),L607&gt;0),(M607-L607)/L607,"")</f>
        <v/>
      </c>
      <c r="P607" s="3">
        <f>IF(O607="","",IF(O607&lt;-0.02,"🔴 Bán phá giá sàn",IF(O607&gt;0.05,"🔵 Bán cao hơn","🟢 Đúng giá sàn TMĐT")))</f>
        <v/>
      </c>
      <c r="Q607" s="3" t="n"/>
      <c r="R607" s="4" t="n"/>
      <c r="S607" s="4" t="n"/>
    </row>
    <row r="608">
      <c r="A608" s="3" t="n">
        <v>607</v>
      </c>
      <c r="B608" s="3" t="inlineStr">
        <is>
          <t>KH003</t>
        </is>
      </c>
      <c r="C608" s="4" t="inlineStr">
        <is>
          <t>CÔNG TY TNHH ĐỒ NGHỀ CẦM TAY PHƯƠNG MY</t>
        </is>
      </c>
      <c r="D608" s="3" t="inlineStr">
        <is>
          <t>HCM</t>
        </is>
      </c>
      <c r="E608" s="3" t="inlineStr">
        <is>
          <t>BẢO TRÂM</t>
        </is>
      </c>
      <c r="F608" s="3" t="inlineStr">
        <is>
          <t>Shopee</t>
        </is>
      </c>
      <c r="G608" s="3" t="inlineStr">
        <is>
          <t>KBA-I1500</t>
        </is>
      </c>
      <c r="H608" s="4" t="inlineStr">
        <is>
          <t>Máy rửa xe KBA-I1500</t>
        </is>
      </c>
      <c r="I608" s="3" t="inlineStr">
        <is>
          <t>Cái</t>
        </is>
      </c>
      <c r="J608" s="5" t="n">
        <v>2050000</v>
      </c>
      <c r="K608" s="5" t="n">
        <v>2300000</v>
      </c>
      <c r="L608" s="6" t="n">
        <v>2670000</v>
      </c>
      <c r="M608" s="5" t="n"/>
      <c r="N608" s="5">
        <f>IF(AND(ISNUMBER(M608),ISNUMBER(L608)),M608-L608,"")</f>
        <v/>
      </c>
      <c r="O608" s="7">
        <f>IF(AND(ISNUMBER(M608),ISNUMBER(L608),L608&gt;0),(M608-L608)/L608,"")</f>
        <v/>
      </c>
      <c r="P608" s="3">
        <f>IF(O608="","",IF(O608&lt;-0.02,"🔴 Bán phá giá sàn",IF(O608&gt;0.05,"🔵 Bán cao hơn","🟢 Đúng giá sàn TMĐT")))</f>
        <v/>
      </c>
      <c r="Q608" s="3" t="n"/>
      <c r="R608" s="4" t="n"/>
      <c r="S608" s="4" t="n"/>
    </row>
    <row r="609">
      <c r="A609" s="3" t="n">
        <v>608</v>
      </c>
      <c r="B609" s="3" t="inlineStr">
        <is>
          <t>KH003</t>
        </is>
      </c>
      <c r="C609" s="4" t="inlineStr">
        <is>
          <t>CÔNG TY TNHH ĐỒ NGHỀ CẦM TAY PHƯƠNG MY</t>
        </is>
      </c>
      <c r="D609" s="3" t="inlineStr">
        <is>
          <t>HCM</t>
        </is>
      </c>
      <c r="E609" s="3" t="inlineStr">
        <is>
          <t>BẢO TRÂM</t>
        </is>
      </c>
      <c r="F609" s="3" t="inlineStr">
        <is>
          <t>Shopee</t>
        </is>
      </c>
      <c r="G609" s="3" t="inlineStr">
        <is>
          <t>KBA-US1500</t>
        </is>
      </c>
      <c r="H609" s="4" t="inlineStr">
        <is>
          <t>Máy rửa xe tiêu âm KBA-US1500</t>
        </is>
      </c>
      <c r="I609" s="3" t="inlineStr">
        <is>
          <t>Cái</t>
        </is>
      </c>
      <c r="J609" s="5" t="n">
        <v>1900000</v>
      </c>
      <c r="K609" s="5" t="n">
        <v>2130000</v>
      </c>
      <c r="L609" s="6" t="n">
        <v>2470000</v>
      </c>
      <c r="M609" s="5" t="n"/>
      <c r="N609" s="5">
        <f>IF(AND(ISNUMBER(M609),ISNUMBER(L609)),M609-L609,"")</f>
        <v/>
      </c>
      <c r="O609" s="7">
        <f>IF(AND(ISNUMBER(M609),ISNUMBER(L609),L609&gt;0),(M609-L609)/L609,"")</f>
        <v/>
      </c>
      <c r="P609" s="3">
        <f>IF(O609="","",IF(O609&lt;-0.02,"🔴 Bán phá giá sàn",IF(O609&gt;0.05,"🔵 Bán cao hơn","🟢 Đúng giá sàn TMĐT")))</f>
        <v/>
      </c>
      <c r="Q609" s="3" t="n"/>
      <c r="R609" s="4" t="n"/>
      <c r="S609" s="4" t="n"/>
    </row>
    <row r="610">
      <c r="A610" s="3" t="n">
        <v>609</v>
      </c>
      <c r="B610" s="3" t="inlineStr">
        <is>
          <t>KH003</t>
        </is>
      </c>
      <c r="C610" s="4" t="inlineStr">
        <is>
          <t>CÔNG TY TNHH ĐỒ NGHỀ CẦM TAY PHƯƠNG MY</t>
        </is>
      </c>
      <c r="D610" s="3" t="inlineStr">
        <is>
          <t>HCM</t>
        </is>
      </c>
      <c r="E610" s="3" t="inlineStr">
        <is>
          <t>BẢO TRÂM</t>
        </is>
      </c>
      <c r="F610" s="3" t="inlineStr">
        <is>
          <t>Shopee</t>
        </is>
      </c>
      <c r="G610" s="3" t="inlineStr">
        <is>
          <t>K18SVS</t>
        </is>
      </c>
      <c r="H610" s="4" t="inlineStr">
        <is>
          <t>Máy siết Bulon 18V 2in1 K18SVS</t>
        </is>
      </c>
      <c r="I610" s="3" t="inlineStr">
        <is>
          <t>Cái</t>
        </is>
      </c>
      <c r="J610" s="5" t="n">
        <v>1630000</v>
      </c>
      <c r="K610" s="5" t="n">
        <v>1790000</v>
      </c>
      <c r="L610" s="6" t="n">
        <v>2040000</v>
      </c>
      <c r="M610" s="5" t="n"/>
      <c r="N610" s="5">
        <f>IF(AND(ISNUMBER(M610),ISNUMBER(L610)),M610-L610,"")</f>
        <v/>
      </c>
      <c r="O610" s="7">
        <f>IF(AND(ISNUMBER(M610),ISNUMBER(L610),L610&gt;0),(M610-L610)/L610,"")</f>
        <v/>
      </c>
      <c r="P610" s="3">
        <f>IF(O610="","",IF(O610&lt;-0.02,"🔴 Bán phá giá sàn",IF(O610&gt;0.05,"🔵 Bán cao hơn","🟢 Đúng giá sàn TMĐT")))</f>
        <v/>
      </c>
      <c r="Q610" s="3" t="n"/>
      <c r="R610" s="4" t="n"/>
      <c r="S610" s="4" t="n"/>
    </row>
    <row r="611">
      <c r="A611" s="3" t="n">
        <v>610</v>
      </c>
      <c r="B611" s="3" t="inlineStr">
        <is>
          <t>KH003</t>
        </is>
      </c>
      <c r="C611" s="4" t="inlineStr">
        <is>
          <t>CÔNG TY TNHH ĐỒ NGHỀ CẦM TAY PHƯƠNG MY</t>
        </is>
      </c>
      <c r="D611" s="3" t="inlineStr">
        <is>
          <t>HCM</t>
        </is>
      </c>
      <c r="E611" s="3" t="inlineStr">
        <is>
          <t>BẢO TRÂM</t>
        </is>
      </c>
      <c r="F611" s="3" t="inlineStr">
        <is>
          <t>Shopee</t>
        </is>
      </c>
      <c r="G611" s="3" t="inlineStr">
        <is>
          <t>K18SFS</t>
        </is>
      </c>
      <c r="H611" s="4" t="inlineStr">
        <is>
          <t>Máy siết bulong 18V K18SFS</t>
        </is>
      </c>
      <c r="I611" s="3" t="inlineStr">
        <is>
          <t>Cái</t>
        </is>
      </c>
      <c r="J611" s="5" t="n">
        <v>2620000</v>
      </c>
      <c r="K611" s="5" t="n">
        <v>2880000</v>
      </c>
      <c r="L611" s="6" t="n">
        <v>3270000</v>
      </c>
      <c r="M611" s="5" t="n"/>
      <c r="N611" s="5">
        <f>IF(AND(ISNUMBER(M611),ISNUMBER(L611)),M611-L611,"")</f>
        <v/>
      </c>
      <c r="O611" s="7">
        <f>IF(AND(ISNUMBER(M611),ISNUMBER(L611),L611&gt;0),(M611-L611)/L611,"")</f>
        <v/>
      </c>
      <c r="P611" s="3">
        <f>IF(O611="","",IF(O611&lt;-0.02,"🔴 Bán phá giá sàn",IF(O611&gt;0.05,"🔵 Bán cao hơn","🟢 Đúng giá sàn TMĐT")))</f>
        <v/>
      </c>
      <c r="Q611" s="3" t="n"/>
      <c r="R611" s="4" t="n"/>
      <c r="S611" s="4" t="n"/>
    </row>
    <row r="612">
      <c r="A612" s="3" t="n">
        <v>611</v>
      </c>
      <c r="B612" s="3" t="inlineStr">
        <is>
          <t>KH003</t>
        </is>
      </c>
      <c r="C612" s="4" t="inlineStr">
        <is>
          <t>CÔNG TY TNHH ĐỒ NGHỀ CẦM TAY PHƯƠNG MY</t>
        </is>
      </c>
      <c r="D612" s="3" t="inlineStr">
        <is>
          <t>HCM</t>
        </is>
      </c>
      <c r="E612" s="3" t="inlineStr">
        <is>
          <t>BẢO TRÂM</t>
        </is>
      </c>
      <c r="F612" s="3" t="inlineStr">
        <is>
          <t>Shopee</t>
        </is>
      </c>
      <c r="G612" s="3" t="inlineStr">
        <is>
          <t>K18PLS</t>
        </is>
      </c>
      <c r="H612" s="4" t="inlineStr">
        <is>
          <t>Máy thổi phản lực 18V K18PLS</t>
        </is>
      </c>
      <c r="I612" s="3" t="inlineStr">
        <is>
          <t>Cái</t>
        </is>
      </c>
      <c r="J612" s="5" t="n">
        <v>990000</v>
      </c>
      <c r="K612" s="5" t="n">
        <v>1090000</v>
      </c>
      <c r="L612" s="6" t="n">
        <v>1240000</v>
      </c>
      <c r="M612" s="5" t="n"/>
      <c r="N612" s="5">
        <f>IF(AND(ISNUMBER(M612),ISNUMBER(L612)),M612-L612,"")</f>
        <v/>
      </c>
      <c r="O612" s="7">
        <f>IF(AND(ISNUMBER(M612),ISNUMBER(L612),L612&gt;0),(M612-L612)/L612,"")</f>
        <v/>
      </c>
      <c r="P612" s="3">
        <f>IF(O612="","",IF(O612&lt;-0.02,"🔴 Bán phá giá sàn",IF(O612&gt;0.05,"🔵 Bán cao hơn","🟢 Đúng giá sàn TMĐT")))</f>
        <v/>
      </c>
      <c r="Q612" s="3" t="n"/>
      <c r="R612" s="4" t="n"/>
      <c r="S612" s="4" t="n"/>
    </row>
    <row r="613">
      <c r="A613" s="3" t="n">
        <v>612</v>
      </c>
      <c r="B613" s="3" t="inlineStr">
        <is>
          <t>KH003</t>
        </is>
      </c>
      <c r="C613" s="4" t="inlineStr">
        <is>
          <t>CÔNG TY TNHH ĐỒ NGHỀ CẦM TAY PHƯƠNG MY</t>
        </is>
      </c>
      <c r="D613" s="3" t="inlineStr">
        <is>
          <t>HCM</t>
        </is>
      </c>
      <c r="E613" s="3" t="inlineStr">
        <is>
          <t>BẢO TRÂM</t>
        </is>
      </c>
      <c r="F613" s="3" t="inlineStr">
        <is>
          <t>Shopee</t>
        </is>
      </c>
      <c r="G613" s="3" t="inlineStr">
        <is>
          <t>V100R</t>
        </is>
      </c>
      <c r="H613" s="4" t="inlineStr">
        <is>
          <t>Mũi bắn vít chống trượt KingBlue V100R</t>
        </is>
      </c>
      <c r="I613" s="3" t="inlineStr">
        <is>
          <t>Vỉ</t>
        </is>
      </c>
      <c r="J613" s="5" t="n">
        <v>29000</v>
      </c>
      <c r="K613" s="5" t="n">
        <v>37000</v>
      </c>
      <c r="L613" s="6" t="n">
        <v>48000</v>
      </c>
      <c r="M613" s="5" t="n"/>
      <c r="N613" s="5">
        <f>IF(AND(ISNUMBER(M613),ISNUMBER(L613)),M613-L613,"")</f>
        <v/>
      </c>
      <c r="O613" s="7">
        <f>IF(AND(ISNUMBER(M613),ISNUMBER(L613),L613&gt;0),(M613-L613)/L613,"")</f>
        <v/>
      </c>
      <c r="P613" s="3">
        <f>IF(O613="","",IF(O613&lt;-0.02,"🔴 Bán phá giá sàn",IF(O613&gt;0.05,"🔵 Bán cao hơn","🟢 Đúng giá sàn TMĐT")))</f>
        <v/>
      </c>
      <c r="Q613" s="3" t="n"/>
      <c r="R613" s="4" t="n"/>
      <c r="S613" s="4" t="n"/>
    </row>
    <row r="614">
      <c r="A614" s="3" t="n">
        <v>613</v>
      </c>
      <c r="B614" s="3" t="inlineStr">
        <is>
          <t>KH003</t>
        </is>
      </c>
      <c r="C614" s="4" t="inlineStr">
        <is>
          <t>CÔNG TY TNHH ĐỒ NGHỀ CẦM TAY PHƯƠNG MY</t>
        </is>
      </c>
      <c r="D614" s="3" t="inlineStr">
        <is>
          <t>HCM</t>
        </is>
      </c>
      <c r="E614" s="3" t="inlineStr">
        <is>
          <t>BẢO TRÂM</t>
        </is>
      </c>
      <c r="F614" s="3" t="inlineStr">
        <is>
          <t>Shopee</t>
        </is>
      </c>
      <c r="G614" s="3" t="inlineStr">
        <is>
          <t>V150R</t>
        </is>
      </c>
      <c r="H614" s="4" t="inlineStr">
        <is>
          <t>Mũi bắn vít chống trượt KingBlue V150R</t>
        </is>
      </c>
      <c r="I614" s="3" t="inlineStr">
        <is>
          <t>Vỉ</t>
        </is>
      </c>
      <c r="J614" s="5" t="n">
        <v>40000</v>
      </c>
      <c r="K614" s="5" t="n">
        <v>50000</v>
      </c>
      <c r="L614" s="6" t="n">
        <v>66000</v>
      </c>
      <c r="M614" s="5" t="n"/>
      <c r="N614" s="5">
        <f>IF(AND(ISNUMBER(M614),ISNUMBER(L614)),M614-L614,"")</f>
        <v/>
      </c>
      <c r="O614" s="7">
        <f>IF(AND(ISNUMBER(M614),ISNUMBER(L614),L614&gt;0),(M614-L614)/L614,"")</f>
        <v/>
      </c>
      <c r="P614" s="3">
        <f>IF(O614="","",IF(O614&lt;-0.02,"🔴 Bán phá giá sàn",IF(O614&gt;0.05,"🔵 Bán cao hơn","🟢 Đúng giá sàn TMĐT")))</f>
        <v/>
      </c>
      <c r="Q614" s="3" t="n"/>
      <c r="R614" s="4" t="n"/>
      <c r="S614" s="4" t="n"/>
    </row>
    <row r="615">
      <c r="A615" s="3" t="n">
        <v>614</v>
      </c>
      <c r="B615" s="3" t="inlineStr">
        <is>
          <t>KH003</t>
        </is>
      </c>
      <c r="C615" s="4" t="inlineStr">
        <is>
          <t>CÔNG TY TNHH ĐỒ NGHỀ CẦM TAY PHƯƠNG MY</t>
        </is>
      </c>
      <c r="D615" s="3" t="inlineStr">
        <is>
          <t>HCM</t>
        </is>
      </c>
      <c r="E615" s="3" t="inlineStr">
        <is>
          <t>BẢO TRÂM</t>
        </is>
      </c>
      <c r="F615" s="3" t="inlineStr">
        <is>
          <t>Shopee</t>
        </is>
      </c>
      <c r="G615" s="3" t="inlineStr">
        <is>
          <t>V65R</t>
        </is>
      </c>
      <c r="H615" s="4" t="inlineStr">
        <is>
          <t>Mũi bắn vít chống trượt KingBlue V65R</t>
        </is>
      </c>
      <c r="I615" s="3" t="inlineStr">
        <is>
          <t>Vỉ</t>
        </is>
      </c>
      <c r="J615" s="5" t="n">
        <v>20000</v>
      </c>
      <c r="K615" s="5" t="n">
        <v>25000</v>
      </c>
      <c r="L615" s="6" t="n">
        <v>33000</v>
      </c>
      <c r="M615" s="5" t="n"/>
      <c r="N615" s="5">
        <f>IF(AND(ISNUMBER(M615),ISNUMBER(L615)),M615-L615,"")</f>
        <v/>
      </c>
      <c r="O615" s="7">
        <f>IF(AND(ISNUMBER(M615),ISNUMBER(L615),L615&gt;0),(M615-L615)/L615,"")</f>
        <v/>
      </c>
      <c r="P615" s="3">
        <f>IF(O615="","",IF(O615&lt;-0.02,"🔴 Bán phá giá sàn",IF(O615&gt;0.05,"🔵 Bán cao hơn","🟢 Đúng giá sàn TMĐT")))</f>
        <v/>
      </c>
      <c r="Q615" s="3" t="n"/>
      <c r="R615" s="4" t="n"/>
      <c r="S615" s="4" t="n"/>
    </row>
    <row r="616">
      <c r="A616" s="3" t="n">
        <v>615</v>
      </c>
      <c r="B616" s="3" t="inlineStr">
        <is>
          <t>KH003</t>
        </is>
      </c>
      <c r="C616" s="4" t="inlineStr">
        <is>
          <t>CÔNG TY TNHH ĐỒ NGHỀ CẦM TAY PHƯƠNG MY</t>
        </is>
      </c>
      <c r="D616" s="3" t="inlineStr">
        <is>
          <t>HCM</t>
        </is>
      </c>
      <c r="E616" s="3" t="inlineStr">
        <is>
          <t>BẢO TRÂM</t>
        </is>
      </c>
      <c r="F616" s="3" t="inlineStr">
        <is>
          <t>Shopee</t>
        </is>
      </c>
      <c r="G616" s="3" t="inlineStr">
        <is>
          <t>V100S</t>
        </is>
      </c>
      <c r="H616" s="4" t="inlineStr">
        <is>
          <t>Mũi bắn vít PH2 V100S</t>
        </is>
      </c>
      <c r="I616" s="3" t="inlineStr">
        <is>
          <t>Vỉ</t>
        </is>
      </c>
      <c r="J616" s="5" t="n">
        <v>44000</v>
      </c>
      <c r="K616" s="5" t="n">
        <v>56000</v>
      </c>
      <c r="L616" s="6" t="n">
        <v>73000</v>
      </c>
      <c r="M616" s="5" t="n"/>
      <c r="N616" s="5">
        <f>IF(AND(ISNUMBER(M616),ISNUMBER(L616)),M616-L616,"")</f>
        <v/>
      </c>
      <c r="O616" s="7">
        <f>IF(AND(ISNUMBER(M616),ISNUMBER(L616),L616&gt;0),(M616-L616)/L616,"")</f>
        <v/>
      </c>
      <c r="P616" s="3">
        <f>IF(O616="","",IF(O616&lt;-0.02,"🔴 Bán phá giá sàn",IF(O616&gt;0.05,"🔵 Bán cao hơn","🟢 Đúng giá sàn TMĐT")))</f>
        <v/>
      </c>
      <c r="Q616" s="3" t="n"/>
      <c r="R616" s="4" t="n"/>
      <c r="S616" s="4" t="n"/>
    </row>
    <row r="617">
      <c r="A617" s="3" t="n">
        <v>616</v>
      </c>
      <c r="B617" s="3" t="inlineStr">
        <is>
          <t>KH003</t>
        </is>
      </c>
      <c r="C617" s="4" t="inlineStr">
        <is>
          <t>CÔNG TY TNHH ĐỒ NGHỀ CẦM TAY PHƯƠNG MY</t>
        </is>
      </c>
      <c r="D617" s="3" t="inlineStr">
        <is>
          <t>HCM</t>
        </is>
      </c>
      <c r="E617" s="3" t="inlineStr">
        <is>
          <t>BẢO TRÂM</t>
        </is>
      </c>
      <c r="F617" s="3" t="inlineStr">
        <is>
          <t>Shopee</t>
        </is>
      </c>
      <c r="G617" s="3" t="inlineStr">
        <is>
          <t>V65S</t>
        </is>
      </c>
      <c r="H617" s="4" t="inlineStr">
        <is>
          <t>Mũi bắn vít PH2 V65S</t>
        </is>
      </c>
      <c r="I617" s="3" t="inlineStr">
        <is>
          <t>Vỉ</t>
        </is>
      </c>
      <c r="J617" s="5" t="n">
        <v>30000</v>
      </c>
      <c r="K617" s="5" t="n">
        <v>38000</v>
      </c>
      <c r="L617" s="6" t="n">
        <v>50000</v>
      </c>
      <c r="M617" s="5" t="n"/>
      <c r="N617" s="5">
        <f>IF(AND(ISNUMBER(M617),ISNUMBER(L617)),M617-L617,"")</f>
        <v/>
      </c>
      <c r="O617" s="7">
        <f>IF(AND(ISNUMBER(M617),ISNUMBER(L617),L617&gt;0),(M617-L617)/L617,"")</f>
        <v/>
      </c>
      <c r="P617" s="3">
        <f>IF(O617="","",IF(O617&lt;-0.02,"🔴 Bán phá giá sàn",IF(O617&gt;0.05,"🔵 Bán cao hơn","🟢 Đúng giá sàn TMĐT")))</f>
        <v/>
      </c>
      <c r="Q617" s="3" t="n"/>
      <c r="R617" s="4" t="n"/>
      <c r="S617" s="4" t="n"/>
    </row>
    <row r="618">
      <c r="A618" s="3" t="n">
        <v>617</v>
      </c>
      <c r="B618" s="3" t="inlineStr">
        <is>
          <t>KH003</t>
        </is>
      </c>
      <c r="C618" s="4" t="inlineStr">
        <is>
          <t>CÔNG TY TNHH ĐỒ NGHỀ CẦM TAY PHƯƠNG MY</t>
        </is>
      </c>
      <c r="D618" s="3" t="inlineStr">
        <is>
          <t>HCM</t>
        </is>
      </c>
      <c r="E618" s="3" t="inlineStr">
        <is>
          <t>BẢO TRÂM</t>
        </is>
      </c>
      <c r="F618" s="3" t="inlineStr">
        <is>
          <t>Shopee</t>
        </is>
      </c>
      <c r="G618" s="3" t="inlineStr"/>
      <c r="H618" s="4" t="inlineStr">
        <is>
          <t>Mũi đục bê tông KBVd-14*250*22</t>
        </is>
      </c>
      <c r="I618" s="3" t="inlineStr">
        <is>
          <t>Cái</t>
        </is>
      </c>
      <c r="J618" s="5" t="n">
        <v>269000</v>
      </c>
      <c r="K618" s="5" t="n">
        <v>317000</v>
      </c>
      <c r="L618" s="6" t="n">
        <v>390000</v>
      </c>
      <c r="M618" s="5" t="n"/>
      <c r="N618" s="5">
        <f>IF(AND(ISNUMBER(M618),ISNUMBER(L618)),M618-L618,"")</f>
        <v/>
      </c>
      <c r="O618" s="7">
        <f>IF(AND(ISNUMBER(M618),ISNUMBER(L618),L618&gt;0),(M618-L618)/L618,"")</f>
        <v/>
      </c>
      <c r="P618" s="3">
        <f>IF(O618="","",IF(O618&lt;-0.02,"🔴 Bán phá giá sàn",IF(O618&gt;0.05,"🔵 Bán cao hơn","🟢 Đúng giá sàn TMĐT")))</f>
        <v/>
      </c>
      <c r="Q618" s="3" t="n"/>
      <c r="R618" s="4" t="n"/>
      <c r="S618" s="4" t="n"/>
    </row>
    <row r="619">
      <c r="A619" s="3" t="n">
        <v>618</v>
      </c>
      <c r="B619" s="3" t="inlineStr">
        <is>
          <t>KH003</t>
        </is>
      </c>
      <c r="C619" s="4" t="inlineStr">
        <is>
          <t>CÔNG TY TNHH ĐỒ NGHỀ CẦM TAY PHƯƠNG MY</t>
        </is>
      </c>
      <c r="D619" s="3" t="inlineStr">
        <is>
          <t>HCM</t>
        </is>
      </c>
      <c r="E619" s="3" t="inlineStr">
        <is>
          <t>BẢO TRÂM</t>
        </is>
      </c>
      <c r="F619" s="3" t="inlineStr">
        <is>
          <t>Shopee</t>
        </is>
      </c>
      <c r="G619" s="3" t="inlineStr"/>
      <c r="H619" s="4" t="inlineStr">
        <is>
          <t>Mũi đục bê tông KBVn-14*250</t>
        </is>
      </c>
      <c r="I619" s="3" t="inlineStr">
        <is>
          <t>Cái</t>
        </is>
      </c>
      <c r="J619" s="5" t="n">
        <v>269000</v>
      </c>
      <c r="K619" s="5" t="n">
        <v>317000</v>
      </c>
      <c r="L619" s="6" t="n">
        <v>390000</v>
      </c>
      <c r="M619" s="5" t="n"/>
      <c r="N619" s="5">
        <f>IF(AND(ISNUMBER(M619),ISNUMBER(L619)),M619-L619,"")</f>
        <v/>
      </c>
      <c r="O619" s="7">
        <f>IF(AND(ISNUMBER(M619),ISNUMBER(L619),L619&gt;0),(M619-L619)/L619,"")</f>
        <v/>
      </c>
      <c r="P619" s="3">
        <f>IF(O619="","",IF(O619&lt;-0.02,"🔴 Bán phá giá sàn",IF(O619&gt;0.05,"🔵 Bán cao hơn","🟢 Đúng giá sàn TMĐT")))</f>
        <v/>
      </c>
      <c r="Q619" s="3" t="n"/>
      <c r="R619" s="4" t="n"/>
      <c r="S619" s="4" t="n"/>
    </row>
    <row r="620">
      <c r="A620" s="3" t="n">
        <v>619</v>
      </c>
      <c r="B620" s="3" t="inlineStr">
        <is>
          <t>KH003</t>
        </is>
      </c>
      <c r="C620" s="4" t="inlineStr">
        <is>
          <t>CÔNG TY TNHH ĐỒ NGHỀ CẦM TAY PHƯƠNG MY</t>
        </is>
      </c>
      <c r="D620" s="3" t="inlineStr">
        <is>
          <t>HCM</t>
        </is>
      </c>
      <c r="E620" s="3" t="inlineStr">
        <is>
          <t>BẢO TRÂM</t>
        </is>
      </c>
      <c r="F620" s="3" t="inlineStr">
        <is>
          <t>Shopee</t>
        </is>
      </c>
      <c r="G620" s="3" t="inlineStr">
        <is>
          <t>KBL4-06*160</t>
        </is>
      </c>
      <c r="H620" s="4" t="inlineStr">
        <is>
          <t>Mũi khoan bê tông 4 cạnh KBL4-06*160</t>
        </is>
      </c>
      <c r="I620" s="3" t="inlineStr">
        <is>
          <t>Cái</t>
        </is>
      </c>
      <c r="J620" s="5" t="n">
        <v>24000</v>
      </c>
      <c r="K620" s="5" t="n">
        <v>29000</v>
      </c>
      <c r="L620" s="6" t="n">
        <v>37000</v>
      </c>
      <c r="M620" s="5" t="n"/>
      <c r="N620" s="5">
        <f>IF(AND(ISNUMBER(M620),ISNUMBER(L620)),M620-L620,"")</f>
        <v/>
      </c>
      <c r="O620" s="7">
        <f>IF(AND(ISNUMBER(M620),ISNUMBER(L620),L620&gt;0),(M620-L620)/L620,"")</f>
        <v/>
      </c>
      <c r="P620" s="3">
        <f>IF(O620="","",IF(O620&lt;-0.02,"🔴 Bán phá giá sàn",IF(O620&gt;0.05,"🔵 Bán cao hơn","🟢 Đúng giá sàn TMĐT")))</f>
        <v/>
      </c>
      <c r="Q620" s="3" t="n"/>
      <c r="R620" s="4" t="n"/>
      <c r="S620" s="4" t="n"/>
    </row>
    <row r="621">
      <c r="A621" s="3" t="n">
        <v>620</v>
      </c>
      <c r="B621" s="3" t="inlineStr">
        <is>
          <t>KH003</t>
        </is>
      </c>
      <c r="C621" s="4" t="inlineStr">
        <is>
          <t>CÔNG TY TNHH ĐỒ NGHỀ CẦM TAY PHƯƠNG MY</t>
        </is>
      </c>
      <c r="D621" s="3" t="inlineStr">
        <is>
          <t>HCM</t>
        </is>
      </c>
      <c r="E621" s="3" t="inlineStr">
        <is>
          <t>BẢO TRÂM</t>
        </is>
      </c>
      <c r="F621" s="3" t="inlineStr">
        <is>
          <t>Shopee</t>
        </is>
      </c>
      <c r="G621" s="3" t="inlineStr">
        <is>
          <t>KBL4-08*160</t>
        </is>
      </c>
      <c r="H621" s="4" t="inlineStr">
        <is>
          <t>Mũi khoan bê tông 4 cạnh KBL4-08*160</t>
        </is>
      </c>
      <c r="I621" s="3" t="inlineStr">
        <is>
          <t>Cái</t>
        </is>
      </c>
      <c r="J621" s="5" t="n">
        <v>27000</v>
      </c>
      <c r="K621" s="5" t="n">
        <v>33000</v>
      </c>
      <c r="L621" s="6" t="n">
        <v>42000</v>
      </c>
      <c r="M621" s="5" t="n"/>
      <c r="N621" s="5">
        <f>IF(AND(ISNUMBER(M621),ISNUMBER(L621)),M621-L621,"")</f>
        <v/>
      </c>
      <c r="O621" s="7">
        <f>IF(AND(ISNUMBER(M621),ISNUMBER(L621),L621&gt;0),(M621-L621)/L621,"")</f>
        <v/>
      </c>
      <c r="P621" s="3">
        <f>IF(O621="","",IF(O621&lt;-0.02,"🔴 Bán phá giá sàn",IF(O621&gt;0.05,"🔵 Bán cao hơn","🟢 Đúng giá sàn TMĐT")))</f>
        <v/>
      </c>
      <c r="Q621" s="3" t="n"/>
      <c r="R621" s="4" t="n"/>
      <c r="S621" s="4" t="n"/>
    </row>
    <row r="622">
      <c r="A622" s="3" t="n">
        <v>621</v>
      </c>
      <c r="B622" s="3" t="inlineStr">
        <is>
          <t>KH003</t>
        </is>
      </c>
      <c r="C622" s="4" t="inlineStr">
        <is>
          <t>CÔNG TY TNHH ĐỒ NGHỀ CẦM TAY PHƯƠNG MY</t>
        </is>
      </c>
      <c r="D622" s="3" t="inlineStr">
        <is>
          <t>HCM</t>
        </is>
      </c>
      <c r="E622" s="3" t="inlineStr">
        <is>
          <t>BẢO TRÂM</t>
        </is>
      </c>
      <c r="F622" s="3" t="inlineStr">
        <is>
          <t>Shopee</t>
        </is>
      </c>
      <c r="G622" s="3" t="inlineStr">
        <is>
          <t>KBL4-10*160</t>
        </is>
      </c>
      <c r="H622" s="4" t="inlineStr">
        <is>
          <t>Mũi khoan bê tông 4 cạnh KBL4-10*160</t>
        </is>
      </c>
      <c r="I622" s="3" t="inlineStr">
        <is>
          <t>Cái</t>
        </is>
      </c>
      <c r="J622" s="5" t="n">
        <v>30000</v>
      </c>
      <c r="K622" s="5" t="n">
        <v>37000</v>
      </c>
      <c r="L622" s="6" t="n">
        <v>47000</v>
      </c>
      <c r="M622" s="5" t="n"/>
      <c r="N622" s="5">
        <f>IF(AND(ISNUMBER(M622),ISNUMBER(L622)),M622-L622,"")</f>
        <v/>
      </c>
      <c r="O622" s="7">
        <f>IF(AND(ISNUMBER(M622),ISNUMBER(L622),L622&gt;0),(M622-L622)/L622,"")</f>
        <v/>
      </c>
      <c r="P622" s="3">
        <f>IF(O622="","",IF(O622&lt;-0.02,"🔴 Bán phá giá sàn",IF(O622&gt;0.05,"🔵 Bán cao hơn","🟢 Đúng giá sàn TMĐT")))</f>
        <v/>
      </c>
      <c r="Q622" s="3" t="n"/>
      <c r="R622" s="4" t="n"/>
      <c r="S622" s="4" t="n"/>
    </row>
    <row r="623">
      <c r="A623" s="3" t="n">
        <v>622</v>
      </c>
      <c r="B623" s="3" t="inlineStr">
        <is>
          <t>KH003</t>
        </is>
      </c>
      <c r="C623" s="4" t="inlineStr">
        <is>
          <t>CÔNG TY TNHH ĐỒ NGHỀ CẦM TAY PHƯƠNG MY</t>
        </is>
      </c>
      <c r="D623" s="3" t="inlineStr">
        <is>
          <t>HCM</t>
        </is>
      </c>
      <c r="E623" s="3" t="inlineStr">
        <is>
          <t>BẢO TRÂM</t>
        </is>
      </c>
      <c r="F623" s="3" t="inlineStr">
        <is>
          <t>Shopee</t>
        </is>
      </c>
      <c r="G623" s="3" t="inlineStr">
        <is>
          <t>KBL2-3.2*90</t>
        </is>
      </c>
      <c r="H623" s="4" t="inlineStr">
        <is>
          <t>Mũi khoan bê tông không tắc kê KBL2-3.2*90</t>
        </is>
      </c>
      <c r="I623" s="3" t="inlineStr">
        <is>
          <t>Cái</t>
        </is>
      </c>
      <c r="J623" s="5" t="n">
        <v>23000</v>
      </c>
      <c r="K623" s="5" t="n">
        <v>29000</v>
      </c>
      <c r="L623" s="6" t="n">
        <v>38000</v>
      </c>
      <c r="M623" s="5" t="n"/>
      <c r="N623" s="5">
        <f>IF(AND(ISNUMBER(M623),ISNUMBER(L623)),M623-L623,"")</f>
        <v/>
      </c>
      <c r="O623" s="7">
        <f>IF(AND(ISNUMBER(M623),ISNUMBER(L623),L623&gt;0),(M623-L623)/L623,"")</f>
        <v/>
      </c>
      <c r="P623" s="3">
        <f>IF(O623="","",IF(O623&lt;-0.02,"🔴 Bán phá giá sàn",IF(O623&gt;0.05,"🔵 Bán cao hơn","🟢 Đúng giá sàn TMĐT")))</f>
        <v/>
      </c>
      <c r="Q623" s="3" t="n"/>
      <c r="R623" s="4" t="n"/>
      <c r="S623" s="4" t="n"/>
    </row>
    <row r="624">
      <c r="A624" s="3" t="n">
        <v>623</v>
      </c>
      <c r="B624" s="3" t="inlineStr">
        <is>
          <t>KH003</t>
        </is>
      </c>
      <c r="C624" s="4" t="inlineStr">
        <is>
          <t>CÔNG TY TNHH ĐỒ NGHỀ CẦM TAY PHƯƠNG MY</t>
        </is>
      </c>
      <c r="D624" s="3" t="inlineStr">
        <is>
          <t>HCM</t>
        </is>
      </c>
      <c r="E624" s="3" t="inlineStr">
        <is>
          <t>BẢO TRÂM</t>
        </is>
      </c>
      <c r="F624" s="3" t="inlineStr">
        <is>
          <t>Shopee</t>
        </is>
      </c>
      <c r="G624" s="3" t="inlineStr">
        <is>
          <t>KBL2-4.2*110</t>
        </is>
      </c>
      <c r="H624" s="4" t="inlineStr">
        <is>
          <t>Mũi khoan bê tông không tắc kê KBL2-4.2*110</t>
        </is>
      </c>
      <c r="I624" s="3" t="inlineStr">
        <is>
          <t>Cái</t>
        </is>
      </c>
      <c r="J624" s="5" t="n">
        <v>23000</v>
      </c>
      <c r="K624" s="5" t="n">
        <v>29000</v>
      </c>
      <c r="L624" s="6" t="n">
        <v>38000</v>
      </c>
      <c r="M624" s="5" t="n"/>
      <c r="N624" s="5">
        <f>IF(AND(ISNUMBER(M624),ISNUMBER(L624)),M624-L624,"")</f>
        <v/>
      </c>
      <c r="O624" s="7">
        <f>IF(AND(ISNUMBER(M624),ISNUMBER(L624),L624&gt;0),(M624-L624)/L624,"")</f>
        <v/>
      </c>
      <c r="P624" s="3">
        <f>IF(O624="","",IF(O624&lt;-0.02,"🔴 Bán phá giá sàn",IF(O624&gt;0.05,"🔵 Bán cao hơn","🟢 Đúng giá sàn TMĐT")))</f>
        <v/>
      </c>
      <c r="Q624" s="3" t="n"/>
      <c r="R624" s="4" t="n"/>
      <c r="S624" s="4" t="n"/>
    </row>
    <row r="625">
      <c r="A625" s="3" t="n">
        <v>624</v>
      </c>
      <c r="B625" s="3" t="inlineStr">
        <is>
          <t>KH003</t>
        </is>
      </c>
      <c r="C625" s="4" t="inlineStr">
        <is>
          <t>CÔNG TY TNHH ĐỒ NGHỀ CẦM TAY PHƯƠNG MY</t>
        </is>
      </c>
      <c r="D625" s="3" t="inlineStr">
        <is>
          <t>HCM</t>
        </is>
      </c>
      <c r="E625" s="3" t="inlineStr">
        <is>
          <t>BẢO TRÂM</t>
        </is>
      </c>
      <c r="F625" s="3" t="inlineStr">
        <is>
          <t>Shopee</t>
        </is>
      </c>
      <c r="G625" s="3" t="inlineStr">
        <is>
          <t>KBK-08</t>
        </is>
      </c>
      <c r="H625" s="4" t="inlineStr">
        <is>
          <t>Mũi khoan đá KBK-08</t>
        </is>
      </c>
      <c r="I625" s="3" t="inlineStr">
        <is>
          <t>Cái</t>
        </is>
      </c>
      <c r="J625" s="5" t="n">
        <v>25000</v>
      </c>
      <c r="K625" s="5" t="n">
        <v>31000</v>
      </c>
      <c r="L625" s="6" t="n">
        <v>40000</v>
      </c>
      <c r="M625" s="5" t="n"/>
      <c r="N625" s="5">
        <f>IF(AND(ISNUMBER(M625),ISNUMBER(L625)),M625-L625,"")</f>
        <v/>
      </c>
      <c r="O625" s="7">
        <f>IF(AND(ISNUMBER(M625),ISNUMBER(L625),L625&gt;0),(M625-L625)/L625,"")</f>
        <v/>
      </c>
      <c r="P625" s="3">
        <f>IF(O625="","",IF(O625&lt;-0.02,"🔴 Bán phá giá sàn",IF(O625&gt;0.05,"🔵 Bán cao hơn","🟢 Đúng giá sàn TMĐT")))</f>
        <v/>
      </c>
      <c r="Q625" s="3" t="n"/>
      <c r="R625" s="4" t="n"/>
      <c r="S625" s="4" t="n"/>
    </row>
    <row r="626">
      <c r="A626" s="3" t="n">
        <v>625</v>
      </c>
      <c r="B626" s="3" t="inlineStr">
        <is>
          <t>KH003</t>
        </is>
      </c>
      <c r="C626" s="4" t="inlineStr">
        <is>
          <t>CÔNG TY TNHH ĐỒ NGHỀ CẦM TAY PHƯƠNG MY</t>
        </is>
      </c>
      <c r="D626" s="3" t="inlineStr">
        <is>
          <t>HCM</t>
        </is>
      </c>
      <c r="E626" s="3" t="inlineStr">
        <is>
          <t>BẢO TRÂM</t>
        </is>
      </c>
      <c r="F626" s="3" t="inlineStr">
        <is>
          <t>Shopee</t>
        </is>
      </c>
      <c r="G626" s="3" t="inlineStr">
        <is>
          <t>KBK-10</t>
        </is>
      </c>
      <c r="H626" s="4" t="inlineStr">
        <is>
          <t>Mũi khoan đá KBK-10</t>
        </is>
      </c>
      <c r="I626" s="3" t="inlineStr">
        <is>
          <t>Cái</t>
        </is>
      </c>
      <c r="J626" s="5" t="n">
        <v>32000</v>
      </c>
      <c r="K626" s="5" t="n">
        <v>40000</v>
      </c>
      <c r="L626" s="6" t="n">
        <v>51000</v>
      </c>
      <c r="M626" s="5" t="n"/>
      <c r="N626" s="5">
        <f>IF(AND(ISNUMBER(M626),ISNUMBER(L626)),M626-L626,"")</f>
        <v/>
      </c>
      <c r="O626" s="7">
        <f>IF(AND(ISNUMBER(M626),ISNUMBER(L626),L626&gt;0),(M626-L626)/L626,"")</f>
        <v/>
      </c>
      <c r="P626" s="3">
        <f>IF(O626="","",IF(O626&lt;-0.02,"🔴 Bán phá giá sàn",IF(O626&gt;0.05,"🔵 Bán cao hơn","🟢 Đúng giá sàn TMĐT")))</f>
        <v/>
      </c>
      <c r="Q626" s="3" t="n"/>
      <c r="R626" s="4" t="n"/>
      <c r="S626" s="4" t="n"/>
    </row>
    <row r="627">
      <c r="A627" s="3" t="n">
        <v>626</v>
      </c>
      <c r="B627" s="3" t="inlineStr">
        <is>
          <t>KH003</t>
        </is>
      </c>
      <c r="C627" s="4" t="inlineStr">
        <is>
          <t>CÔNG TY TNHH ĐỒ NGHỀ CẦM TAY PHƯƠNG MY</t>
        </is>
      </c>
      <c r="D627" s="3" t="inlineStr">
        <is>
          <t>HCM</t>
        </is>
      </c>
      <c r="E627" s="3" t="inlineStr">
        <is>
          <t>BẢO TRÂM</t>
        </is>
      </c>
      <c r="F627" s="3" t="inlineStr">
        <is>
          <t>Shopee</t>
        </is>
      </c>
      <c r="G627" s="3" t="inlineStr">
        <is>
          <t>KBK-12</t>
        </is>
      </c>
      <c r="H627" s="4" t="inlineStr">
        <is>
          <t>Mũi khoan đá KBK-12</t>
        </is>
      </c>
      <c r="I627" s="3" t="inlineStr">
        <is>
          <t>Cái</t>
        </is>
      </c>
      <c r="J627" s="5" t="n">
        <v>37000</v>
      </c>
      <c r="K627" s="5" t="n">
        <v>46000</v>
      </c>
      <c r="L627" s="6" t="n">
        <v>59000</v>
      </c>
      <c r="M627" s="5" t="n"/>
      <c r="N627" s="5">
        <f>IF(AND(ISNUMBER(M627),ISNUMBER(L627)),M627-L627,"")</f>
        <v/>
      </c>
      <c r="O627" s="7">
        <f>IF(AND(ISNUMBER(M627),ISNUMBER(L627),L627&gt;0),(M627-L627)/L627,"")</f>
        <v/>
      </c>
      <c r="P627" s="3">
        <f>IF(O627="","",IF(O627&lt;-0.02,"🔴 Bán phá giá sàn",IF(O627&gt;0.05,"🔵 Bán cao hơn","🟢 Đúng giá sàn TMĐT")))</f>
        <v/>
      </c>
      <c r="Q627" s="3" t="n"/>
      <c r="R627" s="4" t="n"/>
      <c r="S627" s="4" t="n"/>
    </row>
    <row r="628">
      <c r="A628" s="3" t="n">
        <v>627</v>
      </c>
      <c r="B628" s="3" t="inlineStr">
        <is>
          <t>KH003</t>
        </is>
      </c>
      <c r="C628" s="4" t="inlineStr">
        <is>
          <t>CÔNG TY TNHH ĐỒ NGHỀ CẦM TAY PHƯƠNG MY</t>
        </is>
      </c>
      <c r="D628" s="3" t="inlineStr">
        <is>
          <t>HCM</t>
        </is>
      </c>
      <c r="E628" s="3" t="inlineStr">
        <is>
          <t>BẢO TRÂM</t>
        </is>
      </c>
      <c r="F628" s="3" t="inlineStr">
        <is>
          <t>Shopee</t>
        </is>
      </c>
      <c r="G628" s="3" t="inlineStr">
        <is>
          <t>KBK-14</t>
        </is>
      </c>
      <c r="H628" s="4" t="inlineStr">
        <is>
          <t>Mũi khoan đá KBK-14</t>
        </is>
      </c>
      <c r="I628" s="3" t="inlineStr">
        <is>
          <t>Cái</t>
        </is>
      </c>
      <c r="J628" s="5" t="n">
        <v>45000</v>
      </c>
      <c r="K628" s="5" t="n">
        <v>56000</v>
      </c>
      <c r="L628" s="6" t="n">
        <v>72000</v>
      </c>
      <c r="M628" s="5" t="n"/>
      <c r="N628" s="5">
        <f>IF(AND(ISNUMBER(M628),ISNUMBER(L628)),M628-L628,"")</f>
        <v/>
      </c>
      <c r="O628" s="7">
        <f>IF(AND(ISNUMBER(M628),ISNUMBER(L628),L628&gt;0),(M628-L628)/L628,"")</f>
        <v/>
      </c>
      <c r="P628" s="3">
        <f>IF(O628="","",IF(O628&lt;-0.02,"🔴 Bán phá giá sàn",IF(O628&gt;0.05,"🔵 Bán cao hơn","🟢 Đúng giá sàn TMĐT")))</f>
        <v/>
      </c>
      <c r="Q628" s="3" t="n"/>
      <c r="R628" s="4" t="n"/>
      <c r="S628" s="4" t="n"/>
    </row>
    <row r="629">
      <c r="A629" s="3" t="n">
        <v>628</v>
      </c>
      <c r="B629" s="3" t="inlineStr">
        <is>
          <t>KH003</t>
        </is>
      </c>
      <c r="C629" s="4" t="inlineStr">
        <is>
          <t>CÔNG TY TNHH ĐỒ NGHỀ CẦM TAY PHƯƠNG MY</t>
        </is>
      </c>
      <c r="D629" s="3" t="inlineStr">
        <is>
          <t>HCM</t>
        </is>
      </c>
      <c r="E629" s="3" t="inlineStr">
        <is>
          <t>BẢO TRÂM</t>
        </is>
      </c>
      <c r="F629" s="3" t="inlineStr">
        <is>
          <t>Shopee</t>
        </is>
      </c>
      <c r="G629" s="3" t="inlineStr">
        <is>
          <t>KBK-22</t>
        </is>
      </c>
      <c r="H629" s="4" t="inlineStr">
        <is>
          <t>Mũi khoan đá KBK-22</t>
        </is>
      </c>
      <c r="I629" s="3" t="inlineStr">
        <is>
          <t>Cái</t>
        </is>
      </c>
      <c r="J629" s="5" t="n">
        <v>67000</v>
      </c>
      <c r="K629" s="5" t="n">
        <v>83000</v>
      </c>
      <c r="L629" s="6" t="n">
        <v>107000</v>
      </c>
      <c r="M629" s="5" t="n"/>
      <c r="N629" s="5">
        <f>IF(AND(ISNUMBER(M629),ISNUMBER(L629)),M629-L629,"")</f>
        <v/>
      </c>
      <c r="O629" s="7">
        <f>IF(AND(ISNUMBER(M629),ISNUMBER(L629),L629&gt;0),(M629-L629)/L629,"")</f>
        <v/>
      </c>
      <c r="P629" s="3">
        <f>IF(O629="","",IF(O629&lt;-0.02,"🔴 Bán phá giá sàn",IF(O629&gt;0.05,"🔵 Bán cao hơn","🟢 Đúng giá sàn TMĐT")))</f>
        <v/>
      </c>
      <c r="Q629" s="3" t="n"/>
      <c r="R629" s="4" t="n"/>
      <c r="S629" s="4" t="n"/>
    </row>
    <row r="630">
      <c r="A630" s="3" t="n">
        <v>629</v>
      </c>
      <c r="B630" s="3" t="inlineStr">
        <is>
          <t>KH003</t>
        </is>
      </c>
      <c r="C630" s="4" t="inlineStr">
        <is>
          <t>CÔNG TY TNHH ĐỒ NGHỀ CẦM TAY PHƯƠNG MY</t>
        </is>
      </c>
      <c r="D630" s="3" t="inlineStr">
        <is>
          <t>HCM</t>
        </is>
      </c>
      <c r="E630" s="3" t="inlineStr">
        <is>
          <t>BẢO TRÂM</t>
        </is>
      </c>
      <c r="F630" s="3" t="inlineStr">
        <is>
          <t>Shopee</t>
        </is>
      </c>
      <c r="G630" s="3" t="inlineStr">
        <is>
          <t>KBK-28</t>
        </is>
      </c>
      <c r="H630" s="4" t="inlineStr">
        <is>
          <t>Mũi khoan đá KBK-28</t>
        </is>
      </c>
      <c r="I630" s="3" t="inlineStr">
        <is>
          <t>Cái</t>
        </is>
      </c>
      <c r="J630" s="5" t="n">
        <v>85000</v>
      </c>
      <c r="K630" s="5" t="n">
        <v>105000</v>
      </c>
      <c r="L630" s="6" t="n">
        <v>136000</v>
      </c>
      <c r="M630" s="5" t="n"/>
      <c r="N630" s="5">
        <f>IF(AND(ISNUMBER(M630),ISNUMBER(L630)),M630-L630,"")</f>
        <v/>
      </c>
      <c r="O630" s="7">
        <f>IF(AND(ISNUMBER(M630),ISNUMBER(L630),L630&gt;0),(M630-L630)/L630,"")</f>
        <v/>
      </c>
      <c r="P630" s="3">
        <f>IF(O630="","",IF(O630&lt;-0.02,"🔴 Bán phá giá sàn",IF(O630&gt;0.05,"🔵 Bán cao hơn","🟢 Đúng giá sàn TMĐT")))</f>
        <v/>
      </c>
      <c r="Q630" s="3" t="n"/>
      <c r="R630" s="4" t="n"/>
      <c r="S630" s="4" t="n"/>
    </row>
    <row r="631">
      <c r="A631" s="3" t="n">
        <v>630</v>
      </c>
      <c r="B631" s="3" t="inlineStr">
        <is>
          <t>KH003</t>
        </is>
      </c>
      <c r="C631" s="4" t="inlineStr">
        <is>
          <t>CÔNG TY TNHH ĐỒ NGHỀ CẦM TAY PHƯƠNG MY</t>
        </is>
      </c>
      <c r="D631" s="3" t="inlineStr">
        <is>
          <t>HCM</t>
        </is>
      </c>
      <c r="E631" s="3" t="inlineStr">
        <is>
          <t>BẢO TRÂM</t>
        </is>
      </c>
      <c r="F631" s="3" t="inlineStr">
        <is>
          <t>Shopee</t>
        </is>
      </c>
      <c r="G631" s="3" t="inlineStr">
        <is>
          <t>KBK-45</t>
        </is>
      </c>
      <c r="H631" s="4" t="inlineStr">
        <is>
          <t>Mũi khoan đá KBK-45</t>
        </is>
      </c>
      <c r="I631" s="3" t="inlineStr">
        <is>
          <t>Cái</t>
        </is>
      </c>
      <c r="J631" s="5" t="n">
        <v>140000</v>
      </c>
      <c r="K631" s="5" t="n">
        <v>174000</v>
      </c>
      <c r="L631" s="6" t="n">
        <v>224000</v>
      </c>
      <c r="M631" s="5" t="n"/>
      <c r="N631" s="5">
        <f>IF(AND(ISNUMBER(M631),ISNUMBER(L631)),M631-L631,"")</f>
        <v/>
      </c>
      <c r="O631" s="7">
        <f>IF(AND(ISNUMBER(M631),ISNUMBER(L631),L631&gt;0),(M631-L631)/L631,"")</f>
        <v/>
      </c>
      <c r="P631" s="3">
        <f>IF(O631="","",IF(O631&lt;-0.02,"🔴 Bán phá giá sàn",IF(O631&gt;0.05,"🔵 Bán cao hơn","🟢 Đúng giá sàn TMĐT")))</f>
        <v/>
      </c>
      <c r="Q631" s="3" t="n"/>
      <c r="R631" s="4" t="n"/>
      <c r="S631" s="4" t="n"/>
    </row>
    <row r="632">
      <c r="A632" s="3" t="n">
        <v>631</v>
      </c>
      <c r="B632" s="3" t="inlineStr">
        <is>
          <t>KH003</t>
        </is>
      </c>
      <c r="C632" s="4" t="inlineStr">
        <is>
          <t>CÔNG TY TNHH ĐỒ NGHỀ CẦM TAY PHƯƠNG MY</t>
        </is>
      </c>
      <c r="D632" s="3" t="inlineStr">
        <is>
          <t>HCM</t>
        </is>
      </c>
      <c r="E632" s="3" t="inlineStr">
        <is>
          <t>BẢO TRÂM</t>
        </is>
      </c>
      <c r="F632" s="3" t="inlineStr">
        <is>
          <t>Shopee</t>
        </is>
      </c>
      <c r="G632" s="3" t="inlineStr">
        <is>
          <t>KBH2F-04*95</t>
        </is>
      </c>
      <c r="H632" s="4" t="inlineStr">
        <is>
          <t>Mũi khoan ĐN lục giác 2 cạnh KBH2F-04*95</t>
        </is>
      </c>
      <c r="I632" s="3" t="inlineStr">
        <is>
          <t>Cái</t>
        </is>
      </c>
      <c r="J632" s="5" t="n">
        <v>26000</v>
      </c>
      <c r="K632" s="5" t="n">
        <v>32000</v>
      </c>
      <c r="L632" s="6" t="n">
        <v>42000</v>
      </c>
      <c r="M632" s="5" t="n"/>
      <c r="N632" s="5">
        <f>IF(AND(ISNUMBER(M632),ISNUMBER(L632)),M632-L632,"")</f>
        <v/>
      </c>
      <c r="O632" s="7">
        <f>IF(AND(ISNUMBER(M632),ISNUMBER(L632),L632&gt;0),(M632-L632)/L632,"")</f>
        <v/>
      </c>
      <c r="P632" s="3">
        <f>IF(O632="","",IF(O632&lt;-0.02,"🔴 Bán phá giá sàn",IF(O632&gt;0.05,"🔵 Bán cao hơn","🟢 Đúng giá sàn TMĐT")))</f>
        <v/>
      </c>
      <c r="Q632" s="3" t="n"/>
      <c r="R632" s="4" t="n"/>
      <c r="S632" s="4" t="n"/>
    </row>
    <row r="633">
      <c r="A633" s="3" t="n">
        <v>632</v>
      </c>
      <c r="B633" s="3" t="inlineStr">
        <is>
          <t>KH003</t>
        </is>
      </c>
      <c r="C633" s="4" t="inlineStr">
        <is>
          <t>CÔNG TY TNHH ĐỒ NGHỀ CẦM TAY PHƯƠNG MY</t>
        </is>
      </c>
      <c r="D633" s="3" t="inlineStr">
        <is>
          <t>HCM</t>
        </is>
      </c>
      <c r="E633" s="3" t="inlineStr">
        <is>
          <t>BẢO TRÂM</t>
        </is>
      </c>
      <c r="F633" s="3" t="inlineStr">
        <is>
          <t>Shopee</t>
        </is>
      </c>
      <c r="G633" s="3" t="inlineStr">
        <is>
          <t>KBH2F-06*95</t>
        </is>
      </c>
      <c r="H633" s="4" t="inlineStr">
        <is>
          <t>Mũi khoan ĐN lục giác 2 cạnh KBH2F-06*95</t>
        </is>
      </c>
      <c r="I633" s="3" t="inlineStr">
        <is>
          <t>Cái</t>
        </is>
      </c>
      <c r="J633" s="5" t="n">
        <v>26000</v>
      </c>
      <c r="K633" s="5" t="n">
        <v>32000</v>
      </c>
      <c r="L633" s="6" t="n">
        <v>42000</v>
      </c>
      <c r="M633" s="5" t="n"/>
      <c r="N633" s="5">
        <f>IF(AND(ISNUMBER(M633),ISNUMBER(L633)),M633-L633,"")</f>
        <v/>
      </c>
      <c r="O633" s="7">
        <f>IF(AND(ISNUMBER(M633),ISNUMBER(L633),L633&gt;0),(M633-L633)/L633,"")</f>
        <v/>
      </c>
      <c r="P633" s="3">
        <f>IF(O633="","",IF(O633&lt;-0.02,"🔴 Bán phá giá sàn",IF(O633&gt;0.05,"🔵 Bán cao hơn","🟢 Đúng giá sàn TMĐT")))</f>
        <v/>
      </c>
      <c r="Q633" s="3" t="n"/>
      <c r="R633" s="4" t="n"/>
      <c r="S633" s="4" t="n"/>
    </row>
    <row r="634">
      <c r="A634" s="3" t="n">
        <v>633</v>
      </c>
      <c r="B634" s="3" t="inlineStr">
        <is>
          <t>KH003</t>
        </is>
      </c>
      <c r="C634" s="4" t="inlineStr">
        <is>
          <t>CÔNG TY TNHH ĐỒ NGHỀ CẦM TAY PHƯƠNG MY</t>
        </is>
      </c>
      <c r="D634" s="3" t="inlineStr">
        <is>
          <t>HCM</t>
        </is>
      </c>
      <c r="E634" s="3" t="inlineStr">
        <is>
          <t>BẢO TRÂM</t>
        </is>
      </c>
      <c r="F634" s="3" t="inlineStr">
        <is>
          <t>Shopee</t>
        </is>
      </c>
      <c r="G634" s="3" t="inlineStr">
        <is>
          <t>KBH2F-08*95</t>
        </is>
      </c>
      <c r="H634" s="4" t="inlineStr">
        <is>
          <t>Mũi khoan ĐN lục giác 2 cạnh KBH2F-08*95</t>
        </is>
      </c>
      <c r="I634" s="3" t="inlineStr">
        <is>
          <t>Cái</t>
        </is>
      </c>
      <c r="J634" s="5" t="n">
        <v>33000</v>
      </c>
      <c r="K634" s="5" t="n">
        <v>41000</v>
      </c>
      <c r="L634" s="6" t="n">
        <v>53000</v>
      </c>
      <c r="M634" s="5" t="n"/>
      <c r="N634" s="5">
        <f>IF(AND(ISNUMBER(M634),ISNUMBER(L634)),M634-L634,"")</f>
        <v/>
      </c>
      <c r="O634" s="7">
        <f>IF(AND(ISNUMBER(M634),ISNUMBER(L634),L634&gt;0),(M634-L634)/L634,"")</f>
        <v/>
      </c>
      <c r="P634" s="3">
        <f>IF(O634="","",IF(O634&lt;-0.02,"🔴 Bán phá giá sàn",IF(O634&gt;0.05,"🔵 Bán cao hơn","🟢 Đúng giá sàn TMĐT")))</f>
        <v/>
      </c>
      <c r="Q634" s="3" t="n"/>
      <c r="R634" s="4" t="n"/>
      <c r="S634" s="4" t="n"/>
    </row>
    <row r="635">
      <c r="A635" s="3" t="n">
        <v>634</v>
      </c>
      <c r="B635" s="3" t="inlineStr">
        <is>
          <t>KH003</t>
        </is>
      </c>
      <c r="C635" s="4" t="inlineStr">
        <is>
          <t>CÔNG TY TNHH ĐỒ NGHỀ CẦM TAY PHƯƠNG MY</t>
        </is>
      </c>
      <c r="D635" s="3" t="inlineStr">
        <is>
          <t>HCM</t>
        </is>
      </c>
      <c r="E635" s="3" t="inlineStr">
        <is>
          <t>BẢO TRÂM</t>
        </is>
      </c>
      <c r="F635" s="3" t="inlineStr">
        <is>
          <t>Shopee</t>
        </is>
      </c>
      <c r="G635" s="3" t="inlineStr">
        <is>
          <t>KBH2F-10*95</t>
        </is>
      </c>
      <c r="H635" s="4" t="inlineStr">
        <is>
          <t>Mũi khoan ĐN lục giác 2 cạnh KBH2F-10*95</t>
        </is>
      </c>
      <c r="I635" s="3" t="inlineStr">
        <is>
          <t>Cái</t>
        </is>
      </c>
      <c r="J635" s="5" t="n">
        <v>42000</v>
      </c>
      <c r="K635" s="5" t="n">
        <v>52000</v>
      </c>
      <c r="L635" s="6" t="n">
        <v>67000</v>
      </c>
      <c r="M635" s="5" t="n"/>
      <c r="N635" s="5">
        <f>IF(AND(ISNUMBER(M635),ISNUMBER(L635)),M635-L635,"")</f>
        <v/>
      </c>
      <c r="O635" s="7">
        <f>IF(AND(ISNUMBER(M635),ISNUMBER(L635),L635&gt;0),(M635-L635)/L635,"")</f>
        <v/>
      </c>
      <c r="P635" s="3">
        <f>IF(O635="","",IF(O635&lt;-0.02,"🔴 Bán phá giá sàn",IF(O635&gt;0.05,"🔵 Bán cao hơn","🟢 Đúng giá sàn TMĐT")))</f>
        <v/>
      </c>
      <c r="Q635" s="3" t="n"/>
      <c r="R635" s="4" t="n"/>
      <c r="S635" s="4" t="n"/>
    </row>
    <row r="636">
      <c r="A636" s="3" t="n">
        <v>635</v>
      </c>
      <c r="B636" s="3" t="inlineStr">
        <is>
          <t>KH003</t>
        </is>
      </c>
      <c r="C636" s="4" t="inlineStr">
        <is>
          <t>CÔNG TY TNHH ĐỒ NGHỀ CẦM TAY PHƯƠNG MY</t>
        </is>
      </c>
      <c r="D636" s="3" t="inlineStr">
        <is>
          <t>HCM</t>
        </is>
      </c>
      <c r="E636" s="3" t="inlineStr">
        <is>
          <t>BẢO TRÂM</t>
        </is>
      </c>
      <c r="F636" s="3" t="inlineStr">
        <is>
          <t>Shopee</t>
        </is>
      </c>
      <c r="G636" s="3" t="inlineStr">
        <is>
          <t>KBH4S-06*100</t>
        </is>
      </c>
      <c r="H636" s="4" t="inlineStr">
        <is>
          <t>Mũi khoan ĐN lục giác 4 cạnh KBH4S-06*100</t>
        </is>
      </c>
      <c r="I636" s="3" t="inlineStr">
        <is>
          <t>Cái</t>
        </is>
      </c>
      <c r="J636" s="5" t="n">
        <v>41000</v>
      </c>
      <c r="K636" s="5" t="n">
        <v>51000</v>
      </c>
      <c r="L636" s="6" t="n">
        <v>65000</v>
      </c>
      <c r="M636" s="5" t="n"/>
      <c r="N636" s="5">
        <f>IF(AND(ISNUMBER(M636),ISNUMBER(L636)),M636-L636,"")</f>
        <v/>
      </c>
      <c r="O636" s="7">
        <f>IF(AND(ISNUMBER(M636),ISNUMBER(L636),L636&gt;0),(M636-L636)/L636,"")</f>
        <v/>
      </c>
      <c r="P636" s="3">
        <f>IF(O636="","",IF(O636&lt;-0.02,"🔴 Bán phá giá sàn",IF(O636&gt;0.05,"🔵 Bán cao hơn","🟢 Đúng giá sàn TMĐT")))</f>
        <v/>
      </c>
      <c r="Q636" s="3" t="n"/>
      <c r="R636" s="4" t="n"/>
      <c r="S636" s="4" t="n"/>
    </row>
    <row r="637">
      <c r="A637" s="3" t="n">
        <v>636</v>
      </c>
      <c r="B637" s="3" t="inlineStr">
        <is>
          <t>KH003</t>
        </is>
      </c>
      <c r="C637" s="4" t="inlineStr">
        <is>
          <t>CÔNG TY TNHH ĐỒ NGHỀ CẦM TAY PHƯƠNG MY</t>
        </is>
      </c>
      <c r="D637" s="3" t="inlineStr">
        <is>
          <t>HCM</t>
        </is>
      </c>
      <c r="E637" s="3" t="inlineStr">
        <is>
          <t>BẢO TRÂM</t>
        </is>
      </c>
      <c r="F637" s="3" t="inlineStr">
        <is>
          <t>Shopee</t>
        </is>
      </c>
      <c r="G637" s="3" t="inlineStr">
        <is>
          <t>KBH4S-08*117</t>
        </is>
      </c>
      <c r="H637" s="4" t="inlineStr">
        <is>
          <t>Mũi khoan ĐN lục giác 4 cạnh KBH4S-08*117</t>
        </is>
      </c>
      <c r="I637" s="3" t="inlineStr">
        <is>
          <t>Cái</t>
        </is>
      </c>
      <c r="J637" s="5" t="n">
        <v>32000</v>
      </c>
      <c r="K637" s="5" t="n">
        <v>40000</v>
      </c>
      <c r="L637" s="6" t="n">
        <v>51000</v>
      </c>
      <c r="M637" s="5" t="n"/>
      <c r="N637" s="5">
        <f>IF(AND(ISNUMBER(M637),ISNUMBER(L637)),M637-L637,"")</f>
        <v/>
      </c>
      <c r="O637" s="7">
        <f>IF(AND(ISNUMBER(M637),ISNUMBER(L637),L637&gt;0),(M637-L637)/L637,"")</f>
        <v/>
      </c>
      <c r="P637" s="3">
        <f>IF(O637="","",IF(O637&lt;-0.02,"🔴 Bán phá giá sàn",IF(O637&gt;0.05,"🔵 Bán cao hơn","🟢 Đúng giá sàn TMĐT")))</f>
        <v/>
      </c>
      <c r="Q637" s="3" t="n"/>
      <c r="R637" s="4" t="n"/>
      <c r="S637" s="4" t="n"/>
    </row>
    <row r="638">
      <c r="A638" s="3" t="n">
        <v>637</v>
      </c>
      <c r="B638" s="3" t="inlineStr">
        <is>
          <t>KH003</t>
        </is>
      </c>
      <c r="C638" s="4" t="inlineStr">
        <is>
          <t>CÔNG TY TNHH ĐỒ NGHỀ CẦM TAY PHƯƠNG MY</t>
        </is>
      </c>
      <c r="D638" s="3" t="inlineStr">
        <is>
          <t>HCM</t>
        </is>
      </c>
      <c r="E638" s="3" t="inlineStr">
        <is>
          <t>BẢO TRÂM</t>
        </is>
      </c>
      <c r="F638" s="3" t="inlineStr">
        <is>
          <t>Shopee</t>
        </is>
      </c>
      <c r="G638" s="3" t="inlineStr"/>
      <c r="H638" s="4" t="inlineStr">
        <is>
          <t>Mũi khoan tường không tắc kê KBLJ - 03.2*100</t>
        </is>
      </c>
      <c r="I638" s="3" t="inlineStr">
        <is>
          <t>Cái</t>
        </is>
      </c>
      <c r="J638" s="5" t="n">
        <v>269000</v>
      </c>
      <c r="K638" s="5" t="n">
        <v>317000</v>
      </c>
      <c r="L638" s="6" t="n">
        <v>390000</v>
      </c>
      <c r="M638" s="5" t="n"/>
      <c r="N638" s="5">
        <f>IF(AND(ISNUMBER(M638),ISNUMBER(L638)),M638-L638,"")</f>
        <v/>
      </c>
      <c r="O638" s="7">
        <f>IF(AND(ISNUMBER(M638),ISNUMBER(L638),L638&gt;0),(M638-L638)/L638,"")</f>
        <v/>
      </c>
      <c r="P638" s="3">
        <f>IF(O638="","",IF(O638&lt;-0.02,"🔴 Bán phá giá sàn",IF(O638&gt;0.05,"🔵 Bán cao hơn","🟢 Đúng giá sàn TMĐT")))</f>
        <v/>
      </c>
      <c r="Q638" s="3" t="n"/>
      <c r="R638" s="4" t="n"/>
      <c r="S638" s="4" t="n"/>
    </row>
    <row r="639">
      <c r="A639" s="3" t="n">
        <v>638</v>
      </c>
      <c r="B639" s="3" t="inlineStr">
        <is>
          <t>KH003</t>
        </is>
      </c>
      <c r="C639" s="4" t="inlineStr">
        <is>
          <t>CÔNG TY TNHH ĐỒ NGHỀ CẦM TAY PHƯƠNG MY</t>
        </is>
      </c>
      <c r="D639" s="3" t="inlineStr">
        <is>
          <t>HCM</t>
        </is>
      </c>
      <c r="E639" s="3" t="inlineStr">
        <is>
          <t>BẢO TRÂM</t>
        </is>
      </c>
      <c r="F639" s="3" t="inlineStr">
        <is>
          <t>Shopee</t>
        </is>
      </c>
      <c r="G639" s="3" t="inlineStr"/>
      <c r="H639" s="4" t="inlineStr">
        <is>
          <t>Mũi khoan tường không tắc kê KBLJ - 03.5*100</t>
        </is>
      </c>
      <c r="I639" s="3" t="inlineStr">
        <is>
          <t>Cái</t>
        </is>
      </c>
      <c r="J639" s="5" t="n">
        <v>269000</v>
      </c>
      <c r="K639" s="5" t="n">
        <v>317000</v>
      </c>
      <c r="L639" s="6" t="n">
        <v>390000</v>
      </c>
      <c r="M639" s="5" t="n"/>
      <c r="N639" s="5">
        <f>IF(AND(ISNUMBER(M639),ISNUMBER(L639)),M639-L639,"")</f>
        <v/>
      </c>
      <c r="O639" s="7">
        <f>IF(AND(ISNUMBER(M639),ISNUMBER(L639),L639&gt;0),(M639-L639)/L639,"")</f>
        <v/>
      </c>
      <c r="P639" s="3">
        <f>IF(O639="","",IF(O639&lt;-0.02,"🔴 Bán phá giá sàn",IF(O639&gt;0.05,"🔵 Bán cao hơn","🟢 Đúng giá sàn TMĐT")))</f>
        <v/>
      </c>
      <c r="Q639" s="3" t="n"/>
      <c r="R639" s="4" t="n"/>
      <c r="S639" s="4" t="n"/>
    </row>
    <row r="640">
      <c r="A640" s="3" t="n">
        <v>639</v>
      </c>
      <c r="B640" s="3" t="inlineStr">
        <is>
          <t>KH003</t>
        </is>
      </c>
      <c r="C640" s="4" t="inlineStr">
        <is>
          <t>CÔNG TY TNHH ĐỒ NGHỀ CẦM TAY PHƯƠNG MY</t>
        </is>
      </c>
      <c r="D640" s="3" t="inlineStr">
        <is>
          <t>HCM</t>
        </is>
      </c>
      <c r="E640" s="3" t="inlineStr">
        <is>
          <t>BẢO TRÂM</t>
        </is>
      </c>
      <c r="F640" s="3" t="inlineStr">
        <is>
          <t>Shopee</t>
        </is>
      </c>
      <c r="G640" s="3" t="inlineStr"/>
      <c r="H640" s="4" t="inlineStr">
        <is>
          <t>Mũi khoan tường không tắc kê KBLJ - 04*100</t>
        </is>
      </c>
      <c r="I640" s="3" t="inlineStr">
        <is>
          <t>Cái</t>
        </is>
      </c>
      <c r="J640" s="5" t="n">
        <v>269000</v>
      </c>
      <c r="K640" s="5" t="n">
        <v>317000</v>
      </c>
      <c r="L640" s="6" t="n">
        <v>390000</v>
      </c>
      <c r="M640" s="5" t="n"/>
      <c r="N640" s="5">
        <f>IF(AND(ISNUMBER(M640),ISNUMBER(L640)),M640-L640,"")</f>
        <v/>
      </c>
      <c r="O640" s="7">
        <f>IF(AND(ISNUMBER(M640),ISNUMBER(L640),L640&gt;0),(M640-L640)/L640,"")</f>
        <v/>
      </c>
      <c r="P640" s="3">
        <f>IF(O640="","",IF(O640&lt;-0.02,"🔴 Bán phá giá sàn",IF(O640&gt;0.05,"🔵 Bán cao hơn","🟢 Đúng giá sàn TMĐT")))</f>
        <v/>
      </c>
      <c r="Q640" s="3" t="n"/>
      <c r="R640" s="4" t="n"/>
      <c r="S640" s="4" t="n"/>
    </row>
    <row r="641">
      <c r="A641" s="3" t="n">
        <v>640</v>
      </c>
      <c r="B641" s="3" t="inlineStr">
        <is>
          <t>KH003</t>
        </is>
      </c>
      <c r="C641" s="4" t="inlineStr">
        <is>
          <t>CÔNG TY TNHH ĐỒ NGHỀ CẦM TAY PHƯƠNG MY</t>
        </is>
      </c>
      <c r="D641" s="3" t="inlineStr">
        <is>
          <t>HCM</t>
        </is>
      </c>
      <c r="E641" s="3" t="inlineStr">
        <is>
          <t>BẢO TRÂM</t>
        </is>
      </c>
      <c r="F641" s="3" t="inlineStr">
        <is>
          <t>Shopee</t>
        </is>
      </c>
      <c r="G641" s="3" t="inlineStr"/>
      <c r="H641" s="4" t="inlineStr">
        <is>
          <t>Mũi khoan tường không tắc kê KBLJ - 04.2*100</t>
        </is>
      </c>
      <c r="I641" s="3" t="inlineStr">
        <is>
          <t>Cái</t>
        </is>
      </c>
      <c r="J641" s="5" t="n">
        <v>269000</v>
      </c>
      <c r="K641" s="5" t="n">
        <v>317000</v>
      </c>
      <c r="L641" s="6" t="n">
        <v>390000</v>
      </c>
      <c r="M641" s="5" t="n"/>
      <c r="N641" s="5">
        <f>IF(AND(ISNUMBER(M641),ISNUMBER(L641)),M641-L641,"")</f>
        <v/>
      </c>
      <c r="O641" s="7">
        <f>IF(AND(ISNUMBER(M641),ISNUMBER(L641),L641&gt;0),(M641-L641)/L641,"")</f>
        <v/>
      </c>
      <c r="P641" s="3">
        <f>IF(O641="","",IF(O641&lt;-0.02,"🔴 Bán phá giá sàn",IF(O641&gt;0.05,"🔵 Bán cao hơn","🟢 Đúng giá sàn TMĐT")))</f>
        <v/>
      </c>
      <c r="Q641" s="3" t="n"/>
      <c r="R641" s="4" t="n"/>
      <c r="S641" s="4" t="n"/>
    </row>
    <row r="642">
      <c r="A642" s="3" t="n">
        <v>641</v>
      </c>
      <c r="B642" s="3" t="inlineStr">
        <is>
          <t>KH003</t>
        </is>
      </c>
      <c r="C642" s="4" t="inlineStr">
        <is>
          <t>CÔNG TY TNHH ĐỒ NGHỀ CẦM TAY PHƯƠNG MY</t>
        </is>
      </c>
      <c r="D642" s="3" t="inlineStr">
        <is>
          <t>HCM</t>
        </is>
      </c>
      <c r="E642" s="3" t="inlineStr">
        <is>
          <t>BẢO TRÂM</t>
        </is>
      </c>
      <c r="F642" s="3" t="inlineStr">
        <is>
          <t>Shopee</t>
        </is>
      </c>
      <c r="G642" s="3" t="inlineStr"/>
      <c r="H642" s="4" t="inlineStr">
        <is>
          <t>Mũi khoan tường không tắc kê KBLJ - 04.5*100</t>
        </is>
      </c>
      <c r="I642" s="3" t="inlineStr">
        <is>
          <t>Cái</t>
        </is>
      </c>
      <c r="J642" s="5" t="n">
        <v>269000</v>
      </c>
      <c r="K642" s="5" t="n">
        <v>317000</v>
      </c>
      <c r="L642" s="6" t="n">
        <v>390000</v>
      </c>
      <c r="M642" s="5" t="n"/>
      <c r="N642" s="5">
        <f>IF(AND(ISNUMBER(M642),ISNUMBER(L642)),M642-L642,"")</f>
        <v/>
      </c>
      <c r="O642" s="7">
        <f>IF(AND(ISNUMBER(M642),ISNUMBER(L642),L642&gt;0),(M642-L642)/L642,"")</f>
        <v/>
      </c>
      <c r="P642" s="3">
        <f>IF(O642="","",IF(O642&lt;-0.02,"🔴 Bán phá giá sàn",IF(O642&gt;0.05,"🔵 Bán cao hơn","🟢 Đúng giá sàn TMĐT")))</f>
        <v/>
      </c>
      <c r="Q642" s="3" t="n"/>
      <c r="R642" s="4" t="n"/>
      <c r="S642" s="4" t="n"/>
    </row>
    <row r="643">
      <c r="A643" s="3" t="n">
        <v>642</v>
      </c>
      <c r="B643" s="3" t="inlineStr">
        <is>
          <t>KH003</t>
        </is>
      </c>
      <c r="C643" s="4" t="inlineStr">
        <is>
          <t>CÔNG TY TNHH ĐỒ NGHỀ CẦM TAY PHƯƠNG MY</t>
        </is>
      </c>
      <c r="D643" s="3" t="inlineStr">
        <is>
          <t>HCM</t>
        </is>
      </c>
      <c r="E643" s="3" t="inlineStr">
        <is>
          <t>BẢO TRÂM</t>
        </is>
      </c>
      <c r="F643" s="3" t="inlineStr">
        <is>
          <t>Shopee</t>
        </is>
      </c>
      <c r="G643" s="3" t="inlineStr"/>
      <c r="H643" s="4" t="inlineStr">
        <is>
          <t>Mũi khoan tường không tắc kê KBLJ - 05*100</t>
        </is>
      </c>
      <c r="I643" s="3" t="inlineStr">
        <is>
          <t>Cái</t>
        </is>
      </c>
      <c r="J643" s="5" t="n">
        <v>269000</v>
      </c>
      <c r="K643" s="5" t="n">
        <v>317000</v>
      </c>
      <c r="L643" s="6" t="n">
        <v>390000</v>
      </c>
      <c r="M643" s="5" t="n"/>
      <c r="N643" s="5">
        <f>IF(AND(ISNUMBER(M643),ISNUMBER(L643)),M643-L643,"")</f>
        <v/>
      </c>
      <c r="O643" s="7">
        <f>IF(AND(ISNUMBER(M643),ISNUMBER(L643),L643&gt;0),(M643-L643)/L643,"")</f>
        <v/>
      </c>
      <c r="P643" s="3">
        <f>IF(O643="","",IF(O643&lt;-0.02,"🔴 Bán phá giá sàn",IF(O643&gt;0.05,"🔵 Bán cao hơn","🟢 Đúng giá sàn TMĐT")))</f>
        <v/>
      </c>
      <c r="Q643" s="3" t="n"/>
      <c r="R643" s="4" t="n"/>
      <c r="S643" s="4" t="n"/>
    </row>
    <row r="644">
      <c r="A644" s="3" t="n">
        <v>643</v>
      </c>
      <c r="B644" s="3" t="inlineStr">
        <is>
          <t>KH003</t>
        </is>
      </c>
      <c r="C644" s="4" t="inlineStr">
        <is>
          <t>CÔNG TY TNHH ĐỒ NGHỀ CẦM TAY PHƯƠNG MY</t>
        </is>
      </c>
      <c r="D644" s="3" t="inlineStr">
        <is>
          <t>HCM</t>
        </is>
      </c>
      <c r="E644" s="3" t="inlineStr">
        <is>
          <t>BẢO TRÂM</t>
        </is>
      </c>
      <c r="F644" s="3" t="inlineStr">
        <is>
          <t>Shopee</t>
        </is>
      </c>
      <c r="G644" s="3" t="inlineStr"/>
      <c r="H644" s="4" t="inlineStr">
        <is>
          <t>Mũi khoan tường không tắc kê KBLJ - 06*125</t>
        </is>
      </c>
      <c r="I644" s="3" t="inlineStr">
        <is>
          <t>Cái</t>
        </is>
      </c>
      <c r="J644" s="5" t="n">
        <v>269000</v>
      </c>
      <c r="K644" s="5" t="n">
        <v>317000</v>
      </c>
      <c r="L644" s="6" t="n">
        <v>390000</v>
      </c>
      <c r="M644" s="5" t="n"/>
      <c r="N644" s="5">
        <f>IF(AND(ISNUMBER(M644),ISNUMBER(L644)),M644-L644,"")</f>
        <v/>
      </c>
      <c r="O644" s="7">
        <f>IF(AND(ISNUMBER(M644),ISNUMBER(L644),L644&gt;0),(M644-L644)/L644,"")</f>
        <v/>
      </c>
      <c r="P644" s="3">
        <f>IF(O644="","",IF(O644&lt;-0.02,"🔴 Bán phá giá sàn",IF(O644&gt;0.05,"🔵 Bán cao hơn","🟢 Đúng giá sàn TMĐT")))</f>
        <v/>
      </c>
      <c r="Q644" s="3" t="n"/>
      <c r="R644" s="4" t="n"/>
      <c r="S644" s="4" t="n"/>
    </row>
    <row r="645">
      <c r="A645" s="3" t="n">
        <v>644</v>
      </c>
      <c r="B645" s="3" t="inlineStr">
        <is>
          <t>KH003</t>
        </is>
      </c>
      <c r="C645" s="4" t="inlineStr">
        <is>
          <t>CÔNG TY TNHH ĐỒ NGHỀ CẦM TAY PHƯƠNG MY</t>
        </is>
      </c>
      <c r="D645" s="3" t="inlineStr">
        <is>
          <t>HCM</t>
        </is>
      </c>
      <c r="E645" s="3" t="inlineStr">
        <is>
          <t>BẢO TRÂM</t>
        </is>
      </c>
      <c r="F645" s="3" t="inlineStr">
        <is>
          <t>Shopee</t>
        </is>
      </c>
      <c r="G645" s="3" t="inlineStr"/>
      <c r="H645" s="4" t="inlineStr">
        <is>
          <t>Mũi khoan tường không tắc kê KBLJ - 08*125</t>
        </is>
      </c>
      <c r="I645" s="3" t="inlineStr">
        <is>
          <t>Cái</t>
        </is>
      </c>
      <c r="J645" s="5" t="n">
        <v>269000</v>
      </c>
      <c r="K645" s="5" t="n">
        <v>317000</v>
      </c>
      <c r="L645" s="6" t="n">
        <v>390000</v>
      </c>
      <c r="M645" s="5" t="n"/>
      <c r="N645" s="5">
        <f>IF(AND(ISNUMBER(M645),ISNUMBER(L645)),M645-L645,"")</f>
        <v/>
      </c>
      <c r="O645" s="7">
        <f>IF(AND(ISNUMBER(M645),ISNUMBER(L645),L645&gt;0),(M645-L645)/L645,"")</f>
        <v/>
      </c>
      <c r="P645" s="3">
        <f>IF(O645="","",IF(O645&lt;-0.02,"🔴 Bán phá giá sàn",IF(O645&gt;0.05,"🔵 Bán cao hơn","🟢 Đúng giá sàn TMĐT")))</f>
        <v/>
      </c>
      <c r="Q645" s="3" t="n"/>
      <c r="R645" s="4" t="n"/>
      <c r="S645" s="4" t="n"/>
    </row>
    <row r="646">
      <c r="A646" s="3" t="n">
        <v>645</v>
      </c>
      <c r="B646" s="3" t="inlineStr">
        <is>
          <t>KH003</t>
        </is>
      </c>
      <c r="C646" s="4" t="inlineStr">
        <is>
          <t>CÔNG TY TNHH ĐỒ NGHỀ CẦM TAY PHƯƠNG MY</t>
        </is>
      </c>
      <c r="D646" s="3" t="inlineStr">
        <is>
          <t>HCM</t>
        </is>
      </c>
      <c r="E646" s="3" t="inlineStr">
        <is>
          <t>BẢO TRÂM</t>
        </is>
      </c>
      <c r="F646" s="3" t="inlineStr">
        <is>
          <t>Shopee</t>
        </is>
      </c>
      <c r="G646" s="3" t="inlineStr"/>
      <c r="H646" s="4" t="inlineStr">
        <is>
          <t>Mũi khoan tường không tắc kê KBLJ - 10*148</t>
        </is>
      </c>
      <c r="I646" s="3" t="inlineStr">
        <is>
          <t>Cái</t>
        </is>
      </c>
      <c r="J646" s="5" t="n">
        <v>269000</v>
      </c>
      <c r="K646" s="5" t="n">
        <v>317000</v>
      </c>
      <c r="L646" s="6" t="n">
        <v>390000</v>
      </c>
      <c r="M646" s="5" t="n"/>
      <c r="N646" s="5">
        <f>IF(AND(ISNUMBER(M646),ISNUMBER(L646)),M646-L646,"")</f>
        <v/>
      </c>
      <c r="O646" s="7">
        <f>IF(AND(ISNUMBER(M646),ISNUMBER(L646),L646&gt;0),(M646-L646)/L646,"")</f>
        <v/>
      </c>
      <c r="P646" s="3">
        <f>IF(O646="","",IF(O646&lt;-0.02,"🔴 Bán phá giá sàn",IF(O646&gt;0.05,"🔵 Bán cao hơn","🟢 Đúng giá sàn TMĐT")))</f>
        <v/>
      </c>
      <c r="Q646" s="3" t="n"/>
      <c r="R646" s="4" t="n"/>
      <c r="S646" s="4" t="n"/>
    </row>
    <row r="647">
      <c r="A647" s="3" t="n">
        <v>646</v>
      </c>
      <c r="B647" s="3" t="inlineStr">
        <is>
          <t>KH003</t>
        </is>
      </c>
      <c r="C647" s="4" t="inlineStr">
        <is>
          <t>CÔNG TY TNHH ĐỒ NGHỀ CẦM TAY PHƯƠNG MY</t>
        </is>
      </c>
      <c r="D647" s="3" t="inlineStr">
        <is>
          <t>HCM</t>
        </is>
      </c>
      <c r="E647" s="3" t="inlineStr">
        <is>
          <t>BẢO TRÂM</t>
        </is>
      </c>
      <c r="F647" s="3" t="inlineStr">
        <is>
          <t>Shopee</t>
        </is>
      </c>
      <c r="G647" s="3" t="inlineStr">
        <is>
          <t>KBL4-10*350</t>
        </is>
      </c>
      <c r="H647" s="4" t="inlineStr">
        <is>
          <t>Mũi khoan xuyên tường 4 cạnh KBL4-10*350</t>
        </is>
      </c>
      <c r="I647" s="3" t="inlineStr">
        <is>
          <t>Cái</t>
        </is>
      </c>
      <c r="J647" s="5" t="n">
        <v>81000</v>
      </c>
      <c r="K647" s="5" t="n">
        <v>99000</v>
      </c>
      <c r="L647" s="6" t="n">
        <v>126000</v>
      </c>
      <c r="M647" s="5" t="n"/>
      <c r="N647" s="5">
        <f>IF(AND(ISNUMBER(M647),ISNUMBER(L647)),M647-L647,"")</f>
        <v/>
      </c>
      <c r="O647" s="7">
        <f>IF(AND(ISNUMBER(M647),ISNUMBER(L647),L647&gt;0),(M647-L647)/L647,"")</f>
        <v/>
      </c>
      <c r="P647" s="3">
        <f>IF(O647="","",IF(O647&lt;-0.02,"🔴 Bán phá giá sàn",IF(O647&gt;0.05,"🔵 Bán cao hơn","🟢 Đúng giá sàn TMĐT")))</f>
        <v/>
      </c>
      <c r="Q647" s="3" t="n"/>
      <c r="R647" s="4" t="n"/>
      <c r="S647" s="4" t="n"/>
    </row>
    <row r="648">
      <c r="A648" s="3" t="n">
        <v>647</v>
      </c>
      <c r="B648" s="3" t="inlineStr">
        <is>
          <t>KH003</t>
        </is>
      </c>
      <c r="C648" s="4" t="inlineStr">
        <is>
          <t>CÔNG TY TNHH ĐỒ NGHỀ CẦM TAY PHƯƠNG MY</t>
        </is>
      </c>
      <c r="D648" s="3" t="inlineStr">
        <is>
          <t>HCM</t>
        </is>
      </c>
      <c r="E648" s="3" t="inlineStr">
        <is>
          <t>BẢO TRÂM</t>
        </is>
      </c>
      <c r="F648" s="3" t="inlineStr">
        <is>
          <t>Shopee</t>
        </is>
      </c>
      <c r="G648" s="3" t="inlineStr">
        <is>
          <t>KBX2-15</t>
        </is>
      </c>
      <c r="H648" s="4" t="inlineStr">
        <is>
          <t>Mũi khoét gỗ KBX2-15</t>
        </is>
      </c>
      <c r="I648" s="3" t="inlineStr">
        <is>
          <t>Cái</t>
        </is>
      </c>
      <c r="J648" s="5" t="n">
        <v>59000</v>
      </c>
      <c r="K648" s="5" t="n">
        <v>70000</v>
      </c>
      <c r="L648" s="6" t="n">
        <v>86000</v>
      </c>
      <c r="M648" s="5" t="n"/>
      <c r="N648" s="5">
        <f>IF(AND(ISNUMBER(M648),ISNUMBER(L648)),M648-L648,"")</f>
        <v/>
      </c>
      <c r="O648" s="7">
        <f>IF(AND(ISNUMBER(M648),ISNUMBER(L648),L648&gt;0),(M648-L648)/L648,"")</f>
        <v/>
      </c>
      <c r="P648" s="3">
        <f>IF(O648="","",IF(O648&lt;-0.02,"🔴 Bán phá giá sàn",IF(O648&gt;0.05,"🔵 Bán cao hơn","🟢 Đúng giá sàn TMĐT")))</f>
        <v/>
      </c>
      <c r="Q648" s="3" t="n"/>
      <c r="R648" s="4" t="n"/>
      <c r="S648" s="4" t="n"/>
    </row>
    <row r="649">
      <c r="A649" s="3" t="n">
        <v>648</v>
      </c>
      <c r="B649" s="3" t="inlineStr">
        <is>
          <t>KH003</t>
        </is>
      </c>
      <c r="C649" s="4" t="inlineStr">
        <is>
          <t>CÔNG TY TNHH ĐỒ NGHỀ CẦM TAY PHƯƠNG MY</t>
        </is>
      </c>
      <c r="D649" s="3" t="inlineStr">
        <is>
          <t>HCM</t>
        </is>
      </c>
      <c r="E649" s="3" t="inlineStr">
        <is>
          <t>BẢO TRÂM</t>
        </is>
      </c>
      <c r="F649" s="3" t="inlineStr">
        <is>
          <t>Shopee</t>
        </is>
      </c>
      <c r="G649" s="3" t="inlineStr">
        <is>
          <t>KBX2-16</t>
        </is>
      </c>
      <c r="H649" s="4" t="inlineStr">
        <is>
          <t>Mũi khoét gỗ KBX2-16</t>
        </is>
      </c>
      <c r="I649" s="3" t="inlineStr">
        <is>
          <t>Cái</t>
        </is>
      </c>
      <c r="J649" s="5" t="n">
        <v>59000</v>
      </c>
      <c r="K649" s="5" t="n">
        <v>70000</v>
      </c>
      <c r="L649" s="6" t="n">
        <v>86000</v>
      </c>
      <c r="M649" s="5" t="n"/>
      <c r="N649" s="5">
        <f>IF(AND(ISNUMBER(M649),ISNUMBER(L649)),M649-L649,"")</f>
        <v/>
      </c>
      <c r="O649" s="7">
        <f>IF(AND(ISNUMBER(M649),ISNUMBER(L649),L649&gt;0),(M649-L649)/L649,"")</f>
        <v/>
      </c>
      <c r="P649" s="3">
        <f>IF(O649="","",IF(O649&lt;-0.02,"🔴 Bán phá giá sàn",IF(O649&gt;0.05,"🔵 Bán cao hơn","🟢 Đúng giá sàn TMĐT")))</f>
        <v/>
      </c>
      <c r="Q649" s="3" t="n"/>
      <c r="R649" s="4" t="n"/>
      <c r="S649" s="4" t="n"/>
    </row>
    <row r="650">
      <c r="A650" s="3" t="n">
        <v>649</v>
      </c>
      <c r="B650" s="3" t="inlineStr">
        <is>
          <t>KH003</t>
        </is>
      </c>
      <c r="C650" s="4" t="inlineStr">
        <is>
          <t>CÔNG TY TNHH ĐỒ NGHỀ CẦM TAY PHƯƠNG MY</t>
        </is>
      </c>
      <c r="D650" s="3" t="inlineStr">
        <is>
          <t>HCM</t>
        </is>
      </c>
      <c r="E650" s="3" t="inlineStr">
        <is>
          <t>BẢO TRÂM</t>
        </is>
      </c>
      <c r="F650" s="3" t="inlineStr">
        <is>
          <t>Shopee</t>
        </is>
      </c>
      <c r="G650" s="3" t="inlineStr">
        <is>
          <t>KBX2-20</t>
        </is>
      </c>
      <c r="H650" s="4" t="inlineStr">
        <is>
          <t>Mũi khoét gỗ KBX2-20</t>
        </is>
      </c>
      <c r="I650" s="3" t="inlineStr">
        <is>
          <t>Cái</t>
        </is>
      </c>
      <c r="J650" s="5" t="n">
        <v>67000</v>
      </c>
      <c r="K650" s="5" t="n">
        <v>79000</v>
      </c>
      <c r="L650" s="6" t="n">
        <v>97000</v>
      </c>
      <c r="M650" s="5" t="n"/>
      <c r="N650" s="5">
        <f>IF(AND(ISNUMBER(M650),ISNUMBER(L650)),M650-L650,"")</f>
        <v/>
      </c>
      <c r="O650" s="7">
        <f>IF(AND(ISNUMBER(M650),ISNUMBER(L650),L650&gt;0),(M650-L650)/L650,"")</f>
        <v/>
      </c>
      <c r="P650" s="3">
        <f>IF(O650="","",IF(O650&lt;-0.02,"🔴 Bán phá giá sàn",IF(O650&gt;0.05,"🔵 Bán cao hơn","🟢 Đúng giá sàn TMĐT")))</f>
        <v/>
      </c>
      <c r="Q650" s="3" t="n"/>
      <c r="R650" s="4" t="n"/>
      <c r="S650" s="4" t="n"/>
    </row>
    <row r="651">
      <c r="A651" s="3" t="n">
        <v>650</v>
      </c>
      <c r="B651" s="3" t="inlineStr">
        <is>
          <t>KH003</t>
        </is>
      </c>
      <c r="C651" s="4" t="inlineStr">
        <is>
          <t>CÔNG TY TNHH ĐỒ NGHỀ CẦM TAY PHƯƠNG MY</t>
        </is>
      </c>
      <c r="D651" s="3" t="inlineStr">
        <is>
          <t>HCM</t>
        </is>
      </c>
      <c r="E651" s="3" t="inlineStr">
        <is>
          <t>BẢO TRÂM</t>
        </is>
      </c>
      <c r="F651" s="3" t="inlineStr">
        <is>
          <t>Shopee</t>
        </is>
      </c>
      <c r="G651" s="3" t="inlineStr">
        <is>
          <t>KBX2-24</t>
        </is>
      </c>
      <c r="H651" s="4" t="inlineStr">
        <is>
          <t>Mũi khoét gỗ KBX2-24</t>
        </is>
      </c>
      <c r="I651" s="3" t="inlineStr">
        <is>
          <t>Cái</t>
        </is>
      </c>
      <c r="J651" s="5" t="n">
        <v>81000</v>
      </c>
      <c r="K651" s="5" t="n">
        <v>96000</v>
      </c>
      <c r="L651" s="6" t="n">
        <v>118000</v>
      </c>
      <c r="M651" s="5" t="n"/>
      <c r="N651" s="5">
        <f>IF(AND(ISNUMBER(M651),ISNUMBER(L651)),M651-L651,"")</f>
        <v/>
      </c>
      <c r="O651" s="7">
        <f>IF(AND(ISNUMBER(M651),ISNUMBER(L651),L651&gt;0),(M651-L651)/L651,"")</f>
        <v/>
      </c>
      <c r="P651" s="3">
        <f>IF(O651="","",IF(O651&lt;-0.02,"🔴 Bán phá giá sàn",IF(O651&gt;0.05,"🔵 Bán cao hơn","🟢 Đúng giá sàn TMĐT")))</f>
        <v/>
      </c>
      <c r="Q651" s="3" t="n"/>
      <c r="R651" s="4" t="n"/>
      <c r="S651" s="4" t="n"/>
    </row>
    <row r="652">
      <c r="A652" s="3" t="n">
        <v>651</v>
      </c>
      <c r="B652" s="3" t="inlineStr">
        <is>
          <t>KH003</t>
        </is>
      </c>
      <c r="C652" s="4" t="inlineStr">
        <is>
          <t>CÔNG TY TNHH ĐỒ NGHỀ CẦM TAY PHƯƠNG MY</t>
        </is>
      </c>
      <c r="D652" s="3" t="inlineStr">
        <is>
          <t>HCM</t>
        </is>
      </c>
      <c r="E652" s="3" t="inlineStr">
        <is>
          <t>BẢO TRÂM</t>
        </is>
      </c>
      <c r="F652" s="3" t="inlineStr">
        <is>
          <t>Shopee</t>
        </is>
      </c>
      <c r="G652" s="3" t="inlineStr">
        <is>
          <t>KBX2-27</t>
        </is>
      </c>
      <c r="H652" s="4" t="inlineStr">
        <is>
          <t>Mũi khoét gỗ KBX2-27</t>
        </is>
      </c>
      <c r="I652" s="3" t="inlineStr">
        <is>
          <t>Cái</t>
        </is>
      </c>
      <c r="J652" s="5" t="n">
        <v>92000</v>
      </c>
      <c r="K652" s="5" t="n">
        <v>108000</v>
      </c>
      <c r="L652" s="6" t="n">
        <v>133000</v>
      </c>
      <c r="M652" s="5" t="n"/>
      <c r="N652" s="5">
        <f>IF(AND(ISNUMBER(M652),ISNUMBER(L652)),M652-L652,"")</f>
        <v/>
      </c>
      <c r="O652" s="7">
        <f>IF(AND(ISNUMBER(M652),ISNUMBER(L652),L652&gt;0),(M652-L652)/L652,"")</f>
        <v/>
      </c>
      <c r="P652" s="3">
        <f>IF(O652="","",IF(O652&lt;-0.02,"🔴 Bán phá giá sàn",IF(O652&gt;0.05,"🔵 Bán cao hơn","🟢 Đúng giá sàn TMĐT")))</f>
        <v/>
      </c>
      <c r="Q652" s="3" t="n"/>
      <c r="R652" s="4" t="n"/>
      <c r="S652" s="4" t="n"/>
    </row>
    <row r="653">
      <c r="A653" s="3" t="n">
        <v>652</v>
      </c>
      <c r="B653" s="3" t="inlineStr">
        <is>
          <t>KH003</t>
        </is>
      </c>
      <c r="C653" s="4" t="inlineStr">
        <is>
          <t>CÔNG TY TNHH ĐỒ NGHỀ CẦM TAY PHƯƠNG MY</t>
        </is>
      </c>
      <c r="D653" s="3" t="inlineStr">
        <is>
          <t>HCM</t>
        </is>
      </c>
      <c r="E653" s="3" t="inlineStr">
        <is>
          <t>BẢO TRÂM</t>
        </is>
      </c>
      <c r="F653" s="3" t="inlineStr">
        <is>
          <t>Shopee</t>
        </is>
      </c>
      <c r="G653" s="3" t="inlineStr">
        <is>
          <t>KBX2-42</t>
        </is>
      </c>
      <c r="H653" s="4" t="inlineStr">
        <is>
          <t>Mũi khoét gỗ KBX2-42</t>
        </is>
      </c>
      <c r="I653" s="3" t="inlineStr">
        <is>
          <t>Cái</t>
        </is>
      </c>
      <c r="J653" s="5" t="n">
        <v>140000</v>
      </c>
      <c r="K653" s="5" t="n">
        <v>165000</v>
      </c>
      <c r="L653" s="6" t="n">
        <v>203000</v>
      </c>
      <c r="M653" s="5" t="n"/>
      <c r="N653" s="5">
        <f>IF(AND(ISNUMBER(M653),ISNUMBER(L653)),M653-L653,"")</f>
        <v/>
      </c>
      <c r="O653" s="7">
        <f>IF(AND(ISNUMBER(M653),ISNUMBER(L653),L653&gt;0),(M653-L653)/L653,"")</f>
        <v/>
      </c>
      <c r="P653" s="3">
        <f>IF(O653="","",IF(O653&lt;-0.02,"🔴 Bán phá giá sàn",IF(O653&gt;0.05,"🔵 Bán cao hơn","🟢 Đúng giá sàn TMĐT")))</f>
        <v/>
      </c>
      <c r="Q653" s="3" t="n"/>
      <c r="R653" s="4" t="n"/>
      <c r="S653" s="4" t="n"/>
    </row>
    <row r="654">
      <c r="A654" s="3" t="n">
        <v>653</v>
      </c>
      <c r="B654" s="3" t="inlineStr">
        <is>
          <t>KH003</t>
        </is>
      </c>
      <c r="C654" s="4" t="inlineStr">
        <is>
          <t>CÔNG TY TNHH ĐỒ NGHỀ CẦM TAY PHƯƠNG MY</t>
        </is>
      </c>
      <c r="D654" s="3" t="inlineStr">
        <is>
          <t>HCM</t>
        </is>
      </c>
      <c r="E654" s="3" t="inlineStr">
        <is>
          <t>BẢO TRÂM</t>
        </is>
      </c>
      <c r="F654" s="3" t="inlineStr">
        <is>
          <t>Shopee</t>
        </is>
      </c>
      <c r="G654" s="3" t="inlineStr">
        <is>
          <t>KYG80</t>
        </is>
      </c>
      <c r="H654" s="4" t="inlineStr">
        <is>
          <t>Ổ khóa KYG80</t>
        </is>
      </c>
      <c r="I654" s="3" t="inlineStr">
        <is>
          <t>Cái</t>
        </is>
      </c>
      <c r="J654" s="5" t="n">
        <v>218000</v>
      </c>
      <c r="K654" s="5" t="n">
        <v>253000</v>
      </c>
      <c r="L654" s="6" t="n">
        <v>305000</v>
      </c>
      <c r="M654" s="5" t="n"/>
      <c r="N654" s="5">
        <f>IF(AND(ISNUMBER(M654),ISNUMBER(L654)),M654-L654,"")</f>
        <v/>
      </c>
      <c r="O654" s="7">
        <f>IF(AND(ISNUMBER(M654),ISNUMBER(L654),L654&gt;0),(M654-L654)/L654,"")</f>
        <v/>
      </c>
      <c r="P654" s="3">
        <f>IF(O654="","",IF(O654&lt;-0.02,"🔴 Bán phá giá sàn",IF(O654&gt;0.05,"🔵 Bán cao hơn","🟢 Đúng giá sàn TMĐT")))</f>
        <v/>
      </c>
      <c r="Q654" s="3" t="n"/>
      <c r="R654" s="4" t="n"/>
      <c r="S654" s="4" t="n"/>
    </row>
    <row r="655">
      <c r="A655" s="3" t="n">
        <v>654</v>
      </c>
      <c r="B655" s="3" t="inlineStr">
        <is>
          <t>KH003</t>
        </is>
      </c>
      <c r="C655" s="4" t="inlineStr">
        <is>
          <t>CÔNG TY TNHH ĐỒ NGHỀ CẦM TAY PHƯƠNG MY</t>
        </is>
      </c>
      <c r="D655" s="3" t="inlineStr">
        <is>
          <t>HCM</t>
        </is>
      </c>
      <c r="E655" s="3" t="inlineStr">
        <is>
          <t>BẢO TRÂM</t>
        </is>
      </c>
      <c r="F655" s="3" t="inlineStr">
        <is>
          <t>Shopee</t>
        </is>
      </c>
      <c r="G655" s="3" t="inlineStr">
        <is>
          <t>KYV40</t>
        </is>
      </c>
      <c r="H655" s="4" t="inlineStr">
        <is>
          <t>Ổ khóa KYV40</t>
        </is>
      </c>
      <c r="I655" s="3" t="inlineStr">
        <is>
          <t>Cái</t>
        </is>
      </c>
      <c r="J655" s="5" t="n">
        <v>62000</v>
      </c>
      <c r="K655" s="5" t="n">
        <v>72000</v>
      </c>
      <c r="L655" s="6" t="n">
        <v>87000</v>
      </c>
      <c r="M655" s="5" t="n"/>
      <c r="N655" s="5">
        <f>IF(AND(ISNUMBER(M655),ISNUMBER(L655)),M655-L655,"")</f>
        <v/>
      </c>
      <c r="O655" s="7">
        <f>IF(AND(ISNUMBER(M655),ISNUMBER(L655),L655&gt;0),(M655-L655)/L655,"")</f>
        <v/>
      </c>
      <c r="P655" s="3">
        <f>IF(O655="","",IF(O655&lt;-0.02,"🔴 Bán phá giá sàn",IF(O655&gt;0.05,"🔵 Bán cao hơn","🟢 Đúng giá sàn TMĐT")))</f>
        <v/>
      </c>
      <c r="Q655" s="3" t="n"/>
      <c r="R655" s="4" t="n"/>
      <c r="S655" s="4" t="n"/>
    </row>
    <row r="656">
      <c r="A656" s="3" t="n">
        <v>655</v>
      </c>
      <c r="B656" s="3" t="inlineStr">
        <is>
          <t>KH003</t>
        </is>
      </c>
      <c r="C656" s="4" t="inlineStr">
        <is>
          <t>CÔNG TY TNHH ĐỒ NGHỀ CẦM TAY PHƯƠNG MY</t>
        </is>
      </c>
      <c r="D656" s="3" t="inlineStr">
        <is>
          <t>HCM</t>
        </is>
      </c>
      <c r="E656" s="3" t="inlineStr">
        <is>
          <t>BẢO TRÂM</t>
        </is>
      </c>
      <c r="F656" s="3" t="inlineStr">
        <is>
          <t>Shopee</t>
        </is>
      </c>
      <c r="G656" s="3" t="inlineStr">
        <is>
          <t>KYX40</t>
        </is>
      </c>
      <c r="H656" s="4" t="inlineStr">
        <is>
          <t>Ổ khóa KYX40</t>
        </is>
      </c>
      <c r="I656" s="3" t="inlineStr">
        <is>
          <t>Cái</t>
        </is>
      </c>
      <c r="J656" s="5" t="n">
        <v>90000</v>
      </c>
      <c r="K656" s="5" t="n">
        <v>104000</v>
      </c>
      <c r="L656" s="6" t="n">
        <v>126000</v>
      </c>
      <c r="M656" s="5" t="n"/>
      <c r="N656" s="5">
        <f>IF(AND(ISNUMBER(M656),ISNUMBER(L656)),M656-L656,"")</f>
        <v/>
      </c>
      <c r="O656" s="7">
        <f>IF(AND(ISNUMBER(M656),ISNUMBER(L656),L656&gt;0),(M656-L656)/L656,"")</f>
        <v/>
      </c>
      <c r="P656" s="3">
        <f>IF(O656="","",IF(O656&lt;-0.02,"🔴 Bán phá giá sàn",IF(O656&gt;0.05,"🔵 Bán cao hơn","🟢 Đúng giá sàn TMĐT")))</f>
        <v/>
      </c>
      <c r="Q656" s="3" t="n"/>
      <c r="R656" s="4" t="n"/>
      <c r="S656" s="4" t="n"/>
    </row>
    <row r="657">
      <c r="A657" s="3" t="n">
        <v>656</v>
      </c>
      <c r="B657" s="3" t="inlineStr">
        <is>
          <t>KH003</t>
        </is>
      </c>
      <c r="C657" s="4" t="inlineStr">
        <is>
          <t>CÔNG TY TNHH ĐỒ NGHỀ CẦM TAY PHƯƠNG MY</t>
        </is>
      </c>
      <c r="D657" s="3" t="inlineStr">
        <is>
          <t>HCM</t>
        </is>
      </c>
      <c r="E657" s="3" t="inlineStr">
        <is>
          <t>BẢO TRÂM</t>
        </is>
      </c>
      <c r="F657" s="3" t="inlineStr">
        <is>
          <t>Shopee</t>
        </is>
      </c>
      <c r="G657" s="3" t="inlineStr">
        <is>
          <t>KYZ50</t>
        </is>
      </c>
      <c r="H657" s="4" t="inlineStr">
        <is>
          <t>Ổ khóa KYZ50</t>
        </is>
      </c>
      <c r="I657" s="3" t="inlineStr">
        <is>
          <t>Cái</t>
        </is>
      </c>
      <c r="J657" s="5" t="n">
        <v>152000</v>
      </c>
      <c r="K657" s="5" t="n">
        <v>176000</v>
      </c>
      <c r="L657" s="6" t="n">
        <v>213000</v>
      </c>
      <c r="M657" s="5" t="n"/>
      <c r="N657" s="5">
        <f>IF(AND(ISNUMBER(M657),ISNUMBER(L657)),M657-L657,"")</f>
        <v/>
      </c>
      <c r="O657" s="7">
        <f>IF(AND(ISNUMBER(M657),ISNUMBER(L657),L657&gt;0),(M657-L657)/L657,"")</f>
        <v/>
      </c>
      <c r="P657" s="3">
        <f>IF(O657="","",IF(O657&lt;-0.02,"🔴 Bán phá giá sàn",IF(O657&gt;0.05,"🔵 Bán cao hơn","🟢 Đúng giá sàn TMĐT")))</f>
        <v/>
      </c>
      <c r="Q657" s="3" t="n"/>
      <c r="R657" s="4" t="n"/>
      <c r="S657" s="4" t="n"/>
    </row>
    <row r="658">
      <c r="A658" s="3" t="n">
        <v>657</v>
      </c>
      <c r="B658" s="3" t="inlineStr">
        <is>
          <t>KH003</t>
        </is>
      </c>
      <c r="C658" s="4" t="inlineStr">
        <is>
          <t>CÔNG TY TNHH ĐỒ NGHỀ CẦM TAY PHƯƠNG MY</t>
        </is>
      </c>
      <c r="D658" s="3" t="inlineStr">
        <is>
          <t>HCM</t>
        </is>
      </c>
      <c r="E658" s="3" t="inlineStr">
        <is>
          <t>BẢO TRÂM</t>
        </is>
      </c>
      <c r="F658" s="3" t="inlineStr">
        <is>
          <t>Shopee</t>
        </is>
      </c>
      <c r="G658" s="3" t="inlineStr">
        <is>
          <t>KYZ60</t>
        </is>
      </c>
      <c r="H658" s="4" t="inlineStr">
        <is>
          <t>Ổ khóa KYZ60</t>
        </is>
      </c>
      <c r="I658" s="3" t="inlineStr">
        <is>
          <t>Cái</t>
        </is>
      </c>
      <c r="J658" s="5" t="n">
        <v>209000</v>
      </c>
      <c r="K658" s="5" t="n">
        <v>243000</v>
      </c>
      <c r="L658" s="6" t="n">
        <v>293000</v>
      </c>
      <c r="M658" s="5" t="n"/>
      <c r="N658" s="5">
        <f>IF(AND(ISNUMBER(M658),ISNUMBER(L658)),M658-L658,"")</f>
        <v/>
      </c>
      <c r="O658" s="7">
        <f>IF(AND(ISNUMBER(M658),ISNUMBER(L658),L658&gt;0),(M658-L658)/L658,"")</f>
        <v/>
      </c>
      <c r="P658" s="3">
        <f>IF(O658="","",IF(O658&lt;-0.02,"🔴 Bán phá giá sàn",IF(O658&gt;0.05,"🔵 Bán cao hơn","🟢 Đúng giá sàn TMĐT")))</f>
        <v/>
      </c>
      <c r="Q658" s="3" t="n"/>
      <c r="R658" s="4" t="n"/>
      <c r="S658" s="4" t="n"/>
    </row>
    <row r="659">
      <c r="A659" s="3" t="n">
        <v>658</v>
      </c>
      <c r="B659" s="3" t="inlineStr">
        <is>
          <t>KH003</t>
        </is>
      </c>
      <c r="C659" s="4" t="inlineStr">
        <is>
          <t>CÔNG TY TNHH ĐỒ NGHỀ CẦM TAY PHƯƠNG MY</t>
        </is>
      </c>
      <c r="D659" s="3" t="inlineStr">
        <is>
          <t>HCM</t>
        </is>
      </c>
      <c r="E659" s="3" t="inlineStr">
        <is>
          <t>BẢO TRÂM</t>
        </is>
      </c>
      <c r="F659" s="3" t="inlineStr">
        <is>
          <t>Shopee</t>
        </is>
      </c>
      <c r="G659" s="3" t="inlineStr">
        <is>
          <t>MP6018</t>
        </is>
      </c>
      <c r="H659" s="4" t="inlineStr">
        <is>
          <t>Pin MP6018</t>
        </is>
      </c>
      <c r="I659" s="3" t="inlineStr">
        <is>
          <t>Cái</t>
        </is>
      </c>
      <c r="J659" s="5" t="n">
        <v>1045000</v>
      </c>
      <c r="K659" s="5" t="n">
        <v>1171000</v>
      </c>
      <c r="L659" s="6" t="n">
        <v>1359000</v>
      </c>
      <c r="M659" s="5" t="n"/>
      <c r="N659" s="5">
        <f>IF(AND(ISNUMBER(M659),ISNUMBER(L659)),M659-L659,"")</f>
        <v/>
      </c>
      <c r="O659" s="7">
        <f>IF(AND(ISNUMBER(M659),ISNUMBER(L659),L659&gt;0),(M659-L659)/L659,"")</f>
        <v/>
      </c>
      <c r="P659" s="3">
        <f>IF(O659="","",IF(O659&lt;-0.02,"🔴 Bán phá giá sàn",IF(O659&gt;0.05,"🔵 Bán cao hơn","🟢 Đúng giá sàn TMĐT")))</f>
        <v/>
      </c>
      <c r="Q659" s="3" t="n"/>
      <c r="R659" s="4" t="n"/>
      <c r="S659" s="4" t="n"/>
    </row>
    <row r="660">
      <c r="A660" s="3" t="n">
        <v>659</v>
      </c>
      <c r="B660" s="3" t="inlineStr">
        <is>
          <t>KH003</t>
        </is>
      </c>
      <c r="C660" s="4" t="inlineStr">
        <is>
          <t>CÔNG TY TNHH ĐỒ NGHỀ CẦM TAY PHƯƠNG MY</t>
        </is>
      </c>
      <c r="D660" s="3" t="inlineStr">
        <is>
          <t>HCM</t>
        </is>
      </c>
      <c r="E660" s="3" t="inlineStr">
        <is>
          <t>BẢO TRÂM</t>
        </is>
      </c>
      <c r="F660" s="3" t="inlineStr">
        <is>
          <t>Shopee</t>
        </is>
      </c>
      <c r="G660" s="3" t="inlineStr">
        <is>
          <t>KM08AI</t>
        </is>
      </c>
      <c r="H660" s="4" t="inlineStr">
        <is>
          <t>Sạc nhanh KM08AI (18V - 21V)</t>
        </is>
      </c>
      <c r="I660" s="3" t="inlineStr">
        <is>
          <t>Cái</t>
        </is>
      </c>
      <c r="J660" s="5" t="n">
        <v>760000</v>
      </c>
      <c r="K660" s="5" t="n">
        <v>851000</v>
      </c>
      <c r="L660" s="6" t="n">
        <v>988000</v>
      </c>
      <c r="M660" s="5" t="n"/>
      <c r="N660" s="5">
        <f>IF(AND(ISNUMBER(M660),ISNUMBER(L660)),M660-L660,"")</f>
        <v/>
      </c>
      <c r="O660" s="7">
        <f>IF(AND(ISNUMBER(M660),ISNUMBER(L660),L660&gt;0),(M660-L660)/L660,"")</f>
        <v/>
      </c>
      <c r="P660" s="3">
        <f>IF(O660="","",IF(O660&lt;-0.02,"🔴 Bán phá giá sàn",IF(O660&gt;0.05,"🔵 Bán cao hơn","🟢 Đúng giá sàn TMĐT")))</f>
        <v/>
      </c>
      <c r="Q660" s="3" t="n"/>
      <c r="R660" s="4" t="n"/>
      <c r="S660" s="4" t="n"/>
    </row>
    <row r="661">
      <c r="A661" s="3" t="n">
        <v>660</v>
      </c>
      <c r="B661" s="3" t="inlineStr">
        <is>
          <t>KH003</t>
        </is>
      </c>
      <c r="C661" s="4" t="inlineStr">
        <is>
          <t>CÔNG TY TNHH ĐỒ NGHỀ CẦM TAY PHƯƠNG MY</t>
        </is>
      </c>
      <c r="D661" s="3" t="inlineStr">
        <is>
          <t>HCM</t>
        </is>
      </c>
      <c r="E661" s="3" t="inlineStr">
        <is>
          <t>BẢO TRÂM</t>
        </is>
      </c>
      <c r="F661" s="3" t="inlineStr">
        <is>
          <t>Shopee</t>
        </is>
      </c>
      <c r="G661" s="3" t="inlineStr">
        <is>
          <t>KB8*48G</t>
        </is>
      </c>
      <c r="H661" s="4" t="inlineStr">
        <is>
          <t>Siết tôn King Blue KB8*48G</t>
        </is>
      </c>
      <c r="I661" s="3" t="inlineStr">
        <is>
          <t>Cái</t>
        </is>
      </c>
      <c r="J661" s="5" t="n">
        <v>7500</v>
      </c>
      <c r="K661" s="5" t="n">
        <v>10000</v>
      </c>
      <c r="L661" s="6" t="n">
        <v>13000</v>
      </c>
      <c r="M661" s="5" t="n"/>
      <c r="N661" s="5">
        <f>IF(AND(ISNUMBER(M661),ISNUMBER(L661)),M661-L661,"")</f>
        <v/>
      </c>
      <c r="O661" s="7">
        <f>IF(AND(ISNUMBER(M661),ISNUMBER(L661),L661&gt;0),(M661-L661)/L661,"")</f>
        <v/>
      </c>
      <c r="P661" s="3">
        <f>IF(O661="","",IF(O661&lt;-0.02,"🔴 Bán phá giá sàn",IF(O661&gt;0.05,"🔵 Bán cao hơn","🟢 Đúng giá sàn TMĐT")))</f>
        <v/>
      </c>
      <c r="Q661" s="3" t="n"/>
      <c r="R661" s="4" t="n"/>
      <c r="S661" s="4" t="n"/>
    </row>
    <row r="662">
      <c r="A662" s="3" t="n">
        <v>661</v>
      </c>
      <c r="B662" s="3" t="inlineStr">
        <is>
          <t>KH003</t>
        </is>
      </c>
      <c r="C662" s="4" t="inlineStr">
        <is>
          <t>CÔNG TY TNHH ĐỒ NGHỀ CẦM TAY PHƯƠNG MY</t>
        </is>
      </c>
      <c r="D662" s="3" t="inlineStr">
        <is>
          <t>HCM</t>
        </is>
      </c>
      <c r="E662" s="3" t="inlineStr">
        <is>
          <t>BẢO TRÂM</t>
        </is>
      </c>
      <c r="F662" s="3" t="inlineStr">
        <is>
          <t>Shopee</t>
        </is>
      </c>
      <c r="G662" s="3" t="inlineStr">
        <is>
          <t>ST08x42V</t>
        </is>
      </c>
      <c r="H662" s="4" t="inlineStr">
        <is>
          <t>Siết tôn King Blue ST08x42V</t>
        </is>
      </c>
      <c r="I662" s="3" t="inlineStr">
        <is>
          <t>Vỉ</t>
        </is>
      </c>
      <c r="J662" s="5" t="n">
        <v>22000</v>
      </c>
      <c r="K662" s="5" t="n">
        <v>28000</v>
      </c>
      <c r="L662" s="6" t="n">
        <v>36000</v>
      </c>
      <c r="M662" s="5" t="n"/>
      <c r="N662" s="5">
        <f>IF(AND(ISNUMBER(M662),ISNUMBER(L662)),M662-L662,"")</f>
        <v/>
      </c>
      <c r="O662" s="7">
        <f>IF(AND(ISNUMBER(M662),ISNUMBER(L662),L662&gt;0),(M662-L662)/L662,"")</f>
        <v/>
      </c>
      <c r="P662" s="3">
        <f>IF(O662="","",IF(O662&lt;-0.02,"🔴 Bán phá giá sàn",IF(O662&gt;0.05,"🔵 Bán cao hơn","🟢 Đúng giá sàn TMĐT")))</f>
        <v/>
      </c>
      <c r="Q662" s="3" t="n"/>
      <c r="R662" s="4" t="n"/>
      <c r="S662" s="4" t="n"/>
    </row>
    <row r="663">
      <c r="A663" s="3" t="n">
        <v>662</v>
      </c>
      <c r="B663" s="3" t="inlineStr">
        <is>
          <t>KH003</t>
        </is>
      </c>
      <c r="C663" s="4" t="inlineStr">
        <is>
          <t>CÔNG TY TNHH ĐỒ NGHỀ CẦM TAY PHƯƠNG MY</t>
        </is>
      </c>
      <c r="D663" s="3" t="inlineStr">
        <is>
          <t>HCM</t>
        </is>
      </c>
      <c r="E663" s="3" t="inlineStr">
        <is>
          <t>BẢO TRÂM</t>
        </is>
      </c>
      <c r="F663" s="3" t="inlineStr">
        <is>
          <t>Shopee</t>
        </is>
      </c>
      <c r="G663" s="3" t="inlineStr">
        <is>
          <t>KFF-73</t>
        </is>
      </c>
      <c r="H663" s="4" t="inlineStr">
        <is>
          <t>Súng bắn đinh bê tông KFF-73</t>
        </is>
      </c>
      <c r="I663" s="3" t="inlineStr">
        <is>
          <t>Cái</t>
        </is>
      </c>
      <c r="J663" s="5" t="n">
        <v>660000</v>
      </c>
      <c r="K663" s="5" t="n">
        <v>739000</v>
      </c>
      <c r="L663" s="6" t="n">
        <v>858000</v>
      </c>
      <c r="M663" s="5" t="n"/>
      <c r="N663" s="5">
        <f>IF(AND(ISNUMBER(M663),ISNUMBER(L663)),M663-L663,"")</f>
        <v/>
      </c>
      <c r="O663" s="7">
        <f>IF(AND(ISNUMBER(M663),ISNUMBER(L663),L663&gt;0),(M663-L663)/L663,"")</f>
        <v/>
      </c>
      <c r="P663" s="3">
        <f>IF(O663="","",IF(O663&lt;-0.02,"🔴 Bán phá giá sàn",IF(O663&gt;0.05,"🔵 Bán cao hơn","🟢 Đúng giá sàn TMĐT")))</f>
        <v/>
      </c>
      <c r="Q663" s="3" t="n"/>
      <c r="R663" s="4" t="n"/>
      <c r="S663" s="4" t="n"/>
    </row>
    <row r="664">
      <c r="A664" s="3" t="n">
        <v>663</v>
      </c>
      <c r="B664" s="3" t="inlineStr">
        <is>
          <t>KH003</t>
        </is>
      </c>
      <c r="C664" s="4" t="inlineStr">
        <is>
          <t>CÔNG TY TNHH ĐỒ NGHỀ CẦM TAY PHƯƠNG MY</t>
        </is>
      </c>
      <c r="D664" s="3" t="inlineStr">
        <is>
          <t>HCM</t>
        </is>
      </c>
      <c r="E664" s="3" t="inlineStr">
        <is>
          <t>BẢO TRÂM</t>
        </is>
      </c>
      <c r="F664" s="3" t="inlineStr">
        <is>
          <t>Shopee</t>
        </is>
      </c>
      <c r="G664" s="3" t="inlineStr">
        <is>
          <t>KF-101</t>
        </is>
      </c>
      <c r="H664" s="4" t="inlineStr">
        <is>
          <t>Súng bắn ghim KF-101</t>
        </is>
      </c>
      <c r="I664" s="3" t="inlineStr">
        <is>
          <t>Cái</t>
        </is>
      </c>
      <c r="J664" s="5" t="n">
        <v>127000</v>
      </c>
      <c r="K664" s="5" t="n">
        <v>150000</v>
      </c>
      <c r="L664" s="6" t="n">
        <v>184000</v>
      </c>
      <c r="M664" s="5" t="n"/>
      <c r="N664" s="5">
        <f>IF(AND(ISNUMBER(M664),ISNUMBER(L664)),M664-L664,"")</f>
        <v/>
      </c>
      <c r="O664" s="7">
        <f>IF(AND(ISNUMBER(M664),ISNUMBER(L664),L664&gt;0),(M664-L664)/L664,"")</f>
        <v/>
      </c>
      <c r="P664" s="3">
        <f>IF(O664="","",IF(O664&lt;-0.02,"🔴 Bán phá giá sàn",IF(O664&gt;0.05,"🔵 Bán cao hơn","🟢 Đúng giá sàn TMĐT")))</f>
        <v/>
      </c>
      <c r="Q664" s="3" t="n"/>
      <c r="R664" s="4" t="n"/>
      <c r="S664" s="4" t="n"/>
    </row>
    <row r="665">
      <c r="A665" s="3" t="n">
        <v>664</v>
      </c>
      <c r="B665" s="3" t="inlineStr">
        <is>
          <t>KH003</t>
        </is>
      </c>
      <c r="C665" s="4" t="inlineStr">
        <is>
          <t>CÔNG TY TNHH ĐỒ NGHỀ CẦM TAY PHƯƠNG MY</t>
        </is>
      </c>
      <c r="D665" s="3" t="inlineStr">
        <is>
          <t>HCM</t>
        </is>
      </c>
      <c r="E665" s="3" t="inlineStr">
        <is>
          <t>BẢO TRÂM</t>
        </is>
      </c>
      <c r="F665" s="3" t="inlineStr">
        <is>
          <t>Shopee</t>
        </is>
      </c>
      <c r="G665" s="3" t="inlineStr">
        <is>
          <t>KF-103</t>
        </is>
      </c>
      <c r="H665" s="4" t="inlineStr">
        <is>
          <t>Súng bắn ghim KF-103</t>
        </is>
      </c>
      <c r="I665" s="3" t="inlineStr">
        <is>
          <t>Cái</t>
        </is>
      </c>
      <c r="J665" s="5" t="n">
        <v>143000</v>
      </c>
      <c r="K665" s="5" t="n">
        <v>169000</v>
      </c>
      <c r="L665" s="6" t="n">
        <v>207000</v>
      </c>
      <c r="M665" s="5" t="n"/>
      <c r="N665" s="5">
        <f>IF(AND(ISNUMBER(M665),ISNUMBER(L665)),M665-L665,"")</f>
        <v/>
      </c>
      <c r="O665" s="7">
        <f>IF(AND(ISNUMBER(M665),ISNUMBER(L665),L665&gt;0),(M665-L665)/L665,"")</f>
        <v/>
      </c>
      <c r="P665" s="3">
        <f>IF(O665="","",IF(O665&lt;-0.02,"🔴 Bán phá giá sàn",IF(O665&gt;0.05,"🔵 Bán cao hơn","🟢 Đúng giá sàn TMĐT")))</f>
        <v/>
      </c>
      <c r="Q665" s="3" t="n"/>
      <c r="R665" s="4" t="n"/>
      <c r="S665" s="4" t="n"/>
    </row>
    <row r="666">
      <c r="A666" s="3" t="n">
        <v>665</v>
      </c>
      <c r="B666" s="3" t="inlineStr">
        <is>
          <t>KH003</t>
        </is>
      </c>
      <c r="C666" s="4" t="inlineStr">
        <is>
          <t>CÔNG TY TNHH ĐỒ NGHỀ CẦM TAY PHƯƠNG MY</t>
        </is>
      </c>
      <c r="D666" s="3" t="inlineStr">
        <is>
          <t>HCM</t>
        </is>
      </c>
      <c r="E666" s="3" t="inlineStr">
        <is>
          <t>BẢO TRÂM</t>
        </is>
      </c>
      <c r="F666" s="3" t="inlineStr">
        <is>
          <t>Shopee</t>
        </is>
      </c>
      <c r="G666" s="3" t="inlineStr">
        <is>
          <t>KBO-X0215</t>
        </is>
      </c>
      <c r="H666" s="4" t="inlineStr">
        <is>
          <t>Súng Xịt Hơi KBO-X0215</t>
        </is>
      </c>
      <c r="I666" s="3" t="inlineStr">
        <is>
          <t>Cái</t>
        </is>
      </c>
      <c r="J666" s="5" t="n">
        <v>97000</v>
      </c>
      <c r="K666" s="5" t="n">
        <v>115000</v>
      </c>
      <c r="L666" s="6" t="n">
        <v>141000</v>
      </c>
      <c r="M666" s="5" t="n"/>
      <c r="N666" s="5">
        <f>IF(AND(ISNUMBER(M666),ISNUMBER(L666)),M666-L666,"")</f>
        <v/>
      </c>
      <c r="O666" s="7">
        <f>IF(AND(ISNUMBER(M666),ISNUMBER(L666),L666&gt;0),(M666-L666)/L666,"")</f>
        <v/>
      </c>
      <c r="P666" s="3">
        <f>IF(O666="","",IF(O666&lt;-0.02,"🔴 Bán phá giá sàn",IF(O666&gt;0.05,"🔵 Bán cao hơn","🟢 Đúng giá sàn TMĐT")))</f>
        <v/>
      </c>
      <c r="Q666" s="3" t="n"/>
      <c r="R666" s="4" t="n"/>
      <c r="S666" s="4" t="n"/>
    </row>
    <row r="667">
      <c r="A667" s="3" t="n">
        <v>666</v>
      </c>
      <c r="B667" s="3" t="inlineStr">
        <is>
          <t>KH003</t>
        </is>
      </c>
      <c r="C667" s="4" t="inlineStr">
        <is>
          <t>CÔNG TY TNHH ĐỒ NGHỀ CẦM TAY PHƯƠNG MY</t>
        </is>
      </c>
      <c r="D667" s="3" t="inlineStr">
        <is>
          <t>HCM</t>
        </is>
      </c>
      <c r="E667" s="3" t="inlineStr">
        <is>
          <t>BẢO TRÂM</t>
        </is>
      </c>
      <c r="F667" s="3" t="inlineStr">
        <is>
          <t>Shopee</t>
        </is>
      </c>
      <c r="G667" s="3" t="inlineStr">
        <is>
          <t>KV1-6*150</t>
        </is>
      </c>
      <c r="H667" s="4" t="inlineStr">
        <is>
          <t>Tuốc nơ vít 2 đầu KV1-6*150</t>
        </is>
      </c>
      <c r="I667" s="3" t="inlineStr">
        <is>
          <t>Cái</t>
        </is>
      </c>
      <c r="J667" s="5" t="n">
        <v>25000</v>
      </c>
      <c r="K667" s="5" t="n">
        <v>29000</v>
      </c>
      <c r="L667" s="6" t="n">
        <v>36000</v>
      </c>
      <c r="M667" s="5" t="n"/>
      <c r="N667" s="5">
        <f>IF(AND(ISNUMBER(M667),ISNUMBER(L667)),M667-L667,"")</f>
        <v/>
      </c>
      <c r="O667" s="7">
        <f>IF(AND(ISNUMBER(M667),ISNUMBER(L667),L667&gt;0),(M667-L667)/L667,"")</f>
        <v/>
      </c>
      <c r="P667" s="3">
        <f>IF(O667="","",IF(O667&lt;-0.02,"🔴 Bán phá giá sàn",IF(O667&gt;0.05,"🔵 Bán cao hơn","🟢 Đúng giá sàn TMĐT")))</f>
        <v/>
      </c>
      <c r="Q667" s="3" t="n"/>
      <c r="R667" s="4" t="n"/>
      <c r="S667" s="4" t="n"/>
    </row>
    <row r="668">
      <c r="A668" s="3" t="n">
        <v>667</v>
      </c>
      <c r="B668" s="3" t="inlineStr">
        <is>
          <t>KH003</t>
        </is>
      </c>
      <c r="C668" s="4" t="inlineStr">
        <is>
          <t>CÔNG TY TNHH ĐỒ NGHỀ CẦM TAY PHƯƠNG MY</t>
        </is>
      </c>
      <c r="D668" s="3" t="inlineStr">
        <is>
          <t>HCM</t>
        </is>
      </c>
      <c r="E668" s="3" t="inlineStr">
        <is>
          <t>BẢO TRÂM</t>
        </is>
      </c>
      <c r="F668" s="3" t="inlineStr">
        <is>
          <t>Shopee</t>
        </is>
      </c>
      <c r="G668" s="3" t="inlineStr">
        <is>
          <t>KV6+6*150</t>
        </is>
      </c>
      <c r="H668" s="4" t="inlineStr">
        <is>
          <t>Tuốc nơ vít KV6+6*150</t>
        </is>
      </c>
      <c r="I668" s="3" t="inlineStr">
        <is>
          <t>Cái</t>
        </is>
      </c>
      <c r="J668" s="5" t="n">
        <v>29000</v>
      </c>
      <c r="K668" s="5" t="n">
        <v>34000</v>
      </c>
      <c r="L668" s="6" t="n">
        <v>42000</v>
      </c>
      <c r="M668" s="5" t="n"/>
      <c r="N668" s="5">
        <f>IF(AND(ISNUMBER(M668),ISNUMBER(L668)),M668-L668,"")</f>
        <v/>
      </c>
      <c r="O668" s="7">
        <f>IF(AND(ISNUMBER(M668),ISNUMBER(L668),L668&gt;0),(M668-L668)/L668,"")</f>
        <v/>
      </c>
      <c r="P668" s="3">
        <f>IF(O668="","",IF(O668&lt;-0.02,"🔴 Bán phá giá sàn",IF(O668&gt;0.05,"🔵 Bán cao hơn","🟢 Đúng giá sàn TMĐT")))</f>
        <v/>
      </c>
      <c r="Q668" s="3" t="n"/>
      <c r="R668" s="4" t="n"/>
      <c r="S668" s="4" t="n"/>
    </row>
    <row r="669">
      <c r="A669" s="3" t="n">
        <v>668</v>
      </c>
      <c r="B669" s="3" t="inlineStr">
        <is>
          <t>KH003</t>
        </is>
      </c>
      <c r="C669" s="4" t="inlineStr">
        <is>
          <t>CÔNG TY TNHH ĐỒ NGHỀ CẦM TAY PHƯƠNG MY</t>
        </is>
      </c>
      <c r="D669" s="3" t="inlineStr">
        <is>
          <t>HCM</t>
        </is>
      </c>
      <c r="E669" s="3" t="inlineStr">
        <is>
          <t>BẢO TRÂM</t>
        </is>
      </c>
      <c r="F669" s="3" t="inlineStr">
        <is>
          <t>Shopee</t>
        </is>
      </c>
      <c r="G669" s="3" t="inlineStr">
        <is>
          <t>KV6-6*150</t>
        </is>
      </c>
      <c r="H669" s="4" t="inlineStr">
        <is>
          <t>Tuốc nơ vít KV6-6*150</t>
        </is>
      </c>
      <c r="I669" s="3" t="inlineStr">
        <is>
          <t>Cái</t>
        </is>
      </c>
      <c r="J669" s="5" t="n">
        <v>29000</v>
      </c>
      <c r="K669" s="5" t="n">
        <v>34000</v>
      </c>
      <c r="L669" s="6" t="n">
        <v>42000</v>
      </c>
      <c r="M669" s="5" t="n"/>
      <c r="N669" s="5">
        <f>IF(AND(ISNUMBER(M669),ISNUMBER(L669)),M669-L669,"")</f>
        <v/>
      </c>
      <c r="O669" s="7">
        <f>IF(AND(ISNUMBER(M669),ISNUMBER(L669),L669&gt;0),(M669-L669)/L669,"")</f>
        <v/>
      </c>
      <c r="P669" s="3">
        <f>IF(O669="","",IF(O669&lt;-0.02,"🔴 Bán phá giá sàn",IF(O669&gt;0.05,"🔵 Bán cao hơn","🟢 Đúng giá sàn TMĐT")))</f>
        <v/>
      </c>
      <c r="Q669" s="3" t="n"/>
      <c r="R669" s="4" t="n"/>
      <c r="S669" s="4" t="n"/>
    </row>
    <row r="670">
      <c r="A670" s="3" t="n">
        <v>669</v>
      </c>
      <c r="B670" s="3" t="inlineStr">
        <is>
          <t>KH003</t>
        </is>
      </c>
      <c r="C670" s="4" t="inlineStr">
        <is>
          <t>CÔNG TY TNHH ĐỒ NGHỀ CẦM TAY PHƯƠNG MY</t>
        </is>
      </c>
      <c r="D670" s="3" t="inlineStr">
        <is>
          <t>HCM</t>
        </is>
      </c>
      <c r="E670" s="3" t="inlineStr">
        <is>
          <t>BẢO TRÂM</t>
        </is>
      </c>
      <c r="F670" s="3" t="inlineStr">
        <is>
          <t>Shopee</t>
        </is>
      </c>
      <c r="G670" s="3" t="inlineStr">
        <is>
          <t>KV6-6*200</t>
        </is>
      </c>
      <c r="H670" s="4" t="inlineStr">
        <is>
          <t>Tuốc nơ vít KV6-6*200</t>
        </is>
      </c>
      <c r="I670" s="3" t="inlineStr">
        <is>
          <t>Cái</t>
        </is>
      </c>
      <c r="J670" s="5" t="n">
        <v>40000</v>
      </c>
      <c r="K670" s="5" t="n">
        <v>47000</v>
      </c>
      <c r="L670" s="6" t="n">
        <v>58000</v>
      </c>
      <c r="M670" s="5" t="n"/>
      <c r="N670" s="5">
        <f>IF(AND(ISNUMBER(M670),ISNUMBER(L670)),M670-L670,"")</f>
        <v/>
      </c>
      <c r="O670" s="7">
        <f>IF(AND(ISNUMBER(M670),ISNUMBER(L670),L670&gt;0),(M670-L670)/L670,"")</f>
        <v/>
      </c>
      <c r="P670" s="3">
        <f>IF(O670="","",IF(O670&lt;-0.02,"🔴 Bán phá giá sàn",IF(O670&gt;0.05,"🔵 Bán cao hơn","🟢 Đúng giá sàn TMĐT")))</f>
        <v/>
      </c>
      <c r="Q670" s="3" t="n"/>
      <c r="R670" s="4" t="n"/>
      <c r="S670" s="4" t="n"/>
    </row>
    <row r="671">
      <c r="A671" s="3" t="n">
        <v>670</v>
      </c>
      <c r="B671" s="3" t="inlineStr">
        <is>
          <t>KH003</t>
        </is>
      </c>
      <c r="C671" s="4" t="inlineStr">
        <is>
          <t>CÔNG TY TNHH ĐỒ NGHỀ CẦM TAY PHƯƠNG MY</t>
        </is>
      </c>
      <c r="D671" s="3" t="inlineStr">
        <is>
          <t>HCM</t>
        </is>
      </c>
      <c r="E671" s="3" t="inlineStr">
        <is>
          <t>BẢO TRÂM</t>
        </is>
      </c>
      <c r="F671" s="3" t="inlineStr">
        <is>
          <t>Shopee</t>
        </is>
      </c>
      <c r="G671" s="3" t="inlineStr">
        <is>
          <t>KV4-6*38</t>
        </is>
      </c>
      <c r="H671" s="4" t="inlineStr">
        <is>
          <t>Tuốc nơ vít tự động 3 chức năng S2 KV4-6*38</t>
        </is>
      </c>
      <c r="I671" s="3" t="inlineStr">
        <is>
          <t>Cái</t>
        </is>
      </c>
      <c r="J671" s="5" t="n">
        <v>68000</v>
      </c>
      <c r="K671" s="5" t="n">
        <v>80000</v>
      </c>
      <c r="L671" s="6" t="n">
        <v>99000</v>
      </c>
      <c r="M671" s="5" t="n"/>
      <c r="N671" s="5">
        <f>IF(AND(ISNUMBER(M671),ISNUMBER(L671)),M671-L671,"")</f>
        <v/>
      </c>
      <c r="O671" s="7">
        <f>IF(AND(ISNUMBER(M671),ISNUMBER(L671),L671&gt;0),(M671-L671)/L671,"")</f>
        <v/>
      </c>
      <c r="P671" s="3">
        <f>IF(O671="","",IF(O671&lt;-0.02,"🔴 Bán phá giá sàn",IF(O671&gt;0.05,"🔵 Bán cao hơn","🟢 Đúng giá sàn TMĐT")))</f>
        <v/>
      </c>
      <c r="Q671" s="3" t="n"/>
      <c r="R671" s="4" t="n"/>
      <c r="S671" s="4" t="n"/>
    </row>
    <row r="672">
      <c r="A672" s="3" t="n">
        <v>671</v>
      </c>
      <c r="B672" s="3" t="inlineStr">
        <is>
          <t>KH003</t>
        </is>
      </c>
      <c r="C672" s="4" t="inlineStr">
        <is>
          <t>CÔNG TY TNHH ĐỒ NGHỀ CẦM TAY PHƯƠNG MY</t>
        </is>
      </c>
      <c r="D672" s="3" t="inlineStr">
        <is>
          <t>HCM</t>
        </is>
      </c>
      <c r="E672" s="3" t="inlineStr">
        <is>
          <t>BẢO TRÂM</t>
        </is>
      </c>
      <c r="F672" s="3" t="inlineStr">
        <is>
          <t>Shopee</t>
        </is>
      </c>
      <c r="G672" s="3" t="inlineStr">
        <is>
          <t>KHD4212</t>
        </is>
      </c>
      <c r="H672" s="4" t="inlineStr">
        <is>
          <t>Thùng đựng đồ nghề kèm phụ kiện KHD4212 NEW</t>
        </is>
      </c>
      <c r="I672" s="3" t="inlineStr">
        <is>
          <t>Cái</t>
        </is>
      </c>
      <c r="J672" s="5" t="n">
        <v>1996</v>
      </c>
      <c r="K672" s="5" t="n">
        <v>539000</v>
      </c>
      <c r="L672" s="6" t="n">
        <v>615000</v>
      </c>
      <c r="M672" s="5" t="n"/>
      <c r="N672" s="5">
        <f>IF(AND(ISNUMBER(M672),ISNUMBER(L672)),M672-L672,"")</f>
        <v/>
      </c>
      <c r="O672" s="7">
        <f>IF(AND(ISNUMBER(M672),ISNUMBER(L672),L672&gt;0),(M672-L672)/L672,"")</f>
        <v/>
      </c>
      <c r="P672" s="3">
        <f>IF(O672="","",IF(O672&lt;-0.02,"🔴 Bán phá giá sàn",IF(O672&gt;0.05,"🔵 Bán cao hơn","🟢 Đúng giá sàn TMĐT")))</f>
        <v/>
      </c>
      <c r="Q672" s="3" t="n"/>
      <c r="R672" s="4" t="n"/>
      <c r="S672" s="4" t="n"/>
    </row>
    <row r="673">
      <c r="A673" s="3" t="n">
        <v>672</v>
      </c>
      <c r="B673" s="3" t="inlineStr">
        <is>
          <t>KH003</t>
        </is>
      </c>
      <c r="C673" s="4" t="inlineStr">
        <is>
          <t>CÔNG TY TNHH ĐỒ NGHỀ CẦM TAY PHƯƠNG MY</t>
        </is>
      </c>
      <c r="D673" s="3" t="inlineStr">
        <is>
          <t>HCM</t>
        </is>
      </c>
      <c r="E673" s="3" t="inlineStr">
        <is>
          <t>BẢO TRÂM</t>
        </is>
      </c>
      <c r="F673" s="3" t="inlineStr">
        <is>
          <t>Shopee</t>
        </is>
      </c>
      <c r="G673" s="3" t="inlineStr">
        <is>
          <t>KHD20</t>
        </is>
      </c>
      <c r="H673" s="4" t="inlineStr">
        <is>
          <t>Thùng đựng đồ nghề KHD20</t>
        </is>
      </c>
      <c r="I673" s="3" t="inlineStr">
        <is>
          <t>Cái</t>
        </is>
      </c>
      <c r="J673" s="5" t="n">
        <v>396000</v>
      </c>
      <c r="K673" s="5" t="n">
        <v>452000</v>
      </c>
      <c r="L673" s="6" t="n">
        <v>535000</v>
      </c>
      <c r="M673" s="5" t="n"/>
      <c r="N673" s="5">
        <f>IF(AND(ISNUMBER(M673),ISNUMBER(L673)),M673-L673,"")</f>
        <v/>
      </c>
      <c r="O673" s="7">
        <f>IF(AND(ISNUMBER(M673),ISNUMBER(L673),L673&gt;0),(M673-L673)/L673,"")</f>
        <v/>
      </c>
      <c r="P673" s="3">
        <f>IF(O673="","",IF(O673&lt;-0.02,"🔴 Bán phá giá sàn",IF(O673&gt;0.05,"🔵 Bán cao hơn","🟢 Đúng giá sàn TMĐT")))</f>
        <v/>
      </c>
      <c r="Q673" s="3" t="n"/>
      <c r="R673" s="4" t="n"/>
      <c r="S673" s="4" t="n"/>
    </row>
    <row r="674">
      <c r="A674" s="3" t="n">
        <v>673</v>
      </c>
      <c r="B674" s="3" t="inlineStr">
        <is>
          <t>KH003</t>
        </is>
      </c>
      <c r="C674" s="4" t="inlineStr">
        <is>
          <t>CÔNG TY TNHH ĐỒ NGHỀ CẦM TAY PHƯƠNG MY</t>
        </is>
      </c>
      <c r="D674" s="3" t="inlineStr">
        <is>
          <t>HCM</t>
        </is>
      </c>
      <c r="E674" s="3" t="inlineStr">
        <is>
          <t>BẢO TRÂM</t>
        </is>
      </c>
      <c r="F674" s="3" t="inlineStr">
        <is>
          <t>Shopee</t>
        </is>
      </c>
      <c r="G674" s="3" t="inlineStr">
        <is>
          <t>KHD4216</t>
        </is>
      </c>
      <c r="H674" s="4" t="inlineStr">
        <is>
          <t>Thùng đựng đồ nghề KHD4216</t>
        </is>
      </c>
      <c r="I674" s="3" t="inlineStr">
        <is>
          <t>Cái</t>
        </is>
      </c>
      <c r="J674" s="5" t="n">
        <v>2065</v>
      </c>
      <c r="K674" s="5" t="n">
        <v>484000</v>
      </c>
      <c r="L674" s="6" t="n">
        <v>552000</v>
      </c>
      <c r="M674" s="5" t="n"/>
      <c r="N674" s="5">
        <f>IF(AND(ISNUMBER(M674),ISNUMBER(L674)),M674-L674,"")</f>
        <v/>
      </c>
      <c r="O674" s="7">
        <f>IF(AND(ISNUMBER(M674),ISNUMBER(L674),L674&gt;0),(M674-L674)/L674,"")</f>
        <v/>
      </c>
      <c r="P674" s="3">
        <f>IF(O674="","",IF(O674&lt;-0.02,"🔴 Bán phá giá sàn",IF(O674&gt;0.05,"🔵 Bán cao hơn","🟢 Đúng giá sàn TMĐT")))</f>
        <v/>
      </c>
      <c r="Q674" s="3" t="n"/>
      <c r="R674" s="4" t="n"/>
      <c r="S674" s="4" t="n"/>
    </row>
    <row r="675">
      <c r="A675" s="3" t="n">
        <v>674</v>
      </c>
      <c r="B675" s="3" t="inlineStr">
        <is>
          <t>KH003</t>
        </is>
      </c>
      <c r="C675" s="4" t="inlineStr">
        <is>
          <t>CÔNG TY TNHH ĐỒ NGHỀ CẦM TAY PHƯƠNG MY</t>
        </is>
      </c>
      <c r="D675" s="3" t="inlineStr">
        <is>
          <t>HCM</t>
        </is>
      </c>
      <c r="E675" s="3" t="inlineStr">
        <is>
          <t>BẢO TRÂM</t>
        </is>
      </c>
      <c r="F675" s="3" t="inlineStr">
        <is>
          <t>Shopee</t>
        </is>
      </c>
      <c r="G675" s="3" t="inlineStr">
        <is>
          <t>MD-50.25</t>
        </is>
      </c>
      <c r="H675" s="4" t="inlineStr">
        <is>
          <t>Thước Cuộn tự hãm MD-50.25</t>
        </is>
      </c>
      <c r="I675" s="3" t="inlineStr">
        <is>
          <t>Cái</t>
        </is>
      </c>
      <c r="J675" s="5" t="n">
        <v>64000</v>
      </c>
      <c r="K675" s="5" t="n">
        <v>76000</v>
      </c>
      <c r="L675" s="6" t="n">
        <v>93000</v>
      </c>
      <c r="M675" s="5" t="n"/>
      <c r="N675" s="5">
        <f>IF(AND(ISNUMBER(M675),ISNUMBER(L675)),M675-L675,"")</f>
        <v/>
      </c>
      <c r="O675" s="7">
        <f>IF(AND(ISNUMBER(M675),ISNUMBER(L675),L675&gt;0),(M675-L675)/L675,"")</f>
        <v/>
      </c>
      <c r="P675" s="3">
        <f>IF(O675="","",IF(O675&lt;-0.02,"🔴 Bán phá giá sàn",IF(O675&gt;0.05,"🔵 Bán cao hơn","🟢 Đúng giá sàn TMĐT")))</f>
        <v/>
      </c>
      <c r="Q675" s="3" t="n"/>
      <c r="R675" s="4" t="n"/>
      <c r="S675" s="4" t="n"/>
    </row>
    <row r="676">
      <c r="A676" s="3" t="n">
        <v>675</v>
      </c>
      <c r="B676" s="3" t="inlineStr">
        <is>
          <t>KH003</t>
        </is>
      </c>
      <c r="C676" s="4" t="inlineStr">
        <is>
          <t>CÔNG TY TNHH ĐỒ NGHỀ CẦM TAY PHƯƠNG MY</t>
        </is>
      </c>
      <c r="D676" s="3" t="inlineStr">
        <is>
          <t>HCM</t>
        </is>
      </c>
      <c r="E676" s="3" t="inlineStr">
        <is>
          <t>BẢO TRÂM</t>
        </is>
      </c>
      <c r="F676" s="3" t="inlineStr">
        <is>
          <t>Shopee</t>
        </is>
      </c>
      <c r="G676" s="3" t="inlineStr">
        <is>
          <t>MD-80.25</t>
        </is>
      </c>
      <c r="H676" s="4" t="inlineStr">
        <is>
          <t>Thước Cuộn tự hãm MD-80.25</t>
        </is>
      </c>
      <c r="I676" s="3" t="inlineStr">
        <is>
          <t>Cái</t>
        </is>
      </c>
      <c r="J676" s="5" t="n">
        <v>81000</v>
      </c>
      <c r="K676" s="5" t="n">
        <v>96000</v>
      </c>
      <c r="L676" s="6" t="n">
        <v>118000</v>
      </c>
      <c r="M676" s="5" t="n"/>
      <c r="N676" s="5">
        <f>IF(AND(ISNUMBER(M676),ISNUMBER(L676)),M676-L676,"")</f>
        <v/>
      </c>
      <c r="O676" s="7">
        <f>IF(AND(ISNUMBER(M676),ISNUMBER(L676),L676&gt;0),(M676-L676)/L676,"")</f>
        <v/>
      </c>
      <c r="P676" s="3">
        <f>IF(O676="","",IF(O676&lt;-0.02,"🔴 Bán phá giá sàn",IF(O676&gt;0.05,"🔵 Bán cao hơn","🟢 Đúng giá sàn TMĐT")))</f>
        <v/>
      </c>
      <c r="Q676" s="3" t="n"/>
      <c r="R676" s="4" t="n"/>
      <c r="S676" s="4" t="n"/>
    </row>
    <row r="677">
      <c r="A677" s="3" t="n">
        <v>676</v>
      </c>
      <c r="B677" s="3" t="inlineStr">
        <is>
          <t>KH003</t>
        </is>
      </c>
      <c r="C677" s="4" t="inlineStr">
        <is>
          <t>CÔNG TY TNHH ĐỒ NGHỀ CẦM TAY PHƯƠNG MY</t>
        </is>
      </c>
      <c r="D677" s="3" t="inlineStr">
        <is>
          <t>HCM</t>
        </is>
      </c>
      <c r="E677" s="3" t="inlineStr">
        <is>
          <t>BẢO TRÂM</t>
        </is>
      </c>
      <c r="F677" s="3" t="inlineStr">
        <is>
          <t>Shopee</t>
        </is>
      </c>
      <c r="G677" s="3" t="inlineStr">
        <is>
          <t>KTT-25A</t>
        </is>
      </c>
      <c r="H677" s="4" t="inlineStr">
        <is>
          <t>Thước thủy KTT-25A</t>
        </is>
      </c>
      <c r="I677" s="3" t="inlineStr">
        <is>
          <t>Cái</t>
        </is>
      </c>
      <c r="J677" s="5" t="n">
        <v>35000</v>
      </c>
      <c r="K677" s="5" t="n">
        <v>41000</v>
      </c>
      <c r="L677" s="6" t="n">
        <v>51000</v>
      </c>
      <c r="M677" s="5" t="n"/>
      <c r="N677" s="5">
        <f>IF(AND(ISNUMBER(M677),ISNUMBER(L677)),M677-L677,"")</f>
        <v/>
      </c>
      <c r="O677" s="7">
        <f>IF(AND(ISNUMBER(M677),ISNUMBER(L677),L677&gt;0),(M677-L677)/L677,"")</f>
        <v/>
      </c>
      <c r="P677" s="3">
        <f>IF(O677="","",IF(O677&lt;-0.02,"🔴 Bán phá giá sàn",IF(O677&gt;0.05,"🔵 Bán cao hơn","🟢 Đúng giá sàn TMĐT")))</f>
        <v/>
      </c>
      <c r="Q677" s="3" t="n"/>
      <c r="R677" s="4" t="n"/>
      <c r="S677" s="4" t="n"/>
    </row>
    <row r="678">
      <c r="A678" s="3" t="n">
        <v>677</v>
      </c>
      <c r="B678" s="3" t="inlineStr">
        <is>
          <t>KH003</t>
        </is>
      </c>
      <c r="C678" s="4" t="inlineStr">
        <is>
          <t>CÔNG TY TNHH ĐỒ NGHỀ CẦM TAY PHƯƠNG MY</t>
        </is>
      </c>
      <c r="D678" s="3" t="inlineStr">
        <is>
          <t>HCM</t>
        </is>
      </c>
      <c r="E678" s="3" t="inlineStr">
        <is>
          <t>BẢO TRÂM</t>
        </is>
      </c>
      <c r="F678" s="3" t="inlineStr">
        <is>
          <t>Shopee</t>
        </is>
      </c>
      <c r="G678" s="3" t="inlineStr">
        <is>
          <t>KFJ-432</t>
        </is>
      </c>
      <c r="H678" s="4" t="inlineStr">
        <is>
          <t>Vít bê tông không dùng tắc kê KFJ-432</t>
        </is>
      </c>
      <c r="I678" s="3" t="inlineStr">
        <is>
          <t>Hộp</t>
        </is>
      </c>
      <c r="J678" s="5" t="n">
        <v>81000</v>
      </c>
      <c r="K678" s="5" t="n">
        <v>101000</v>
      </c>
      <c r="L678" s="6" t="n">
        <v>130000</v>
      </c>
      <c r="M678" s="5" t="n"/>
      <c r="N678" s="5">
        <f>IF(AND(ISNUMBER(M678),ISNUMBER(L678)),M678-L678,"")</f>
        <v/>
      </c>
      <c r="O678" s="7">
        <f>IF(AND(ISNUMBER(M678),ISNUMBER(L678),L678&gt;0),(M678-L678)/L678,"")</f>
        <v/>
      </c>
      <c r="P678" s="3">
        <f>IF(O678="","",IF(O678&lt;-0.02,"🔴 Bán phá giá sàn",IF(O678&gt;0.05,"🔵 Bán cao hơn","🟢 Đúng giá sàn TMĐT")))</f>
        <v/>
      </c>
      <c r="Q678" s="3" t="n"/>
      <c r="R678" s="4" t="n"/>
      <c r="S678" s="4" t="n"/>
    </row>
    <row r="679">
      <c r="A679" s="3" t="n">
        <v>678</v>
      </c>
      <c r="B679" s="3" t="inlineStr">
        <is>
          <t>KH003</t>
        </is>
      </c>
      <c r="C679" s="4" t="inlineStr">
        <is>
          <t>CÔNG TY TNHH ĐỒ NGHỀ CẦM TAY PHƯƠNG MY</t>
        </is>
      </c>
      <c r="D679" s="3" t="inlineStr">
        <is>
          <t>HCM</t>
        </is>
      </c>
      <c r="E679" s="3" t="inlineStr">
        <is>
          <t>BẢO TRÂM</t>
        </is>
      </c>
      <c r="F679" s="3" t="inlineStr">
        <is>
          <t>Shopee</t>
        </is>
      </c>
      <c r="G679" s="3" t="inlineStr">
        <is>
          <t>KFJ-438</t>
        </is>
      </c>
      <c r="H679" s="4" t="inlineStr">
        <is>
          <t>Vít bê tông không dùng tắc kê KFJ-438</t>
        </is>
      </c>
      <c r="I679" s="3" t="inlineStr">
        <is>
          <t>Hộp</t>
        </is>
      </c>
      <c r="J679" s="5" t="n">
        <v>81000</v>
      </c>
      <c r="K679" s="5" t="n">
        <v>101000</v>
      </c>
      <c r="L679" s="6" t="n">
        <v>130000</v>
      </c>
      <c r="M679" s="5" t="n"/>
      <c r="N679" s="5">
        <f>IF(AND(ISNUMBER(M679),ISNUMBER(L679)),M679-L679,"")</f>
        <v/>
      </c>
      <c r="O679" s="7">
        <f>IF(AND(ISNUMBER(M679),ISNUMBER(L679),L679&gt;0),(M679-L679)/L679,"")</f>
        <v/>
      </c>
      <c r="P679" s="3">
        <f>IF(O679="","",IF(O679&lt;-0.02,"🔴 Bán phá giá sàn",IF(O679&gt;0.05,"🔵 Bán cao hơn","🟢 Đúng giá sàn TMĐT")))</f>
        <v/>
      </c>
      <c r="Q679" s="3" t="n"/>
      <c r="R679" s="4" t="n"/>
      <c r="S679" s="4" t="n"/>
    </row>
    <row r="680">
      <c r="A680" s="3" t="n">
        <v>679</v>
      </c>
      <c r="B680" s="3" t="inlineStr">
        <is>
          <t>KH003</t>
        </is>
      </c>
      <c r="C680" s="4" t="inlineStr">
        <is>
          <t>CÔNG TY TNHH ĐỒ NGHỀ CẦM TAY PHƯƠNG MY</t>
        </is>
      </c>
      <c r="D680" s="3" t="inlineStr">
        <is>
          <t>HCM</t>
        </is>
      </c>
      <c r="E680" s="3" t="inlineStr">
        <is>
          <t>BẢO TRÂM</t>
        </is>
      </c>
      <c r="F680" s="3" t="inlineStr">
        <is>
          <t>Shopee</t>
        </is>
      </c>
      <c r="G680" s="3" t="inlineStr">
        <is>
          <t>KFJ-445</t>
        </is>
      </c>
      <c r="H680" s="4" t="inlineStr">
        <is>
          <t>Vít bê tông không dùng tắc kê KFJ-445</t>
        </is>
      </c>
      <c r="I680" s="3" t="inlineStr">
        <is>
          <t>Hộp</t>
        </is>
      </c>
      <c r="J680" s="5" t="n">
        <v>81000</v>
      </c>
      <c r="K680" s="5" t="n">
        <v>101000</v>
      </c>
      <c r="L680" s="6" t="n">
        <v>130000</v>
      </c>
      <c r="M680" s="5" t="n"/>
      <c r="N680" s="5">
        <f>IF(AND(ISNUMBER(M680),ISNUMBER(L680)),M680-L680,"")</f>
        <v/>
      </c>
      <c r="O680" s="7">
        <f>IF(AND(ISNUMBER(M680),ISNUMBER(L680),L680&gt;0),(M680-L680)/L680,"")</f>
        <v/>
      </c>
      <c r="P680" s="3">
        <f>IF(O680="","",IF(O680&lt;-0.02,"🔴 Bán phá giá sàn",IF(O680&gt;0.05,"🔵 Bán cao hơn","🟢 Đúng giá sàn TMĐT")))</f>
        <v/>
      </c>
      <c r="Q680" s="3" t="n"/>
      <c r="R680" s="4" t="n"/>
      <c r="S680" s="4" t="n"/>
    </row>
    <row r="681">
      <c r="A681" s="3" t="n">
        <v>680</v>
      </c>
      <c r="B681" s="3" t="inlineStr">
        <is>
          <t>KH003</t>
        </is>
      </c>
      <c r="C681" s="4" t="inlineStr">
        <is>
          <t>CÔNG TY TNHH ĐỒ NGHỀ CẦM TAY PHƯƠNG MY</t>
        </is>
      </c>
      <c r="D681" s="3" t="inlineStr">
        <is>
          <t>HCM</t>
        </is>
      </c>
      <c r="E681" s="3" t="inlineStr">
        <is>
          <t>BẢO TRÂM</t>
        </is>
      </c>
      <c r="F681" s="3" t="inlineStr">
        <is>
          <t>Shopee</t>
        </is>
      </c>
      <c r="G681" s="3" t="inlineStr">
        <is>
          <t>KFJ-535</t>
        </is>
      </c>
      <c r="H681" s="4" t="inlineStr">
        <is>
          <t>Vít bê tông không dùng tắc kê KFJ-535</t>
        </is>
      </c>
      <c r="I681" s="3" t="inlineStr">
        <is>
          <t>Hộp</t>
        </is>
      </c>
      <c r="J681" s="5" t="n">
        <v>81000</v>
      </c>
      <c r="K681" s="5" t="n">
        <v>101000</v>
      </c>
      <c r="L681" s="6" t="n">
        <v>130000</v>
      </c>
      <c r="M681" s="5" t="n"/>
      <c r="N681" s="5">
        <f>IF(AND(ISNUMBER(M681),ISNUMBER(L681)),M681-L681,"")</f>
        <v/>
      </c>
      <c r="O681" s="7">
        <f>IF(AND(ISNUMBER(M681),ISNUMBER(L681),L681&gt;0),(M681-L681)/L681,"")</f>
        <v/>
      </c>
      <c r="P681" s="3">
        <f>IF(O681="","",IF(O681&lt;-0.02,"🔴 Bán phá giá sàn",IF(O681&gt;0.05,"🔵 Bán cao hơn","🟢 Đúng giá sàn TMĐT")))</f>
        <v/>
      </c>
      <c r="Q681" s="3" t="n"/>
      <c r="R681" s="4" t="n"/>
      <c r="S681" s="4" t="n"/>
    </row>
    <row r="682">
      <c r="A682" s="3" t="n">
        <v>681</v>
      </c>
      <c r="B682" s="3" t="inlineStr">
        <is>
          <t>KH003</t>
        </is>
      </c>
      <c r="C682" s="4" t="inlineStr">
        <is>
          <t>CÔNG TY TNHH ĐỒ NGHỀ CẦM TAY PHƯƠNG MY</t>
        </is>
      </c>
      <c r="D682" s="3" t="inlineStr">
        <is>
          <t>HCM</t>
        </is>
      </c>
      <c r="E682" s="3" t="inlineStr">
        <is>
          <t>BẢO TRÂM</t>
        </is>
      </c>
      <c r="F682" s="3" t="inlineStr">
        <is>
          <t>Shopee</t>
        </is>
      </c>
      <c r="G682" s="3" t="inlineStr">
        <is>
          <t>KFJ-545</t>
        </is>
      </c>
      <c r="H682" s="4" t="inlineStr">
        <is>
          <t>Vít bê tông không dùng tắc kê KFJ-545</t>
        </is>
      </c>
      <c r="I682" s="3" t="inlineStr">
        <is>
          <t>Hộp</t>
        </is>
      </c>
      <c r="J682" s="5" t="n">
        <v>81000</v>
      </c>
      <c r="K682" s="5" t="n">
        <v>101000</v>
      </c>
      <c r="L682" s="6" t="n">
        <v>130000</v>
      </c>
      <c r="M682" s="5" t="n"/>
      <c r="N682" s="5">
        <f>IF(AND(ISNUMBER(M682),ISNUMBER(L682)),M682-L682,"")</f>
        <v/>
      </c>
      <c r="O682" s="7">
        <f>IF(AND(ISNUMBER(M682),ISNUMBER(L682),L682&gt;0),(M682-L682)/L682,"")</f>
        <v/>
      </c>
      <c r="P682" s="3">
        <f>IF(O682="","",IF(O682&lt;-0.02,"🔴 Bán phá giá sàn",IF(O682&gt;0.05,"🔵 Bán cao hơn","🟢 Đúng giá sàn TMĐT")))</f>
        <v/>
      </c>
      <c r="Q682" s="3" t="n"/>
      <c r="R682" s="4" t="n"/>
      <c r="S682" s="4" t="n"/>
    </row>
    <row r="683">
      <c r="A683" s="3" t="n">
        <v>682</v>
      </c>
      <c r="B683" s="3" t="inlineStr">
        <is>
          <t>KH003</t>
        </is>
      </c>
      <c r="C683" s="4" t="inlineStr">
        <is>
          <t>CÔNG TY TNHH ĐỒ NGHỀ CẦM TAY PHƯƠNG MY</t>
        </is>
      </c>
      <c r="D683" s="3" t="inlineStr">
        <is>
          <t>HCM</t>
        </is>
      </c>
      <c r="E683" s="3" t="inlineStr">
        <is>
          <t>BẢO TRÂM</t>
        </is>
      </c>
      <c r="F683" s="3" t="inlineStr">
        <is>
          <t>Shopee</t>
        </is>
      </c>
      <c r="G683" s="3" t="inlineStr">
        <is>
          <t>KB4x100S</t>
        </is>
      </c>
      <c r="H683" s="4" t="inlineStr">
        <is>
          <t>Vít KingBlue KB4x100S</t>
        </is>
      </c>
      <c r="I683" s="3" t="inlineStr">
        <is>
          <t>Cái</t>
        </is>
      </c>
      <c r="J683" s="5" t="n">
        <v>15000</v>
      </c>
      <c r="K683" s="5" t="n">
        <v>19000</v>
      </c>
      <c r="L683" s="6" t="n">
        <v>25000</v>
      </c>
      <c r="M683" s="5" t="n"/>
      <c r="N683" s="5">
        <f>IF(AND(ISNUMBER(M683),ISNUMBER(L683)),M683-L683,"")</f>
        <v/>
      </c>
      <c r="O683" s="7">
        <f>IF(AND(ISNUMBER(M683),ISNUMBER(L683),L683&gt;0),(M683-L683)/L683,"")</f>
        <v/>
      </c>
      <c r="P683" s="3">
        <f>IF(O683="","",IF(O683&lt;-0.02,"🔴 Bán phá giá sàn",IF(O683&gt;0.05,"🔵 Bán cao hơn","🟢 Đúng giá sàn TMĐT")))</f>
        <v/>
      </c>
      <c r="Q683" s="3" t="n"/>
      <c r="R683" s="4" t="n"/>
      <c r="S683" s="4" t="n"/>
    </row>
    <row r="684">
      <c r="A684" s="3" t="n">
        <v>683</v>
      </c>
      <c r="B684" s="3" t="inlineStr">
        <is>
          <t>KH003</t>
        </is>
      </c>
      <c r="C684" s="4" t="inlineStr">
        <is>
          <t>CÔNG TY TNHH ĐỒ NGHỀ CẦM TAY PHƯƠNG MY</t>
        </is>
      </c>
      <c r="D684" s="3" t="inlineStr">
        <is>
          <t>HCM</t>
        </is>
      </c>
      <c r="E684" s="3" t="inlineStr">
        <is>
          <t>BẢO TRÂM</t>
        </is>
      </c>
      <c r="F684" s="3" t="inlineStr">
        <is>
          <t>Shopee</t>
        </is>
      </c>
      <c r="G684" s="3" t="inlineStr">
        <is>
          <t>KB4x65S</t>
        </is>
      </c>
      <c r="H684" s="4" t="inlineStr">
        <is>
          <t>Vít KingBlue KB4x65S</t>
        </is>
      </c>
      <c r="I684" s="3" t="inlineStr">
        <is>
          <t>Cái</t>
        </is>
      </c>
      <c r="J684" s="5" t="n">
        <v>11000</v>
      </c>
      <c r="K684" s="5" t="n">
        <v>14000</v>
      </c>
      <c r="L684" s="6" t="n">
        <v>18000</v>
      </c>
      <c r="M684" s="5" t="n"/>
      <c r="N684" s="5">
        <f>IF(AND(ISNUMBER(M684),ISNUMBER(L684)),M684-L684,"")</f>
        <v/>
      </c>
      <c r="O684" s="7">
        <f>IF(AND(ISNUMBER(M684),ISNUMBER(L684),L684&gt;0),(M684-L684)/L684,"")</f>
        <v/>
      </c>
      <c r="P684" s="3">
        <f>IF(O684="","",IF(O684&lt;-0.02,"🔴 Bán phá giá sàn",IF(O684&gt;0.05,"🔵 Bán cao hơn","🟢 Đúng giá sàn TMĐT")))</f>
        <v/>
      </c>
      <c r="Q684" s="3" t="n"/>
      <c r="R684" s="4" t="n"/>
      <c r="S684" s="4" t="n"/>
    </row>
    <row r="685">
      <c r="A685" s="3" t="n">
        <v>684</v>
      </c>
      <c r="B685" s="3" t="inlineStr">
        <is>
          <t>KH004</t>
        </is>
      </c>
      <c r="C685" s="4" t="inlineStr">
        <is>
          <t>HCM-BIGSHOP</t>
        </is>
      </c>
      <c r="D685" s="3" t="inlineStr">
        <is>
          <t>HCM</t>
        </is>
      </c>
      <c r="E685" s="3" t="inlineStr">
        <is>
          <t>XUÂN TRANG</t>
        </is>
      </c>
      <c r="F685" s="3" t="inlineStr">
        <is>
          <t>Website bán hàng</t>
        </is>
      </c>
      <c r="G685" s="3" t="inlineStr">
        <is>
          <t>CGS-2400</t>
        </is>
      </c>
      <c r="H685" s="4" t="inlineStr">
        <is>
          <t>Bàn cắt gạch cao cấp CGS-2400</t>
        </is>
      </c>
      <c r="I685" s="3" t="inlineStr">
        <is>
          <t>Cái</t>
        </is>
      </c>
      <c r="J685" s="5" t="n">
        <v>269000</v>
      </c>
      <c r="K685" s="5" t="n">
        <v>317000</v>
      </c>
      <c r="L685" s="6" t="n">
        <v>390000</v>
      </c>
      <c r="M685" s="5" t="n"/>
      <c r="N685" s="5">
        <f>IF(AND(ISNUMBER(M685),ISNUMBER(L685)),M685-L685,"")</f>
        <v/>
      </c>
      <c r="O685" s="7">
        <f>IF(AND(ISNUMBER(M685),ISNUMBER(L685),L685&gt;0),(M685-L685)/L685,"")</f>
        <v/>
      </c>
      <c r="P685" s="3">
        <f>IF(O685="","",IF(O685&lt;-0.02,"🔴 Bán phá giá sàn",IF(O685&gt;0.05,"🔵 Bán cao hơn","🟢 Đúng giá sàn TMĐT")))</f>
        <v/>
      </c>
      <c r="Q685" s="3" t="n"/>
      <c r="R685" s="4" t="n"/>
      <c r="S685" s="4" t="n"/>
    </row>
    <row r="686">
      <c r="A686" s="3" t="n">
        <v>685</v>
      </c>
      <c r="B686" s="3" t="inlineStr">
        <is>
          <t>KH004</t>
        </is>
      </c>
      <c r="C686" s="4" t="inlineStr">
        <is>
          <t>HCM-BIGSHOP</t>
        </is>
      </c>
      <c r="D686" s="3" t="inlineStr">
        <is>
          <t>HCM</t>
        </is>
      </c>
      <c r="E686" s="3" t="inlineStr">
        <is>
          <t>XUÂN TRANG</t>
        </is>
      </c>
      <c r="F686" s="3" t="inlineStr">
        <is>
          <t>Website bán hàng</t>
        </is>
      </c>
      <c r="G686" s="3" t="inlineStr">
        <is>
          <t>KH1-B10</t>
        </is>
      </c>
      <c r="H686" s="4" t="inlineStr">
        <is>
          <t>Bộ cờ lê KH1-B10</t>
        </is>
      </c>
      <c r="I686" s="3" t="inlineStr">
        <is>
          <t>Bộ</t>
        </is>
      </c>
      <c r="J686" s="5" t="n">
        <v>435000</v>
      </c>
      <c r="K686" s="5" t="n">
        <v>513000</v>
      </c>
      <c r="L686" s="6" t="n">
        <v>631000</v>
      </c>
      <c r="M686" s="5" t="n"/>
      <c r="N686" s="5">
        <f>IF(AND(ISNUMBER(M686),ISNUMBER(L686)),M686-L686,"")</f>
        <v/>
      </c>
      <c r="O686" s="7">
        <f>IF(AND(ISNUMBER(M686),ISNUMBER(L686),L686&gt;0),(M686-L686)/L686,"")</f>
        <v/>
      </c>
      <c r="P686" s="3">
        <f>IF(O686="","",IF(O686&lt;-0.02,"🔴 Bán phá giá sàn",IF(O686&gt;0.05,"🔵 Bán cao hơn","🟢 Đúng giá sàn TMĐT")))</f>
        <v/>
      </c>
      <c r="Q686" s="3" t="n"/>
      <c r="R686" s="4" t="n"/>
      <c r="S686" s="4" t="n"/>
    </row>
    <row r="687">
      <c r="A687" s="3" t="n">
        <v>686</v>
      </c>
      <c r="B687" s="3" t="inlineStr">
        <is>
          <t>KH004</t>
        </is>
      </c>
      <c r="C687" s="4" t="inlineStr">
        <is>
          <t>HCM-BIGSHOP</t>
        </is>
      </c>
      <c r="D687" s="3" t="inlineStr">
        <is>
          <t>HCM</t>
        </is>
      </c>
      <c r="E687" s="3" t="inlineStr">
        <is>
          <t>XUÂN TRANG</t>
        </is>
      </c>
      <c r="F687" s="3" t="inlineStr">
        <is>
          <t>Website bán hàng</t>
        </is>
      </c>
      <c r="G687" s="3" t="inlineStr">
        <is>
          <t>KB16VB2</t>
        </is>
      </c>
      <c r="H687" s="4" t="inlineStr">
        <is>
          <t>Bộ Máy Bắn Vít 16V KB16VB2</t>
        </is>
      </c>
      <c r="I687" s="3" t="inlineStr">
        <is>
          <t>Bộ</t>
        </is>
      </c>
      <c r="J687" s="5" t="n">
        <v>1870000</v>
      </c>
      <c r="K687" s="5" t="n">
        <v>2060000</v>
      </c>
      <c r="L687" s="6" t="n">
        <v>2340000</v>
      </c>
      <c r="M687" s="5" t="n"/>
      <c r="N687" s="5">
        <f>IF(AND(ISNUMBER(M687),ISNUMBER(L687)),M687-L687,"")</f>
        <v/>
      </c>
      <c r="O687" s="7">
        <f>IF(AND(ISNUMBER(M687),ISNUMBER(L687),L687&gt;0),(M687-L687)/L687,"")</f>
        <v/>
      </c>
      <c r="P687" s="3">
        <f>IF(O687="","",IF(O687&lt;-0.02,"🔴 Bán phá giá sàn",IF(O687&gt;0.05,"🔵 Bán cao hơn","🟢 Đúng giá sàn TMĐT")))</f>
        <v/>
      </c>
      <c r="Q687" s="3" t="n"/>
      <c r="R687" s="4" t="n"/>
      <c r="S687" s="4" t="n"/>
    </row>
    <row r="688">
      <c r="A688" s="3" t="n">
        <v>687</v>
      </c>
      <c r="B688" s="3" t="inlineStr">
        <is>
          <t>KH004</t>
        </is>
      </c>
      <c r="C688" s="4" t="inlineStr">
        <is>
          <t>HCM-BIGSHOP</t>
        </is>
      </c>
      <c r="D688" s="3" t="inlineStr">
        <is>
          <t>HCM</t>
        </is>
      </c>
      <c r="E688" s="3" t="inlineStr">
        <is>
          <t>XUÂN TRANG</t>
        </is>
      </c>
      <c r="F688" s="3" t="inlineStr">
        <is>
          <t>Website bán hàng</t>
        </is>
      </c>
      <c r="G688" s="3" t="inlineStr">
        <is>
          <t>KLJ015</t>
        </is>
      </c>
      <c r="H688" s="4" t="inlineStr">
        <is>
          <t>Bộ mũi khoan King Blue KLJ015</t>
        </is>
      </c>
      <c r="I688" s="3" t="inlineStr">
        <is>
          <t>Cái</t>
        </is>
      </c>
      <c r="J688" s="5" t="n">
        <v>269000</v>
      </c>
      <c r="K688" s="5" t="n">
        <v>317000</v>
      </c>
      <c r="L688" s="6" t="n">
        <v>390000</v>
      </c>
      <c r="M688" s="5" t="n"/>
      <c r="N688" s="5">
        <f>IF(AND(ISNUMBER(M688),ISNUMBER(L688)),M688-L688,"")</f>
        <v/>
      </c>
      <c r="O688" s="7">
        <f>IF(AND(ISNUMBER(M688),ISNUMBER(L688),L688&gt;0),(M688-L688)/L688,"")</f>
        <v/>
      </c>
      <c r="P688" s="3">
        <f>IF(O688="","",IF(O688&lt;-0.02,"🔴 Bán phá giá sàn",IF(O688&gt;0.05,"🔵 Bán cao hơn","🟢 Đúng giá sàn TMĐT")))</f>
        <v/>
      </c>
      <c r="Q688" s="3" t="n"/>
      <c r="R688" s="4" t="n"/>
      <c r="S688" s="4" t="n"/>
    </row>
    <row r="689">
      <c r="A689" s="3" t="n">
        <v>688</v>
      </c>
      <c r="B689" s="3" t="inlineStr">
        <is>
          <t>KH004</t>
        </is>
      </c>
      <c r="C689" s="4" t="inlineStr">
        <is>
          <t>HCM-BIGSHOP</t>
        </is>
      </c>
      <c r="D689" s="3" t="inlineStr">
        <is>
          <t>HCM</t>
        </is>
      </c>
      <c r="E689" s="3" t="inlineStr">
        <is>
          <t>XUÂN TRANG</t>
        </is>
      </c>
      <c r="F689" s="3" t="inlineStr">
        <is>
          <t>Website bán hàng</t>
        </is>
      </c>
      <c r="G689" s="3" t="inlineStr">
        <is>
          <t>KHF015</t>
        </is>
      </c>
      <c r="H689" s="4" t="inlineStr">
        <is>
          <t>Bộ mũi khoan King Blue KHF015</t>
        </is>
      </c>
      <c r="I689" s="3" t="inlineStr">
        <is>
          <t>Cái</t>
        </is>
      </c>
      <c r="J689" s="5" t="n">
        <v>269000</v>
      </c>
      <c r="K689" s="5" t="n">
        <v>317000</v>
      </c>
      <c r="L689" s="6" t="n">
        <v>390000</v>
      </c>
      <c r="M689" s="5" t="n"/>
      <c r="N689" s="5">
        <f>IF(AND(ISNUMBER(M689),ISNUMBER(L689)),M689-L689,"")</f>
        <v/>
      </c>
      <c r="O689" s="7">
        <f>IF(AND(ISNUMBER(M689),ISNUMBER(L689),L689&gt;0),(M689-L689)/L689,"")</f>
        <v/>
      </c>
      <c r="P689" s="3">
        <f>IF(O689="","",IF(O689&lt;-0.02,"🔴 Bán phá giá sàn",IF(O689&gt;0.05,"🔵 Bán cao hơn","🟢 Đúng giá sàn TMĐT")))</f>
        <v/>
      </c>
      <c r="Q689" s="3" t="n"/>
      <c r="R689" s="4" t="n"/>
      <c r="S689" s="4" t="n"/>
    </row>
    <row r="690">
      <c r="A690" s="3" t="n">
        <v>689</v>
      </c>
      <c r="B690" s="3" t="inlineStr">
        <is>
          <t>KH004</t>
        </is>
      </c>
      <c r="C690" s="4" t="inlineStr">
        <is>
          <t>HCM-BIGSHOP</t>
        </is>
      </c>
      <c r="D690" s="3" t="inlineStr">
        <is>
          <t>HCM</t>
        </is>
      </c>
      <c r="E690" s="3" t="inlineStr">
        <is>
          <t>XUÂN TRANG</t>
        </is>
      </c>
      <c r="F690" s="3" t="inlineStr">
        <is>
          <t>Website bán hàng</t>
        </is>
      </c>
      <c r="G690" s="3" t="inlineStr">
        <is>
          <t>KB-E5701</t>
        </is>
      </c>
      <c r="H690" s="4" t="inlineStr">
        <is>
          <t>Bộ tua vít điện KingBlue KB-E5701</t>
        </is>
      </c>
      <c r="I690" s="3" t="inlineStr">
        <is>
          <t>Cái</t>
        </is>
      </c>
      <c r="J690" s="5" t="n">
        <v>968000</v>
      </c>
      <c r="K690" s="5" t="n">
        <v>1104000</v>
      </c>
      <c r="L690" s="6" t="n">
        <v>1307000</v>
      </c>
      <c r="M690" s="5" t="n"/>
      <c r="N690" s="5">
        <f>IF(AND(ISNUMBER(M690),ISNUMBER(L690)),M690-L690,"")</f>
        <v/>
      </c>
      <c r="O690" s="7">
        <f>IF(AND(ISNUMBER(M690),ISNUMBER(L690),L690&gt;0),(M690-L690)/L690,"")</f>
        <v/>
      </c>
      <c r="P690" s="3">
        <f>IF(O690="","",IF(O690&lt;-0.02,"🔴 Bán phá giá sàn",IF(O690&gt;0.05,"🔵 Bán cao hơn","🟢 Đúng giá sàn TMĐT")))</f>
        <v/>
      </c>
      <c r="Q690" s="3" t="n"/>
      <c r="R690" s="4" t="n"/>
      <c r="S690" s="4" t="n"/>
    </row>
    <row r="691">
      <c r="A691" s="3" t="n">
        <v>690</v>
      </c>
      <c r="B691" s="3" t="inlineStr">
        <is>
          <t>KH004</t>
        </is>
      </c>
      <c r="C691" s="4" t="inlineStr">
        <is>
          <t>HCM-BIGSHOP</t>
        </is>
      </c>
      <c r="D691" s="3" t="inlineStr">
        <is>
          <t>HCM</t>
        </is>
      </c>
      <c r="E691" s="3" t="inlineStr">
        <is>
          <t>XUÂN TRANG</t>
        </is>
      </c>
      <c r="F691" s="3" t="inlineStr">
        <is>
          <t>Website bán hàng</t>
        </is>
      </c>
      <c r="G691" s="3" t="inlineStr">
        <is>
          <t>KV10-13</t>
        </is>
      </c>
      <c r="H691" s="4" t="inlineStr">
        <is>
          <t>Bộ tuvit đóng KV10-13</t>
        </is>
      </c>
      <c r="I691" s="3" t="inlineStr">
        <is>
          <t>Cái</t>
        </is>
      </c>
      <c r="J691" s="5" t="n">
        <v>269000</v>
      </c>
      <c r="K691" s="5" t="n">
        <v>317000</v>
      </c>
      <c r="L691" s="6" t="n">
        <v>390000</v>
      </c>
      <c r="M691" s="5" t="n"/>
      <c r="N691" s="5">
        <f>IF(AND(ISNUMBER(M691),ISNUMBER(L691)),M691-L691,"")</f>
        <v/>
      </c>
      <c r="O691" s="7">
        <f>IF(AND(ISNUMBER(M691),ISNUMBER(L691),L691&gt;0),(M691-L691)/L691,"")</f>
        <v/>
      </c>
      <c r="P691" s="3">
        <f>IF(O691="","",IF(O691&lt;-0.02,"🔴 Bán phá giá sàn",IF(O691&gt;0.05,"🔵 Bán cao hơn","🟢 Đúng giá sàn TMĐT")))</f>
        <v/>
      </c>
      <c r="Q691" s="3" t="n"/>
      <c r="R691" s="4" t="n"/>
      <c r="S691" s="4" t="n"/>
    </row>
    <row r="692">
      <c r="A692" s="3" t="n">
        <v>691</v>
      </c>
      <c r="B692" s="3" t="inlineStr">
        <is>
          <t>KH004</t>
        </is>
      </c>
      <c r="C692" s="4" t="inlineStr">
        <is>
          <t>HCM-BIGSHOP</t>
        </is>
      </c>
      <c r="D692" s="3" t="inlineStr">
        <is>
          <t>HCM</t>
        </is>
      </c>
      <c r="E692" s="3" t="inlineStr">
        <is>
          <t>XUÂN TRANG</t>
        </is>
      </c>
      <c r="F692" s="3" t="inlineStr">
        <is>
          <t>Website bán hàng</t>
        </is>
      </c>
      <c r="G692" s="3" t="inlineStr">
        <is>
          <t>KLG-12S</t>
        </is>
      </c>
      <c r="H692" s="4" t="inlineStr">
        <is>
          <t>Bộ tuýp cần tự động 12 chi tiết KLG-12S</t>
        </is>
      </c>
      <c r="I692" s="3" t="inlineStr">
        <is>
          <t>Cái</t>
        </is>
      </c>
      <c r="J692" s="5" t="n">
        <v>269000</v>
      </c>
      <c r="K692" s="5" t="n">
        <v>317000</v>
      </c>
      <c r="L692" s="6" t="n">
        <v>390000</v>
      </c>
      <c r="M692" s="5" t="n"/>
      <c r="N692" s="5">
        <f>IF(AND(ISNUMBER(M692),ISNUMBER(L692)),M692-L692,"")</f>
        <v/>
      </c>
      <c r="O692" s="7">
        <f>IF(AND(ISNUMBER(M692),ISNUMBER(L692),L692&gt;0),(M692-L692)/L692,"")</f>
        <v/>
      </c>
      <c r="P692" s="3">
        <f>IF(O692="","",IF(O692&lt;-0.02,"🔴 Bán phá giá sàn",IF(O692&gt;0.05,"🔵 Bán cao hơn","🟢 Đúng giá sàn TMĐT")))</f>
        <v/>
      </c>
      <c r="Q692" s="3" t="n"/>
      <c r="R692" s="4" t="n"/>
      <c r="S692" s="4" t="n"/>
    </row>
    <row r="693">
      <c r="A693" s="3" t="n">
        <v>692</v>
      </c>
      <c r="B693" s="3" t="inlineStr">
        <is>
          <t>KH004</t>
        </is>
      </c>
      <c r="C693" s="4" t="inlineStr">
        <is>
          <t>HCM-BIGSHOP</t>
        </is>
      </c>
      <c r="D693" s="3" t="inlineStr">
        <is>
          <t>HCM</t>
        </is>
      </c>
      <c r="E693" s="3" t="inlineStr">
        <is>
          <t>XUÂN TRANG</t>
        </is>
      </c>
      <c r="F693" s="3" t="inlineStr">
        <is>
          <t>Website bán hàng</t>
        </is>
      </c>
      <c r="G693" s="3" t="inlineStr">
        <is>
          <t>KLG-24</t>
        </is>
      </c>
      <c r="H693" s="4" t="inlineStr">
        <is>
          <t>Bộ tuýp cần tự động 24 chi tiết KLG-24</t>
        </is>
      </c>
      <c r="I693" s="3" t="inlineStr">
        <is>
          <t>Cái</t>
        </is>
      </c>
      <c r="J693" s="5" t="n">
        <v>269000</v>
      </c>
      <c r="K693" s="5" t="n">
        <v>317000</v>
      </c>
      <c r="L693" s="6" t="n">
        <v>390000</v>
      </c>
      <c r="M693" s="5" t="n"/>
      <c r="N693" s="5">
        <f>IF(AND(ISNUMBER(M693),ISNUMBER(L693)),M693-L693,"")</f>
        <v/>
      </c>
      <c r="O693" s="7">
        <f>IF(AND(ISNUMBER(M693),ISNUMBER(L693),L693&gt;0),(M693-L693)/L693,"")</f>
        <v/>
      </c>
      <c r="P693" s="3">
        <f>IF(O693="","",IF(O693&lt;-0.02,"🔴 Bán phá giá sàn",IF(O693&gt;0.05,"🔵 Bán cao hơn","🟢 Đúng giá sàn TMĐT")))</f>
        <v/>
      </c>
      <c r="Q693" s="3" t="n"/>
      <c r="R693" s="4" t="n"/>
      <c r="S693" s="4" t="n"/>
    </row>
    <row r="694">
      <c r="A694" s="3" t="n">
        <v>693</v>
      </c>
      <c r="B694" s="3" t="inlineStr">
        <is>
          <t>KH004</t>
        </is>
      </c>
      <c r="C694" s="4" t="inlineStr">
        <is>
          <t>HCM-BIGSHOP</t>
        </is>
      </c>
      <c r="D694" s="3" t="inlineStr">
        <is>
          <t>HCM</t>
        </is>
      </c>
      <c r="E694" s="3" t="inlineStr">
        <is>
          <t>XUÂN TRANG</t>
        </is>
      </c>
      <c r="F694" s="3" t="inlineStr">
        <is>
          <t>Website bán hàng</t>
        </is>
      </c>
      <c r="G694" s="3" t="inlineStr">
        <is>
          <t>KB-ST18</t>
        </is>
      </c>
      <c r="H694" s="4" t="inlineStr">
        <is>
          <t>Công cụ đóng đinh bán tự động KB-ST18</t>
        </is>
      </c>
      <c r="I694" s="3" t="inlineStr">
        <is>
          <t>Cái</t>
        </is>
      </c>
      <c r="J694" s="5" t="n">
        <v>242000</v>
      </c>
      <c r="K694" s="5" t="n">
        <v>286000</v>
      </c>
      <c r="L694" s="6" t="n">
        <v>351000</v>
      </c>
      <c r="M694" s="5" t="n"/>
      <c r="N694" s="5">
        <f>IF(AND(ISNUMBER(M694),ISNUMBER(L694)),M694-L694,"")</f>
        <v/>
      </c>
      <c r="O694" s="7">
        <f>IF(AND(ISNUMBER(M694),ISNUMBER(L694),L694&gt;0),(M694-L694)/L694,"")</f>
        <v/>
      </c>
      <c r="P694" s="3">
        <f>IF(O694="","",IF(O694&lt;-0.02,"🔴 Bán phá giá sàn",IF(O694&gt;0.05,"🔵 Bán cao hơn","🟢 Đúng giá sàn TMĐT")))</f>
        <v/>
      </c>
      <c r="Q694" s="3" t="n"/>
      <c r="R694" s="4" t="n"/>
      <c r="S694" s="4" t="n"/>
    </row>
    <row r="695">
      <c r="A695" s="3" t="n">
        <v>694</v>
      </c>
      <c r="B695" s="3" t="inlineStr">
        <is>
          <t>KH004</t>
        </is>
      </c>
      <c r="C695" s="4" t="inlineStr">
        <is>
          <t>HCM-BIGSHOP</t>
        </is>
      </c>
      <c r="D695" s="3" t="inlineStr">
        <is>
          <t>HCM</t>
        </is>
      </c>
      <c r="E695" s="3" t="inlineStr">
        <is>
          <t>XUÂN TRANG</t>
        </is>
      </c>
      <c r="F695" s="3" t="inlineStr">
        <is>
          <t>Website bán hàng</t>
        </is>
      </c>
      <c r="G695" s="3" t="inlineStr">
        <is>
          <t>KB-05X</t>
        </is>
      </c>
      <c r="H695" s="4" t="inlineStr">
        <is>
          <t>Chân máy laser KB-05X</t>
        </is>
      </c>
      <c r="I695" s="3" t="inlineStr">
        <is>
          <t>Cái</t>
        </is>
      </c>
      <c r="J695" s="5" t="n">
        <v>1350000</v>
      </c>
      <c r="K695" s="5" t="n">
        <v>1510000</v>
      </c>
      <c r="L695" s="6" t="n">
        <v>1760000</v>
      </c>
      <c r="M695" s="5" t="n"/>
      <c r="N695" s="5">
        <f>IF(AND(ISNUMBER(M695),ISNUMBER(L695)),M695-L695,"")</f>
        <v/>
      </c>
      <c r="O695" s="7">
        <f>IF(AND(ISNUMBER(M695),ISNUMBER(L695),L695&gt;0),(M695-L695)/L695,"")</f>
        <v/>
      </c>
      <c r="P695" s="3">
        <f>IF(O695="","",IF(O695&lt;-0.02,"🔴 Bán phá giá sàn",IF(O695&gt;0.05,"🔵 Bán cao hơn","🟢 Đúng giá sàn TMĐT")))</f>
        <v/>
      </c>
      <c r="Q695" s="3" t="n"/>
      <c r="R695" s="4" t="n"/>
      <c r="S695" s="4" t="n"/>
    </row>
    <row r="696">
      <c r="A696" s="3" t="n">
        <v>695</v>
      </c>
      <c r="B696" s="3" t="inlineStr">
        <is>
          <t>KH004</t>
        </is>
      </c>
      <c r="C696" s="4" t="inlineStr">
        <is>
          <t>HCM-BIGSHOP</t>
        </is>
      </c>
      <c r="D696" s="3" t="inlineStr">
        <is>
          <t>HCM</t>
        </is>
      </c>
      <c r="E696" s="3" t="inlineStr">
        <is>
          <t>XUÂN TRANG</t>
        </is>
      </c>
      <c r="F696" s="3" t="inlineStr">
        <is>
          <t>Website bán hàng</t>
        </is>
      </c>
      <c r="G696" s="3" t="inlineStr">
        <is>
          <t>SDST-M22</t>
        </is>
      </c>
      <c r="H696" s="4" t="inlineStr">
        <is>
          <t>Chuôi khoan rút lõi gài SDST-M22</t>
        </is>
      </c>
      <c r="I696" s="3" t="inlineStr">
        <is>
          <t>Cái</t>
        </is>
      </c>
      <c r="J696" s="5" t="n">
        <v>24000</v>
      </c>
      <c r="K696" s="5" t="n">
        <v>30000</v>
      </c>
      <c r="L696" s="6" t="n">
        <v>38000</v>
      </c>
      <c r="M696" s="5" t="n"/>
      <c r="N696" s="5">
        <f>IF(AND(ISNUMBER(M696),ISNUMBER(L696)),M696-L696,"")</f>
        <v/>
      </c>
      <c r="O696" s="7">
        <f>IF(AND(ISNUMBER(M696),ISNUMBER(L696),L696&gt;0),(M696-L696)/L696,"")</f>
        <v/>
      </c>
      <c r="P696" s="3">
        <f>IF(O696="","",IF(O696&lt;-0.02,"🔴 Bán phá giá sàn",IF(O696&gt;0.05,"🔵 Bán cao hơn","🟢 Đúng giá sàn TMĐT")))</f>
        <v/>
      </c>
      <c r="Q696" s="3" t="n"/>
      <c r="R696" s="4" t="n"/>
      <c r="S696" s="4" t="n"/>
    </row>
    <row r="697">
      <c r="A697" s="3" t="n">
        <v>696</v>
      </c>
      <c r="B697" s="3" t="inlineStr">
        <is>
          <t>KH004</t>
        </is>
      </c>
      <c r="C697" s="4" t="inlineStr">
        <is>
          <t>HCM-BIGSHOP</t>
        </is>
      </c>
      <c r="D697" s="3" t="inlineStr">
        <is>
          <t>HCM</t>
        </is>
      </c>
      <c r="E697" s="3" t="inlineStr">
        <is>
          <t>XUÂN TRANG</t>
        </is>
      </c>
      <c r="F697" s="3" t="inlineStr">
        <is>
          <t>Website bán hàng</t>
        </is>
      </c>
      <c r="G697" s="3" t="inlineStr">
        <is>
          <t>DLG-M22</t>
        </is>
      </c>
      <c r="H697" s="4" t="inlineStr">
        <is>
          <t>Chuôi khoan rút lõi lục giác DLG-M22</t>
        </is>
      </c>
      <c r="I697" s="3" t="inlineStr">
        <is>
          <t>Cái</t>
        </is>
      </c>
      <c r="J697" s="5" t="n">
        <v>24000</v>
      </c>
      <c r="K697" s="5" t="n">
        <v>30000</v>
      </c>
      <c r="L697" s="6" t="n">
        <v>38000</v>
      </c>
      <c r="M697" s="5" t="n"/>
      <c r="N697" s="5">
        <f>IF(AND(ISNUMBER(M697),ISNUMBER(L697)),M697-L697,"")</f>
        <v/>
      </c>
      <c r="O697" s="7">
        <f>IF(AND(ISNUMBER(M697),ISNUMBER(L697),L697&gt;0),(M697-L697)/L697,"")</f>
        <v/>
      </c>
      <c r="P697" s="3">
        <f>IF(O697="","",IF(O697&lt;-0.02,"🔴 Bán phá giá sàn",IF(O697&gt;0.05,"🔵 Bán cao hơn","🟢 Đúng giá sàn TMĐT")))</f>
        <v/>
      </c>
      <c r="Q697" s="3" t="n"/>
      <c r="R697" s="4" t="n"/>
      <c r="S697" s="4" t="n"/>
    </row>
    <row r="698">
      <c r="A698" s="3" t="n">
        <v>697</v>
      </c>
      <c r="B698" s="3" t="inlineStr">
        <is>
          <t>KH004</t>
        </is>
      </c>
      <c r="C698" s="4" t="inlineStr">
        <is>
          <t>HCM-BIGSHOP</t>
        </is>
      </c>
      <c r="D698" s="3" t="inlineStr">
        <is>
          <t>HCM</t>
        </is>
      </c>
      <c r="E698" s="3" t="inlineStr">
        <is>
          <t>XUÂN TRANG</t>
        </is>
      </c>
      <c r="F698" s="3" t="inlineStr">
        <is>
          <t>Website bán hàng</t>
        </is>
      </c>
      <c r="G698" s="3" t="inlineStr">
        <is>
          <t>K54M</t>
        </is>
      </c>
      <c r="H698" s="4" t="inlineStr">
        <is>
          <t>Dụng cụ khò gas mini K54M</t>
        </is>
      </c>
      <c r="I698" s="3" t="inlineStr">
        <is>
          <t>Cái</t>
        </is>
      </c>
      <c r="J698" s="5" t="n">
        <v>209000</v>
      </c>
      <c r="K698" s="5" t="n">
        <v>247000</v>
      </c>
      <c r="L698" s="6" t="n">
        <v>303000</v>
      </c>
      <c r="M698" s="5" t="n"/>
      <c r="N698" s="5">
        <f>IF(AND(ISNUMBER(M698),ISNUMBER(L698)),M698-L698,"")</f>
        <v/>
      </c>
      <c r="O698" s="7">
        <f>IF(AND(ISNUMBER(M698),ISNUMBER(L698),L698&gt;0),(M698-L698)/L698,"")</f>
        <v/>
      </c>
      <c r="P698" s="3">
        <f>IF(O698="","",IF(O698&lt;-0.02,"🔴 Bán phá giá sàn",IF(O698&gt;0.05,"🔵 Bán cao hơn","🟢 Đúng giá sàn TMĐT")))</f>
        <v/>
      </c>
      <c r="Q698" s="3" t="n"/>
      <c r="R698" s="4" t="n"/>
      <c r="S698" s="4" t="n"/>
    </row>
    <row r="699">
      <c r="A699" s="3" t="n">
        <v>698</v>
      </c>
      <c r="B699" s="3" t="inlineStr">
        <is>
          <t>KH004</t>
        </is>
      </c>
      <c r="C699" s="4" t="inlineStr">
        <is>
          <t>HCM-BIGSHOP</t>
        </is>
      </c>
      <c r="D699" s="3" t="inlineStr">
        <is>
          <t>HCM</t>
        </is>
      </c>
      <c r="E699" s="3" t="inlineStr">
        <is>
          <t>XUÂN TRANG</t>
        </is>
      </c>
      <c r="F699" s="3" t="inlineStr">
        <is>
          <t>Website bán hàng</t>
        </is>
      </c>
      <c r="G699" s="3" t="inlineStr">
        <is>
          <t>D1-107x1.2</t>
        </is>
      </c>
      <c r="H699" s="4" t="inlineStr">
        <is>
          <t>Đá cắt sắt, inox KingBlue D1-107x1.2 xanh (Hộp sắt)</t>
        </is>
      </c>
      <c r="I699" s="3" t="inlineStr">
        <is>
          <t>Cái</t>
        </is>
      </c>
      <c r="J699" s="5" t="n">
        <v>4000</v>
      </c>
      <c r="K699" s="5" t="n">
        <v>5000</v>
      </c>
      <c r="L699" s="6" t="n">
        <v>6500</v>
      </c>
      <c r="M699" s="5" t="n"/>
      <c r="N699" s="5">
        <f>IF(AND(ISNUMBER(M699),ISNUMBER(L699)),M699-L699,"")</f>
        <v/>
      </c>
      <c r="O699" s="7">
        <f>IF(AND(ISNUMBER(M699),ISNUMBER(L699),L699&gt;0),(M699-L699)/L699,"")</f>
        <v/>
      </c>
      <c r="P699" s="3">
        <f>IF(O699="","",IF(O699&lt;-0.02,"🔴 Bán phá giá sàn",IF(O699&gt;0.05,"🔵 Bán cao hơn","🟢 Đúng giá sàn TMĐT")))</f>
        <v/>
      </c>
      <c r="Q699" s="3" t="n"/>
      <c r="R699" s="4" t="n"/>
      <c r="S699" s="4" t="n"/>
    </row>
    <row r="700">
      <c r="A700" s="3" t="n">
        <v>699</v>
      </c>
      <c r="B700" s="3" t="inlineStr">
        <is>
          <t>KH004</t>
        </is>
      </c>
      <c r="C700" s="4" t="inlineStr">
        <is>
          <t>HCM-BIGSHOP</t>
        </is>
      </c>
      <c r="D700" s="3" t="inlineStr">
        <is>
          <t>HCM</t>
        </is>
      </c>
      <c r="E700" s="3" t="inlineStr">
        <is>
          <t>XUÂN TRANG</t>
        </is>
      </c>
      <c r="F700" s="3" t="inlineStr">
        <is>
          <t>Website bán hàng</t>
        </is>
      </c>
      <c r="G700" s="3" t="inlineStr">
        <is>
          <t>D3-180x2.0x22mm</t>
        </is>
      </c>
      <c r="H700" s="4" t="inlineStr">
        <is>
          <t>Đá cắt sắt, inox Kingblue D3-180x2.0x22mm</t>
        </is>
      </c>
      <c r="I700" s="3" t="inlineStr">
        <is>
          <t>Cái</t>
        </is>
      </c>
      <c r="J700" s="5" t="n">
        <v>269000</v>
      </c>
      <c r="K700" s="5" t="n">
        <v>317000</v>
      </c>
      <c r="L700" s="6" t="n">
        <v>390000</v>
      </c>
      <c r="M700" s="5" t="n"/>
      <c r="N700" s="5">
        <f>IF(AND(ISNUMBER(M700),ISNUMBER(L700)),M700-L700,"")</f>
        <v/>
      </c>
      <c r="O700" s="7">
        <f>IF(AND(ISNUMBER(M700),ISNUMBER(L700),L700&gt;0),(M700-L700)/L700,"")</f>
        <v/>
      </c>
      <c r="P700" s="3">
        <f>IF(O700="","",IF(O700&lt;-0.02,"🔴 Bán phá giá sàn",IF(O700&gt;0.05,"🔵 Bán cao hơn","🟢 Đúng giá sàn TMĐT")))</f>
        <v/>
      </c>
      <c r="Q700" s="3" t="n"/>
      <c r="R700" s="4" t="n"/>
      <c r="S700" s="4" t="n"/>
    </row>
    <row r="701">
      <c r="A701" s="3" t="n">
        <v>700</v>
      </c>
      <c r="B701" s="3" t="inlineStr">
        <is>
          <t>KH004</t>
        </is>
      </c>
      <c r="C701" s="4" t="inlineStr">
        <is>
          <t>HCM-BIGSHOP</t>
        </is>
      </c>
      <c r="D701" s="3" t="inlineStr">
        <is>
          <t>HCM</t>
        </is>
      </c>
      <c r="E701" s="3" t="inlineStr">
        <is>
          <t>XUÂN TRANG</t>
        </is>
      </c>
      <c r="F701" s="3" t="inlineStr">
        <is>
          <t>Website bán hàng</t>
        </is>
      </c>
      <c r="G701" s="3" t="inlineStr">
        <is>
          <t>K45M</t>
        </is>
      </c>
      <c r="H701" s="4" t="inlineStr">
        <is>
          <t>Đầu khò gas K45M</t>
        </is>
      </c>
      <c r="I701" s="3" t="inlineStr">
        <is>
          <t>Cái</t>
        </is>
      </c>
      <c r="J701" s="5" t="n">
        <v>269000</v>
      </c>
      <c r="K701" s="5" t="n">
        <v>317000</v>
      </c>
      <c r="L701" s="6" t="n">
        <v>390000</v>
      </c>
      <c r="M701" s="5" t="n"/>
      <c r="N701" s="5">
        <f>IF(AND(ISNUMBER(M701),ISNUMBER(L701)),M701-L701,"")</f>
        <v/>
      </c>
      <c r="O701" s="7">
        <f>IF(AND(ISNUMBER(M701),ISNUMBER(L701),L701&gt;0),(M701-L701)/L701,"")</f>
        <v/>
      </c>
      <c r="P701" s="3">
        <f>IF(O701="","",IF(O701&lt;-0.02,"🔴 Bán phá giá sàn",IF(O701&gt;0.05,"🔵 Bán cao hơn","🟢 Đúng giá sàn TMĐT")))</f>
        <v/>
      </c>
      <c r="Q701" s="3" t="n"/>
      <c r="R701" s="4" t="n"/>
      <c r="S701" s="4" t="n"/>
    </row>
    <row r="702">
      <c r="A702" s="3" t="n">
        <v>701</v>
      </c>
      <c r="B702" s="3" t="inlineStr">
        <is>
          <t>KH004</t>
        </is>
      </c>
      <c r="C702" s="4" t="inlineStr">
        <is>
          <t>HCM-BIGSHOP</t>
        </is>
      </c>
      <c r="D702" s="3" t="inlineStr">
        <is>
          <t>HCM</t>
        </is>
      </c>
      <c r="E702" s="3" t="inlineStr">
        <is>
          <t>XUÂN TRANG</t>
        </is>
      </c>
      <c r="F702" s="3" t="inlineStr">
        <is>
          <t>Website bán hàng</t>
        </is>
      </c>
      <c r="G702" s="3" t="inlineStr">
        <is>
          <t>LED750</t>
        </is>
      </c>
      <c r="H702" s="4" t="inlineStr">
        <is>
          <t>Đèn Led cài áo LED750</t>
        </is>
      </c>
      <c r="I702" s="3" t="inlineStr">
        <is>
          <t>Cái</t>
        </is>
      </c>
      <c r="J702" s="5" t="n">
        <v>269000</v>
      </c>
      <c r="K702" s="5" t="n">
        <v>317000</v>
      </c>
      <c r="L702" s="6" t="n">
        <v>390000</v>
      </c>
      <c r="M702" s="5" t="n"/>
      <c r="N702" s="5">
        <f>IF(AND(ISNUMBER(M702),ISNUMBER(L702)),M702-L702,"")</f>
        <v/>
      </c>
      <c r="O702" s="7">
        <f>IF(AND(ISNUMBER(M702),ISNUMBER(L702),L702&gt;0),(M702-L702)/L702,"")</f>
        <v/>
      </c>
      <c r="P702" s="3">
        <f>IF(O702="","",IF(O702&lt;-0.02,"🔴 Bán phá giá sàn",IF(O702&gt;0.05,"🔵 Bán cao hơn","🟢 Đúng giá sàn TMĐT")))</f>
        <v/>
      </c>
      <c r="Q702" s="3" t="n"/>
      <c r="R702" s="4" t="n"/>
      <c r="S702" s="4" t="n"/>
    </row>
    <row r="703">
      <c r="A703" s="3" t="n">
        <v>702</v>
      </c>
      <c r="B703" s="3" t="inlineStr">
        <is>
          <t>KH004</t>
        </is>
      </c>
      <c r="C703" s="4" t="inlineStr">
        <is>
          <t>HCM-BIGSHOP</t>
        </is>
      </c>
      <c r="D703" s="3" t="inlineStr">
        <is>
          <t>HCM</t>
        </is>
      </c>
      <c r="E703" s="3" t="inlineStr">
        <is>
          <t>XUÂN TRANG</t>
        </is>
      </c>
      <c r="F703" s="3" t="inlineStr">
        <is>
          <t>Website bán hàng</t>
        </is>
      </c>
      <c r="G703" s="3" t="inlineStr">
        <is>
          <t>LED600</t>
        </is>
      </c>
      <c r="H703" s="4" t="inlineStr">
        <is>
          <t>Đèn Led soi sửa chữa máy móc LED600</t>
        </is>
      </c>
      <c r="I703" s="3" t="inlineStr">
        <is>
          <t>Cái</t>
        </is>
      </c>
      <c r="J703" s="5" t="n">
        <v>650000</v>
      </c>
      <c r="K703" s="5" t="n">
        <v>741000</v>
      </c>
      <c r="L703" s="6" t="n">
        <v>878000</v>
      </c>
      <c r="M703" s="5" t="n"/>
      <c r="N703" s="5">
        <f>IF(AND(ISNUMBER(M703),ISNUMBER(L703)),M703-L703,"")</f>
        <v/>
      </c>
      <c r="O703" s="7">
        <f>IF(AND(ISNUMBER(M703),ISNUMBER(L703),L703&gt;0),(M703-L703)/L703,"")</f>
        <v/>
      </c>
      <c r="P703" s="3">
        <f>IF(O703="","",IF(O703&lt;-0.02,"🔴 Bán phá giá sàn",IF(O703&gt;0.05,"🔵 Bán cao hơn","🟢 Đúng giá sàn TMĐT")))</f>
        <v/>
      </c>
      <c r="Q703" s="3" t="n"/>
      <c r="R703" s="4" t="n"/>
      <c r="S703" s="4" t="n"/>
    </row>
    <row r="704">
      <c r="A704" s="3" t="n">
        <v>703</v>
      </c>
      <c r="B704" s="3" t="inlineStr">
        <is>
          <t>KH004</t>
        </is>
      </c>
      <c r="C704" s="4" t="inlineStr">
        <is>
          <t>HCM-BIGSHOP</t>
        </is>
      </c>
      <c r="D704" s="3" t="inlineStr">
        <is>
          <t>HCM</t>
        </is>
      </c>
      <c r="E704" s="3" t="inlineStr">
        <is>
          <t>XUÂN TRANG</t>
        </is>
      </c>
      <c r="F704" s="3" t="inlineStr">
        <is>
          <t>Website bán hàng</t>
        </is>
      </c>
      <c r="G704" s="3" t="inlineStr">
        <is>
          <t>LED1000</t>
        </is>
      </c>
      <c r="H704" s="4" t="inlineStr">
        <is>
          <t>Đèn Pin siêu sáng LED1000</t>
        </is>
      </c>
      <c r="I704" s="3" t="inlineStr">
        <is>
          <t>Cái</t>
        </is>
      </c>
      <c r="J704" s="5" t="n">
        <v>269000</v>
      </c>
      <c r="K704" s="5" t="n">
        <v>317000</v>
      </c>
      <c r="L704" s="6" t="n">
        <v>390000</v>
      </c>
      <c r="M704" s="5" t="n"/>
      <c r="N704" s="5">
        <f>IF(AND(ISNUMBER(M704),ISNUMBER(L704)),M704-L704,"")</f>
        <v/>
      </c>
      <c r="O704" s="7">
        <f>IF(AND(ISNUMBER(M704),ISNUMBER(L704),L704&gt;0),(M704-L704)/L704,"")</f>
        <v/>
      </c>
      <c r="P704" s="3">
        <f>IF(O704="","",IF(O704&lt;-0.02,"🔴 Bán phá giá sàn",IF(O704&gt;0.05,"🔵 Bán cao hơn","🟢 Đúng giá sàn TMĐT")))</f>
        <v/>
      </c>
      <c r="Q704" s="3" t="n"/>
      <c r="R704" s="4" t="n"/>
      <c r="S704" s="4" t="n"/>
    </row>
    <row r="705">
      <c r="A705" s="3" t="n">
        <v>704</v>
      </c>
      <c r="B705" s="3" t="inlineStr">
        <is>
          <t>KH004</t>
        </is>
      </c>
      <c r="C705" s="4" t="inlineStr">
        <is>
          <t>HCM-BIGSHOP</t>
        </is>
      </c>
      <c r="D705" s="3" t="inlineStr">
        <is>
          <t>HCM</t>
        </is>
      </c>
      <c r="E705" s="3" t="inlineStr">
        <is>
          <t>XUÂN TRANG</t>
        </is>
      </c>
      <c r="F705" s="3" t="inlineStr">
        <is>
          <t>Website bán hàng</t>
        </is>
      </c>
      <c r="G705" s="3" t="inlineStr">
        <is>
          <t>MINI20GKD</t>
        </is>
      </c>
      <c r="H705" s="4" t="inlineStr">
        <is>
          <t>Đinh MINI20GKD</t>
        </is>
      </c>
      <c r="I705" s="3" t="inlineStr">
        <is>
          <t>Cái</t>
        </is>
      </c>
      <c r="J705" s="5" t="n">
        <v>269000</v>
      </c>
      <c r="K705" s="5" t="n">
        <v>317000</v>
      </c>
      <c r="L705" s="6" t="n">
        <v>390000</v>
      </c>
      <c r="M705" s="5" t="n"/>
      <c r="N705" s="5">
        <f>IF(AND(ISNUMBER(M705),ISNUMBER(L705)),M705-L705,"")</f>
        <v/>
      </c>
      <c r="O705" s="7">
        <f>IF(AND(ISNUMBER(M705),ISNUMBER(L705),L705&gt;0),(M705-L705)/L705,"")</f>
        <v/>
      </c>
      <c r="P705" s="3">
        <f>IF(O705="","",IF(O705&lt;-0.02,"🔴 Bán phá giá sàn",IF(O705&gt;0.05,"🔵 Bán cao hơn","🟢 Đúng giá sàn TMĐT")))</f>
        <v/>
      </c>
      <c r="Q705" s="3" t="n"/>
      <c r="R705" s="4" t="n"/>
      <c r="S705" s="4" t="n"/>
    </row>
    <row r="706">
      <c r="A706" s="3" t="n">
        <v>705</v>
      </c>
      <c r="B706" s="3" t="inlineStr">
        <is>
          <t>KH004</t>
        </is>
      </c>
      <c r="C706" s="4" t="inlineStr">
        <is>
          <t>HCM-BIGSHOP</t>
        </is>
      </c>
      <c r="D706" s="3" t="inlineStr">
        <is>
          <t>HCM</t>
        </is>
      </c>
      <c r="E706" s="3" t="inlineStr">
        <is>
          <t>XUÂN TRANG</t>
        </is>
      </c>
      <c r="F706" s="3" t="inlineStr">
        <is>
          <t>Website bán hàng</t>
        </is>
      </c>
      <c r="G706" s="3" t="inlineStr"/>
      <c r="H706" s="4" t="inlineStr">
        <is>
          <t>Đinh MINIGJD</t>
        </is>
      </c>
      <c r="I706" s="3" t="inlineStr">
        <is>
          <t>Cái</t>
        </is>
      </c>
      <c r="J706" s="5" t="n">
        <v>269000</v>
      </c>
      <c r="K706" s="5" t="n">
        <v>317000</v>
      </c>
      <c r="L706" s="6" t="n">
        <v>390000</v>
      </c>
      <c r="M706" s="5" t="n"/>
      <c r="N706" s="5">
        <f>IF(AND(ISNUMBER(M706),ISNUMBER(L706)),M706-L706,"")</f>
        <v/>
      </c>
      <c r="O706" s="7">
        <f>IF(AND(ISNUMBER(M706),ISNUMBER(L706),L706&gt;0),(M706-L706)/L706,"")</f>
        <v/>
      </c>
      <c r="P706" s="3">
        <f>IF(O706="","",IF(O706&lt;-0.02,"🔴 Bán phá giá sàn",IF(O706&gt;0.05,"🔵 Bán cao hơn","🟢 Đúng giá sàn TMĐT")))</f>
        <v/>
      </c>
      <c r="Q706" s="3" t="n"/>
      <c r="R706" s="4" t="n"/>
      <c r="S706" s="4" t="n"/>
    </row>
    <row r="707">
      <c r="A707" s="3" t="n">
        <v>706</v>
      </c>
      <c r="B707" s="3" t="inlineStr">
        <is>
          <t>KH004</t>
        </is>
      </c>
      <c r="C707" s="4" t="inlineStr">
        <is>
          <t>HCM-BIGSHOP</t>
        </is>
      </c>
      <c r="D707" s="3" t="inlineStr">
        <is>
          <t>HCM</t>
        </is>
      </c>
      <c r="E707" s="3" t="inlineStr">
        <is>
          <t>XUÂN TRANG</t>
        </is>
      </c>
      <c r="F707" s="3" t="inlineStr">
        <is>
          <t>Website bán hàng</t>
        </is>
      </c>
      <c r="G707" s="3" t="inlineStr"/>
      <c r="H707" s="4" t="inlineStr">
        <is>
          <t>Đinh MINISFD</t>
        </is>
      </c>
      <c r="I707" s="3" t="inlineStr">
        <is>
          <t>Cái</t>
        </is>
      </c>
      <c r="J707" s="5" t="n">
        <v>269000</v>
      </c>
      <c r="K707" s="5" t="n">
        <v>317000</v>
      </c>
      <c r="L707" s="6" t="n">
        <v>390000</v>
      </c>
      <c r="M707" s="5" t="n"/>
      <c r="N707" s="5">
        <f>IF(AND(ISNUMBER(M707),ISNUMBER(L707)),M707-L707,"")</f>
        <v/>
      </c>
      <c r="O707" s="7">
        <f>IF(AND(ISNUMBER(M707),ISNUMBER(L707),L707&gt;0),(M707-L707)/L707,"")</f>
        <v/>
      </c>
      <c r="P707" s="3">
        <f>IF(O707="","",IF(O707&lt;-0.02,"🔴 Bán phá giá sàn",IF(O707&gt;0.05,"🔵 Bán cao hơn","🟢 Đúng giá sàn TMĐT")))</f>
        <v/>
      </c>
      <c r="Q707" s="3" t="n"/>
      <c r="R707" s="4" t="n"/>
      <c r="S707" s="4" t="n"/>
    </row>
    <row r="708">
      <c r="A708" s="3" t="n">
        <v>707</v>
      </c>
      <c r="B708" s="3" t="inlineStr">
        <is>
          <t>KH004</t>
        </is>
      </c>
      <c r="C708" s="4" t="inlineStr">
        <is>
          <t>HCM-BIGSHOP</t>
        </is>
      </c>
      <c r="D708" s="3" t="inlineStr">
        <is>
          <t>HCM</t>
        </is>
      </c>
      <c r="E708" s="3" t="inlineStr">
        <is>
          <t>XUÂN TRANG</t>
        </is>
      </c>
      <c r="F708" s="3" t="inlineStr">
        <is>
          <t>Website bán hàng</t>
        </is>
      </c>
      <c r="G708" s="3" t="inlineStr">
        <is>
          <t>KIG-600</t>
        </is>
      </c>
      <c r="H708" s="4" t="inlineStr">
        <is>
          <t>Đồng hồ kẹp dòng vạn năng KIG-600</t>
        </is>
      </c>
      <c r="I708" s="3" t="inlineStr">
        <is>
          <t>Cái</t>
        </is>
      </c>
      <c r="J708" s="5" t="n">
        <v>269000</v>
      </c>
      <c r="K708" s="5" t="n">
        <v>317000</v>
      </c>
      <c r="L708" s="6" t="n">
        <v>390000</v>
      </c>
      <c r="M708" s="5" t="n"/>
      <c r="N708" s="5">
        <f>IF(AND(ISNUMBER(M708),ISNUMBER(L708)),M708-L708,"")</f>
        <v/>
      </c>
      <c r="O708" s="7">
        <f>IF(AND(ISNUMBER(M708),ISNUMBER(L708),L708&gt;0),(M708-L708)/L708,"")</f>
        <v/>
      </c>
      <c r="P708" s="3">
        <f>IF(O708="","",IF(O708&lt;-0.02,"🔴 Bán phá giá sàn",IF(O708&gt;0.05,"🔵 Bán cao hơn","🟢 Đúng giá sàn TMĐT")))</f>
        <v/>
      </c>
      <c r="Q708" s="3" t="n"/>
      <c r="R708" s="4" t="n"/>
      <c r="S708" s="4" t="n"/>
    </row>
    <row r="709">
      <c r="A709" s="3" t="n">
        <v>708</v>
      </c>
      <c r="B709" s="3" t="inlineStr">
        <is>
          <t>KH004</t>
        </is>
      </c>
      <c r="C709" s="4" t="inlineStr">
        <is>
          <t>HCM-BIGSHOP</t>
        </is>
      </c>
      <c r="D709" s="3" t="inlineStr">
        <is>
          <t>HCM</t>
        </is>
      </c>
      <c r="E709" s="3" t="inlineStr">
        <is>
          <t>XUÂN TRANG</t>
        </is>
      </c>
      <c r="F709" s="3" t="inlineStr">
        <is>
          <t>Website bán hàng</t>
        </is>
      </c>
      <c r="G709" s="3" t="inlineStr">
        <is>
          <t>KIW-600</t>
        </is>
      </c>
      <c r="H709" s="4" t="inlineStr">
        <is>
          <t>Đồng hồ vạn năng điện tử KIW-600</t>
        </is>
      </c>
      <c r="I709" s="3" t="inlineStr">
        <is>
          <t>Cái</t>
        </is>
      </c>
      <c r="J709" s="5" t="n">
        <v>269000</v>
      </c>
      <c r="K709" s="5" t="n">
        <v>317000</v>
      </c>
      <c r="L709" s="6" t="n">
        <v>390000</v>
      </c>
      <c r="M709" s="5" t="n"/>
      <c r="N709" s="5">
        <f>IF(AND(ISNUMBER(M709),ISNUMBER(L709)),M709-L709,"")</f>
        <v/>
      </c>
      <c r="O709" s="7">
        <f>IF(AND(ISNUMBER(M709),ISNUMBER(L709),L709&gt;0),(M709-L709)/L709,"")</f>
        <v/>
      </c>
      <c r="P709" s="3">
        <f>IF(O709="","",IF(O709&lt;-0.02,"🔴 Bán phá giá sàn",IF(O709&gt;0.05,"🔵 Bán cao hơn","🟢 Đúng giá sàn TMĐT")))</f>
        <v/>
      </c>
      <c r="Q709" s="3" t="n"/>
      <c r="R709" s="4" t="n"/>
      <c r="S709" s="4" t="n"/>
    </row>
    <row r="710">
      <c r="A710" s="3" t="n">
        <v>709</v>
      </c>
      <c r="B710" s="3" t="inlineStr">
        <is>
          <t>KH004</t>
        </is>
      </c>
      <c r="C710" s="4" t="inlineStr">
        <is>
          <t>HCM-BIGSHOP</t>
        </is>
      </c>
      <c r="D710" s="3" t="inlineStr">
        <is>
          <t>HCM</t>
        </is>
      </c>
      <c r="E710" s="3" t="inlineStr">
        <is>
          <t>XUÂN TRANG</t>
        </is>
      </c>
      <c r="F710" s="3" t="inlineStr">
        <is>
          <t>Website bán hàng</t>
        </is>
      </c>
      <c r="G710" s="3" t="inlineStr">
        <is>
          <t>HKE-200</t>
        </is>
      </c>
      <c r="H710" s="4" t="inlineStr">
        <is>
          <t>Hít kính điện tử HKE-200</t>
        </is>
      </c>
      <c r="I710" s="3" t="inlineStr">
        <is>
          <t>Cái</t>
        </is>
      </c>
      <c r="J710" s="5" t="n">
        <v>583000</v>
      </c>
      <c r="K710" s="5" t="n">
        <v>676000</v>
      </c>
      <c r="L710" s="6" t="n">
        <v>816000</v>
      </c>
      <c r="M710" s="5" t="n"/>
      <c r="N710" s="5">
        <f>IF(AND(ISNUMBER(M710),ISNUMBER(L710)),M710-L710,"")</f>
        <v/>
      </c>
      <c r="O710" s="7">
        <f>IF(AND(ISNUMBER(M710),ISNUMBER(L710),L710&gt;0),(M710-L710)/L710,"")</f>
        <v/>
      </c>
      <c r="P710" s="3">
        <f>IF(O710="","",IF(O710&lt;-0.02,"🔴 Bán phá giá sàn",IF(O710&gt;0.05,"🔵 Bán cao hơn","🟢 Đúng giá sàn TMĐT")))</f>
        <v/>
      </c>
      <c r="Q710" s="3" t="n"/>
      <c r="R710" s="4" t="n"/>
      <c r="S710" s="4" t="n"/>
    </row>
    <row r="711">
      <c r="A711" s="3" t="n">
        <v>710</v>
      </c>
      <c r="B711" s="3" t="inlineStr">
        <is>
          <t>KH004</t>
        </is>
      </c>
      <c r="C711" s="4" t="inlineStr">
        <is>
          <t>HCM-BIGSHOP</t>
        </is>
      </c>
      <c r="D711" s="3" t="inlineStr">
        <is>
          <t>HCM</t>
        </is>
      </c>
      <c r="E711" s="3" t="inlineStr">
        <is>
          <t>XUÂN TRANG</t>
        </is>
      </c>
      <c r="F711" s="3" t="inlineStr">
        <is>
          <t>Website bán hàng</t>
        </is>
      </c>
      <c r="G711" s="3" t="inlineStr">
        <is>
          <t>KPC-164</t>
        </is>
      </c>
      <c r="H711" s="4" t="inlineStr">
        <is>
          <t>Kéo cắt ống KPC-164</t>
        </is>
      </c>
      <c r="I711" s="3" t="inlineStr">
        <is>
          <t>Cái</t>
        </is>
      </c>
      <c r="J711" s="5" t="n">
        <v>262000</v>
      </c>
      <c r="K711" s="5" t="n">
        <v>309000</v>
      </c>
      <c r="L711" s="6" t="n">
        <v>380000</v>
      </c>
      <c r="M711" s="5" t="n"/>
      <c r="N711" s="5">
        <f>IF(AND(ISNUMBER(M711),ISNUMBER(L711)),M711-L711,"")</f>
        <v/>
      </c>
      <c r="O711" s="7">
        <f>IF(AND(ISNUMBER(M711),ISNUMBER(L711),L711&gt;0),(M711-L711)/L711,"")</f>
        <v/>
      </c>
      <c r="P711" s="3">
        <f>IF(O711="","",IF(O711&lt;-0.02,"🔴 Bán phá giá sàn",IF(O711&gt;0.05,"🔵 Bán cao hơn","🟢 Đúng giá sàn TMĐT")))</f>
        <v/>
      </c>
      <c r="Q711" s="3" t="n"/>
      <c r="R711" s="4" t="n"/>
      <c r="S711" s="4" t="n"/>
    </row>
    <row r="712">
      <c r="A712" s="3" t="n">
        <v>711</v>
      </c>
      <c r="B712" s="3" t="inlineStr">
        <is>
          <t>KH004</t>
        </is>
      </c>
      <c r="C712" s="4" t="inlineStr">
        <is>
          <t>HCM-BIGSHOP</t>
        </is>
      </c>
      <c r="D712" s="3" t="inlineStr">
        <is>
          <t>HCM</t>
        </is>
      </c>
      <c r="E712" s="3" t="inlineStr">
        <is>
          <t>XUÂN TRANG</t>
        </is>
      </c>
      <c r="F712" s="3" t="inlineStr">
        <is>
          <t>Website bán hàng</t>
        </is>
      </c>
      <c r="G712" s="3" t="inlineStr">
        <is>
          <t>KPC-242</t>
        </is>
      </c>
      <c r="H712" s="4" t="inlineStr">
        <is>
          <t>Kéo cắt ống KPC-242</t>
        </is>
      </c>
      <c r="I712" s="3" t="inlineStr">
        <is>
          <t>Cái</t>
        </is>
      </c>
      <c r="J712" s="5" t="n">
        <v>172000</v>
      </c>
      <c r="K712" s="5" t="n">
        <v>203000</v>
      </c>
      <c r="L712" s="6" t="n">
        <v>249000</v>
      </c>
      <c r="M712" s="5" t="n"/>
      <c r="N712" s="5">
        <f>IF(AND(ISNUMBER(M712),ISNUMBER(L712)),M712-L712,"")</f>
        <v/>
      </c>
      <c r="O712" s="7">
        <f>IF(AND(ISNUMBER(M712),ISNUMBER(L712),L712&gt;0),(M712-L712)/L712,"")</f>
        <v/>
      </c>
      <c r="P712" s="3">
        <f>IF(O712="","",IF(O712&lt;-0.02,"🔴 Bán phá giá sàn",IF(O712&gt;0.05,"🔵 Bán cao hơn","🟢 Đúng giá sàn TMĐT")))</f>
        <v/>
      </c>
      <c r="Q712" s="3" t="n"/>
      <c r="R712" s="4" t="n"/>
      <c r="S712" s="4" t="n"/>
    </row>
    <row r="713">
      <c r="A713" s="3" t="n">
        <v>712</v>
      </c>
      <c r="B713" s="3" t="inlineStr">
        <is>
          <t>KH004</t>
        </is>
      </c>
      <c r="C713" s="4" t="inlineStr">
        <is>
          <t>HCM-BIGSHOP</t>
        </is>
      </c>
      <c r="D713" s="3" t="inlineStr">
        <is>
          <t>HCM</t>
        </is>
      </c>
      <c r="E713" s="3" t="inlineStr">
        <is>
          <t>XUÂN TRANG</t>
        </is>
      </c>
      <c r="F713" s="3" t="inlineStr">
        <is>
          <t>Website bán hàng</t>
        </is>
      </c>
      <c r="G713" s="3" t="inlineStr">
        <is>
          <t>QE320</t>
        </is>
      </c>
      <c r="H713" s="4" t="inlineStr">
        <is>
          <t>Kéo cắt trên cao Kingblue QE320</t>
        </is>
      </c>
      <c r="I713" s="3" t="inlineStr">
        <is>
          <t>Cái</t>
        </is>
      </c>
      <c r="J713" s="5" t="n">
        <v>712000</v>
      </c>
      <c r="K713" s="5" t="n">
        <v>840000</v>
      </c>
      <c r="L713" s="6" t="n">
        <v>1032000</v>
      </c>
      <c r="M713" s="5" t="n"/>
      <c r="N713" s="5">
        <f>IF(AND(ISNUMBER(M713),ISNUMBER(L713)),M713-L713,"")</f>
        <v/>
      </c>
      <c r="O713" s="7">
        <f>IF(AND(ISNUMBER(M713),ISNUMBER(L713),L713&gt;0),(M713-L713)/L713,"")</f>
        <v/>
      </c>
      <c r="P713" s="3">
        <f>IF(O713="","",IF(O713&lt;-0.02,"🔴 Bán phá giá sàn",IF(O713&gt;0.05,"🔵 Bán cao hơn","🟢 Đúng giá sàn TMĐT")))</f>
        <v/>
      </c>
      <c r="Q713" s="3" t="n"/>
      <c r="R713" s="4" t="n"/>
      <c r="S713" s="4" t="n"/>
    </row>
    <row r="714">
      <c r="A714" s="3" t="n">
        <v>713</v>
      </c>
      <c r="B714" s="3" t="inlineStr">
        <is>
          <t>KH004</t>
        </is>
      </c>
      <c r="C714" s="4" t="inlineStr">
        <is>
          <t>HCM-BIGSHOP</t>
        </is>
      </c>
      <c r="D714" s="3" t="inlineStr">
        <is>
          <t>HCM</t>
        </is>
      </c>
      <c r="E714" s="3" t="inlineStr">
        <is>
          <t>XUÂN TRANG</t>
        </is>
      </c>
      <c r="F714" s="3" t="inlineStr">
        <is>
          <t>Website bán hàng</t>
        </is>
      </c>
      <c r="G714" s="3" t="inlineStr">
        <is>
          <t>KC3-09</t>
        </is>
      </c>
      <c r="H714" s="4" t="inlineStr">
        <is>
          <t>Kìm cắt đa năng KC3-09</t>
        </is>
      </c>
      <c r="I714" s="3" t="inlineStr">
        <is>
          <t>Cái</t>
        </is>
      </c>
      <c r="J714" s="5" t="n">
        <v>269000</v>
      </c>
      <c r="K714" s="5" t="n">
        <v>317000</v>
      </c>
      <c r="L714" s="6" t="n">
        <v>390000</v>
      </c>
      <c r="M714" s="5" t="n"/>
      <c r="N714" s="5">
        <f>IF(AND(ISNUMBER(M714),ISNUMBER(L714)),M714-L714,"")</f>
        <v/>
      </c>
      <c r="O714" s="7">
        <f>IF(AND(ISNUMBER(M714),ISNUMBER(L714),L714&gt;0),(M714-L714)/L714,"")</f>
        <v/>
      </c>
      <c r="P714" s="3">
        <f>IF(O714="","",IF(O714&lt;-0.02,"🔴 Bán phá giá sàn",IF(O714&gt;0.05,"🔵 Bán cao hơn","🟢 Đúng giá sàn TMĐT")))</f>
        <v/>
      </c>
      <c r="Q714" s="3" t="n"/>
      <c r="R714" s="4" t="n"/>
      <c r="S714" s="4" t="n"/>
    </row>
    <row r="715">
      <c r="A715" s="3" t="n">
        <v>714</v>
      </c>
      <c r="B715" s="3" t="inlineStr">
        <is>
          <t>KH004</t>
        </is>
      </c>
      <c r="C715" s="4" t="inlineStr">
        <is>
          <t>HCM-BIGSHOP</t>
        </is>
      </c>
      <c r="D715" s="3" t="inlineStr">
        <is>
          <t>HCM</t>
        </is>
      </c>
      <c r="E715" s="3" t="inlineStr">
        <is>
          <t>XUÂN TRANG</t>
        </is>
      </c>
      <c r="F715" s="3" t="inlineStr">
        <is>
          <t>Website bán hàng</t>
        </is>
      </c>
      <c r="G715" s="3" t="inlineStr">
        <is>
          <t>KCL-350</t>
        </is>
      </c>
      <c r="H715" s="4" t="inlineStr">
        <is>
          <t>Kìm cộng lực KCL-350</t>
        </is>
      </c>
      <c r="I715" s="3" t="inlineStr">
        <is>
          <t>Cái</t>
        </is>
      </c>
      <c r="J715" s="5" t="n">
        <v>253000</v>
      </c>
      <c r="K715" s="5" t="n">
        <v>299000</v>
      </c>
      <c r="L715" s="6" t="n">
        <v>367000</v>
      </c>
      <c r="M715" s="5" t="n"/>
      <c r="N715" s="5">
        <f>IF(AND(ISNUMBER(M715),ISNUMBER(L715)),M715-L715,"")</f>
        <v/>
      </c>
      <c r="O715" s="7">
        <f>IF(AND(ISNUMBER(M715),ISNUMBER(L715),L715&gt;0),(M715-L715)/L715,"")</f>
        <v/>
      </c>
      <c r="P715" s="3">
        <f>IF(O715="","",IF(O715&lt;-0.02,"🔴 Bán phá giá sàn",IF(O715&gt;0.05,"🔵 Bán cao hơn","🟢 Đúng giá sàn TMĐT")))</f>
        <v/>
      </c>
      <c r="Q715" s="3" t="n"/>
      <c r="R715" s="4" t="n"/>
      <c r="S715" s="4" t="n"/>
    </row>
    <row r="716">
      <c r="A716" s="3" t="n">
        <v>715</v>
      </c>
      <c r="B716" s="3" t="inlineStr">
        <is>
          <t>KH004</t>
        </is>
      </c>
      <c r="C716" s="4" t="inlineStr">
        <is>
          <t>HCM-BIGSHOP</t>
        </is>
      </c>
      <c r="D716" s="3" t="inlineStr">
        <is>
          <t>HCM</t>
        </is>
      </c>
      <c r="E716" s="3" t="inlineStr">
        <is>
          <t>XUÂN TRANG</t>
        </is>
      </c>
      <c r="F716" s="3" t="inlineStr">
        <is>
          <t>Website bán hàng</t>
        </is>
      </c>
      <c r="G716" s="3" t="inlineStr">
        <is>
          <t>KBY2-030CO</t>
        </is>
      </c>
      <c r="H716" s="4" t="inlineStr">
        <is>
          <t>Khoan inox KingBlue KBY2-030CO</t>
        </is>
      </c>
      <c r="I716" s="3" t="inlineStr">
        <is>
          <t>Cái</t>
        </is>
      </c>
      <c r="J716" s="5" t="n">
        <v>10000</v>
      </c>
      <c r="K716" s="5" t="n">
        <v>12000</v>
      </c>
      <c r="L716" s="6" t="n">
        <v>16000</v>
      </c>
      <c r="M716" s="5" t="n"/>
      <c r="N716" s="5">
        <f>IF(AND(ISNUMBER(M716),ISNUMBER(L716)),M716-L716,"")</f>
        <v/>
      </c>
      <c r="O716" s="7">
        <f>IF(AND(ISNUMBER(M716),ISNUMBER(L716),L716&gt;0),(M716-L716)/L716,"")</f>
        <v/>
      </c>
      <c r="P716" s="3">
        <f>IF(O716="","",IF(O716&lt;-0.02,"🔴 Bán phá giá sàn",IF(O716&gt;0.05,"🔵 Bán cao hơn","🟢 Đúng giá sàn TMĐT")))</f>
        <v/>
      </c>
      <c r="Q716" s="3" t="n"/>
      <c r="R716" s="4" t="n"/>
      <c r="S716" s="4" t="n"/>
    </row>
    <row r="717">
      <c r="A717" s="3" t="n">
        <v>716</v>
      </c>
      <c r="B717" s="3" t="inlineStr">
        <is>
          <t>KH004</t>
        </is>
      </c>
      <c r="C717" s="4" t="inlineStr">
        <is>
          <t>HCM-BIGSHOP</t>
        </is>
      </c>
      <c r="D717" s="3" t="inlineStr">
        <is>
          <t>HCM</t>
        </is>
      </c>
      <c r="E717" s="3" t="inlineStr">
        <is>
          <t>XUÂN TRANG</t>
        </is>
      </c>
      <c r="F717" s="3" t="inlineStr">
        <is>
          <t>Website bán hàng</t>
        </is>
      </c>
      <c r="G717" s="3" t="inlineStr">
        <is>
          <t>KRLK-63*370</t>
        </is>
      </c>
      <c r="H717" s="4" t="inlineStr">
        <is>
          <t>Khoan rút lõi bê tông nước + khô KRLK-63*370</t>
        </is>
      </c>
      <c r="I717" s="3" t="inlineStr">
        <is>
          <t>Cái</t>
        </is>
      </c>
      <c r="J717" s="5" t="n">
        <v>282000</v>
      </c>
      <c r="K717" s="5" t="n">
        <v>338000</v>
      </c>
      <c r="L717" s="6" t="n">
        <v>423000</v>
      </c>
      <c r="M717" s="5" t="n"/>
      <c r="N717" s="5">
        <f>IF(AND(ISNUMBER(M717),ISNUMBER(L717)),M717-L717,"")</f>
        <v/>
      </c>
      <c r="O717" s="7">
        <f>IF(AND(ISNUMBER(M717),ISNUMBER(L717),L717&gt;0),(M717-L717)/L717,"")</f>
        <v/>
      </c>
      <c r="P717" s="3">
        <f>IF(O717="","",IF(O717&lt;-0.02,"🔴 Bán phá giá sàn",IF(O717&gt;0.05,"🔵 Bán cao hơn","🟢 Đúng giá sàn TMĐT")))</f>
        <v/>
      </c>
      <c r="Q717" s="3" t="n"/>
      <c r="R717" s="4" t="n"/>
      <c r="S717" s="4" t="n"/>
    </row>
    <row r="718">
      <c r="A718" s="3" t="n">
        <v>717</v>
      </c>
      <c r="B718" s="3" t="inlineStr">
        <is>
          <t>KH004</t>
        </is>
      </c>
      <c r="C718" s="4" t="inlineStr">
        <is>
          <t>HCM-BIGSHOP</t>
        </is>
      </c>
      <c r="D718" s="3" t="inlineStr">
        <is>
          <t>HCM</t>
        </is>
      </c>
      <c r="E718" s="3" t="inlineStr">
        <is>
          <t>XUÂN TRANG</t>
        </is>
      </c>
      <c r="F718" s="3" t="inlineStr">
        <is>
          <t>Website bán hàng</t>
        </is>
      </c>
      <c r="G718" s="3" t="inlineStr">
        <is>
          <t>KRL-22*370</t>
        </is>
      </c>
      <c r="H718" s="4" t="inlineStr">
        <is>
          <t>Khoan rút lõi bê tông nước KRL-22*370</t>
        </is>
      </c>
      <c r="I718" s="3" t="inlineStr">
        <is>
          <t>Cái</t>
        </is>
      </c>
      <c r="J718" s="5" t="n">
        <v>161000</v>
      </c>
      <c r="K718" s="5" t="n">
        <v>193000</v>
      </c>
      <c r="L718" s="6" t="n">
        <v>242000</v>
      </c>
      <c r="M718" s="5" t="n"/>
      <c r="N718" s="5">
        <f>IF(AND(ISNUMBER(M718),ISNUMBER(L718)),M718-L718,"")</f>
        <v/>
      </c>
      <c r="O718" s="7">
        <f>IF(AND(ISNUMBER(M718),ISNUMBER(L718),L718&gt;0),(M718-L718)/L718,"")</f>
        <v/>
      </c>
      <c r="P718" s="3">
        <f>IF(O718="","",IF(O718&lt;-0.02,"🔴 Bán phá giá sàn",IF(O718&gt;0.05,"🔵 Bán cao hơn","🟢 Đúng giá sàn TMĐT")))</f>
        <v/>
      </c>
      <c r="Q718" s="3" t="n"/>
      <c r="R718" s="4" t="n"/>
      <c r="S718" s="4" t="n"/>
    </row>
    <row r="719">
      <c r="A719" s="3" t="n">
        <v>718</v>
      </c>
      <c r="B719" s="3" t="inlineStr">
        <is>
          <t>KH004</t>
        </is>
      </c>
      <c r="C719" s="4" t="inlineStr">
        <is>
          <t>HCM-BIGSHOP</t>
        </is>
      </c>
      <c r="D719" s="3" t="inlineStr">
        <is>
          <t>HCM</t>
        </is>
      </c>
      <c r="E719" s="3" t="inlineStr">
        <is>
          <t>XUÂN TRANG</t>
        </is>
      </c>
      <c r="F719" s="3" t="inlineStr">
        <is>
          <t>Website bán hàng</t>
        </is>
      </c>
      <c r="G719" s="3" t="inlineStr">
        <is>
          <t>KRL-51*370</t>
        </is>
      </c>
      <c r="H719" s="4" t="inlineStr">
        <is>
          <t>Khoan rút lõi bê tông nước KRL-51*370</t>
        </is>
      </c>
      <c r="I719" s="3" t="inlineStr">
        <is>
          <t>Cái</t>
        </is>
      </c>
      <c r="J719" s="5" t="n">
        <v>282000</v>
      </c>
      <c r="K719" s="5" t="n">
        <v>338000</v>
      </c>
      <c r="L719" s="6" t="n">
        <v>423000</v>
      </c>
      <c r="M719" s="5" t="n"/>
      <c r="N719" s="5">
        <f>IF(AND(ISNUMBER(M719),ISNUMBER(L719)),M719-L719,"")</f>
        <v/>
      </c>
      <c r="O719" s="7">
        <f>IF(AND(ISNUMBER(M719),ISNUMBER(L719),L719&gt;0),(M719-L719)/L719,"")</f>
        <v/>
      </c>
      <c r="P719" s="3">
        <f>IF(O719="","",IF(O719&lt;-0.02,"🔴 Bán phá giá sàn",IF(O719&gt;0.05,"🔵 Bán cao hơn","🟢 Đúng giá sàn TMĐT")))</f>
        <v/>
      </c>
      <c r="Q719" s="3" t="n"/>
      <c r="R719" s="4" t="n"/>
      <c r="S719" s="4" t="n"/>
    </row>
    <row r="720">
      <c r="A720" s="3" t="n">
        <v>719</v>
      </c>
      <c r="B720" s="3" t="inlineStr">
        <is>
          <t>KH004</t>
        </is>
      </c>
      <c r="C720" s="4" t="inlineStr">
        <is>
          <t>HCM-BIGSHOP</t>
        </is>
      </c>
      <c r="D720" s="3" t="inlineStr">
        <is>
          <t>HCM</t>
        </is>
      </c>
      <c r="E720" s="3" t="inlineStr">
        <is>
          <t>XUÂN TRANG</t>
        </is>
      </c>
      <c r="F720" s="3" t="inlineStr">
        <is>
          <t>Website bán hàng</t>
        </is>
      </c>
      <c r="G720" s="3" t="inlineStr">
        <is>
          <t>KRL-76*370</t>
        </is>
      </c>
      <c r="H720" s="4" t="inlineStr">
        <is>
          <t>Khoan rút lõi bê tông nước KRL-76*370</t>
        </is>
      </c>
      <c r="I720" s="3" t="inlineStr">
        <is>
          <t>Cái</t>
        </is>
      </c>
      <c r="J720" s="5" t="n">
        <v>391000</v>
      </c>
      <c r="K720" s="5" t="n">
        <v>469000</v>
      </c>
      <c r="L720" s="6" t="n">
        <v>587000</v>
      </c>
      <c r="M720" s="5" t="n"/>
      <c r="N720" s="5">
        <f>IF(AND(ISNUMBER(M720),ISNUMBER(L720)),M720-L720,"")</f>
        <v/>
      </c>
      <c r="O720" s="7">
        <f>IF(AND(ISNUMBER(M720),ISNUMBER(L720),L720&gt;0),(M720-L720)/L720,"")</f>
        <v/>
      </c>
      <c r="P720" s="3">
        <f>IF(O720="","",IF(O720&lt;-0.02,"🔴 Bán phá giá sàn",IF(O720&gt;0.05,"🔵 Bán cao hơn","🟢 Đúng giá sàn TMĐT")))</f>
        <v/>
      </c>
      <c r="Q720" s="3" t="n"/>
      <c r="R720" s="4" t="n"/>
      <c r="S720" s="4" t="n"/>
    </row>
    <row r="721">
      <c r="A721" s="3" t="n">
        <v>720</v>
      </c>
      <c r="B721" s="3" t="inlineStr">
        <is>
          <t>KH004</t>
        </is>
      </c>
      <c r="C721" s="4" t="inlineStr">
        <is>
          <t>HCM-BIGSHOP</t>
        </is>
      </c>
      <c r="D721" s="3" t="inlineStr">
        <is>
          <t>HCM</t>
        </is>
      </c>
      <c r="E721" s="3" t="inlineStr">
        <is>
          <t>XUÂN TRANG</t>
        </is>
      </c>
      <c r="F721" s="3" t="inlineStr">
        <is>
          <t>Website bán hàng</t>
        </is>
      </c>
      <c r="G721" s="3" t="inlineStr">
        <is>
          <t>TS-180R</t>
        </is>
      </c>
      <c r="H721" s="4" t="inlineStr">
        <is>
          <t>Lưỡi cắt KingBlue TS-180R</t>
        </is>
      </c>
      <c r="I721" s="3" t="inlineStr">
        <is>
          <t>Cái</t>
        </is>
      </c>
      <c r="J721" s="5" t="n">
        <v>110000</v>
      </c>
      <c r="K721" s="5" t="n">
        <v>130000</v>
      </c>
      <c r="L721" s="6" t="n">
        <v>160000</v>
      </c>
      <c r="M721" s="5" t="n"/>
      <c r="N721" s="5">
        <f>IF(AND(ISNUMBER(M721),ISNUMBER(L721)),M721-L721,"")</f>
        <v/>
      </c>
      <c r="O721" s="7">
        <f>IF(AND(ISNUMBER(M721),ISNUMBER(L721),L721&gt;0),(M721-L721)/L721,"")</f>
        <v/>
      </c>
      <c r="P721" s="3">
        <f>IF(O721="","",IF(O721&lt;-0.02,"🔴 Bán phá giá sàn",IF(O721&gt;0.05,"🔵 Bán cao hơn","🟢 Đúng giá sàn TMĐT")))</f>
        <v/>
      </c>
      <c r="Q721" s="3" t="n"/>
      <c r="R721" s="4" t="n"/>
      <c r="S721" s="4" t="n"/>
    </row>
    <row r="722">
      <c r="A722" s="3" t="n">
        <v>721</v>
      </c>
      <c r="B722" s="3" t="inlineStr">
        <is>
          <t>KH004</t>
        </is>
      </c>
      <c r="C722" s="4" t="inlineStr">
        <is>
          <t>HCM-BIGSHOP</t>
        </is>
      </c>
      <c r="D722" s="3" t="inlineStr">
        <is>
          <t>HCM</t>
        </is>
      </c>
      <c r="E722" s="3" t="inlineStr">
        <is>
          <t>XUÂN TRANG</t>
        </is>
      </c>
      <c r="F722" s="3" t="inlineStr">
        <is>
          <t>Website bán hàng</t>
        </is>
      </c>
      <c r="G722" s="3" t="inlineStr">
        <is>
          <t>KB-05XS</t>
        </is>
      </c>
      <c r="H722" s="4" t="inlineStr">
        <is>
          <t>Máy cân bằng KB-05XS</t>
        </is>
      </c>
      <c r="I722" s="3" t="inlineStr">
        <is>
          <t>Cái</t>
        </is>
      </c>
      <c r="J722" s="5" t="n">
        <v>2090000</v>
      </c>
      <c r="K722" s="5" t="n">
        <v>2340000</v>
      </c>
      <c r="L722" s="6" t="n">
        <v>2720000</v>
      </c>
      <c r="M722" s="5" t="n"/>
      <c r="N722" s="5">
        <f>IF(AND(ISNUMBER(M722),ISNUMBER(L722)),M722-L722,"")</f>
        <v/>
      </c>
      <c r="O722" s="7">
        <f>IF(AND(ISNUMBER(M722),ISNUMBER(L722),L722&gt;0),(M722-L722)/L722,"")</f>
        <v/>
      </c>
      <c r="P722" s="3">
        <f>IF(O722="","",IF(O722&lt;-0.02,"🔴 Bán phá giá sàn",IF(O722&gt;0.05,"🔵 Bán cao hơn","🟢 Đúng giá sàn TMĐT")))</f>
        <v/>
      </c>
      <c r="Q722" s="3" t="n"/>
      <c r="R722" s="4" t="n"/>
      <c r="S722" s="4" t="n"/>
    </row>
    <row r="723">
      <c r="A723" s="3" t="n">
        <v>722</v>
      </c>
      <c r="B723" s="3" t="inlineStr">
        <is>
          <t>KH004</t>
        </is>
      </c>
      <c r="C723" s="4" t="inlineStr">
        <is>
          <t>HCM-BIGSHOP</t>
        </is>
      </c>
      <c r="D723" s="3" t="inlineStr">
        <is>
          <t>HCM</t>
        </is>
      </c>
      <c r="E723" s="3" t="inlineStr">
        <is>
          <t>XUÂN TRANG</t>
        </is>
      </c>
      <c r="F723" s="3" t="inlineStr">
        <is>
          <t>Website bán hàng</t>
        </is>
      </c>
      <c r="G723" s="3" t="inlineStr">
        <is>
          <t>KBA-UL1200</t>
        </is>
      </c>
      <c r="H723" s="4" t="inlineStr">
        <is>
          <t>Máy rửa xe áp lực cao KBA-UL1200</t>
        </is>
      </c>
      <c r="I723" s="3" t="inlineStr">
        <is>
          <t>Cái</t>
        </is>
      </c>
      <c r="J723" s="5" t="n">
        <v>1290000</v>
      </c>
      <c r="K723" s="5" t="n">
        <v>1450000</v>
      </c>
      <c r="L723" s="6" t="n">
        <v>1680000</v>
      </c>
      <c r="M723" s="5" t="n"/>
      <c r="N723" s="5">
        <f>IF(AND(ISNUMBER(M723),ISNUMBER(L723)),M723-L723,"")</f>
        <v/>
      </c>
      <c r="O723" s="7">
        <f>IF(AND(ISNUMBER(M723),ISNUMBER(L723),L723&gt;0),(M723-L723)/L723,"")</f>
        <v/>
      </c>
      <c r="P723" s="3">
        <f>IF(O723="","",IF(O723&lt;-0.02,"🔴 Bán phá giá sàn",IF(O723&gt;0.05,"🔵 Bán cao hơn","🟢 Đúng giá sàn TMĐT")))</f>
        <v/>
      </c>
      <c r="Q723" s="3" t="n"/>
      <c r="R723" s="4" t="n"/>
      <c r="S723" s="4" t="n"/>
    </row>
    <row r="724">
      <c r="A724" s="3" t="n">
        <v>723</v>
      </c>
      <c r="B724" s="3" t="inlineStr">
        <is>
          <t>KH004</t>
        </is>
      </c>
      <c r="C724" s="4" t="inlineStr">
        <is>
          <t>HCM-BIGSHOP</t>
        </is>
      </c>
      <c r="D724" s="3" t="inlineStr">
        <is>
          <t>HCM</t>
        </is>
      </c>
      <c r="E724" s="3" t="inlineStr">
        <is>
          <t>XUÂN TRANG</t>
        </is>
      </c>
      <c r="F724" s="3" t="inlineStr">
        <is>
          <t>Website bán hàng</t>
        </is>
      </c>
      <c r="G724" s="3" t="inlineStr">
        <is>
          <t>KBA-I1500</t>
        </is>
      </c>
      <c r="H724" s="4" t="inlineStr">
        <is>
          <t>Máy rửa xe KBA-I1500</t>
        </is>
      </c>
      <c r="I724" s="3" t="inlineStr">
        <is>
          <t>Cái</t>
        </is>
      </c>
      <c r="J724" s="5" t="n">
        <v>2050000</v>
      </c>
      <c r="K724" s="5" t="n">
        <v>2300000</v>
      </c>
      <c r="L724" s="6" t="n">
        <v>2670000</v>
      </c>
      <c r="M724" s="5" t="n"/>
      <c r="N724" s="5">
        <f>IF(AND(ISNUMBER(M724),ISNUMBER(L724)),M724-L724,"")</f>
        <v/>
      </c>
      <c r="O724" s="7">
        <f>IF(AND(ISNUMBER(M724),ISNUMBER(L724),L724&gt;0),(M724-L724)/L724,"")</f>
        <v/>
      </c>
      <c r="P724" s="3">
        <f>IF(O724="","",IF(O724&lt;-0.02,"🔴 Bán phá giá sàn",IF(O724&gt;0.05,"🔵 Bán cao hơn","🟢 Đúng giá sàn TMĐT")))</f>
        <v/>
      </c>
      <c r="Q724" s="3" t="n"/>
      <c r="R724" s="4" t="n"/>
      <c r="S724" s="4" t="n"/>
    </row>
    <row r="725">
      <c r="A725" s="3" t="n">
        <v>724</v>
      </c>
      <c r="B725" s="3" t="inlineStr">
        <is>
          <t>KH004</t>
        </is>
      </c>
      <c r="C725" s="4" t="inlineStr">
        <is>
          <t>HCM-BIGSHOP</t>
        </is>
      </c>
      <c r="D725" s="3" t="inlineStr">
        <is>
          <t>HCM</t>
        </is>
      </c>
      <c r="E725" s="3" t="inlineStr">
        <is>
          <t>XUÂN TRANG</t>
        </is>
      </c>
      <c r="F725" s="3" t="inlineStr">
        <is>
          <t>Website bán hàng</t>
        </is>
      </c>
      <c r="G725" s="3" t="inlineStr">
        <is>
          <t>V50S</t>
        </is>
      </c>
      <c r="H725" s="4" t="inlineStr">
        <is>
          <t>Mũi bắn vít PH2 V50S</t>
        </is>
      </c>
      <c r="I725" s="3" t="inlineStr">
        <is>
          <t>Vỉ</t>
        </is>
      </c>
      <c r="J725" s="5" t="n">
        <v>28000</v>
      </c>
      <c r="K725" s="5" t="n">
        <v>36000</v>
      </c>
      <c r="L725" s="6" t="n">
        <v>48000</v>
      </c>
      <c r="M725" s="5" t="n"/>
      <c r="N725" s="5">
        <f>IF(AND(ISNUMBER(M725),ISNUMBER(L725)),M725-L725,"")</f>
        <v/>
      </c>
      <c r="O725" s="7">
        <f>IF(AND(ISNUMBER(M725),ISNUMBER(L725),L725&gt;0),(M725-L725)/L725,"")</f>
        <v/>
      </c>
      <c r="P725" s="3">
        <f>IF(O725="","",IF(O725&lt;-0.02,"🔴 Bán phá giá sàn",IF(O725&gt;0.05,"🔵 Bán cao hơn","🟢 Đúng giá sàn TMĐT")))</f>
        <v/>
      </c>
      <c r="Q725" s="3" t="n"/>
      <c r="R725" s="4" t="n"/>
      <c r="S725" s="4" t="n"/>
    </row>
    <row r="726">
      <c r="A726" s="3" t="n">
        <v>725</v>
      </c>
      <c r="B726" s="3" t="inlineStr">
        <is>
          <t>KH004</t>
        </is>
      </c>
      <c r="C726" s="4" t="inlineStr">
        <is>
          <t>HCM-BIGSHOP</t>
        </is>
      </c>
      <c r="D726" s="3" t="inlineStr">
        <is>
          <t>HCM</t>
        </is>
      </c>
      <c r="E726" s="3" t="inlineStr">
        <is>
          <t>XUÂN TRANG</t>
        </is>
      </c>
      <c r="F726" s="3" t="inlineStr">
        <is>
          <t>Website bán hàng</t>
        </is>
      </c>
      <c r="G726" s="3" t="inlineStr"/>
      <c r="H726" s="4" t="inlineStr">
        <is>
          <t>Mũi định tâm chuôi dài</t>
        </is>
      </c>
      <c r="I726" s="3" t="inlineStr">
        <is>
          <t>Cái</t>
        </is>
      </c>
      <c r="J726" s="5" t="n">
        <v>269000</v>
      </c>
      <c r="K726" s="5" t="n">
        <v>317000</v>
      </c>
      <c r="L726" s="6" t="n">
        <v>390000</v>
      </c>
      <c r="M726" s="5" t="n"/>
      <c r="N726" s="5">
        <f>IF(AND(ISNUMBER(M726),ISNUMBER(L726)),M726-L726,"")</f>
        <v/>
      </c>
      <c r="O726" s="7">
        <f>IF(AND(ISNUMBER(M726),ISNUMBER(L726),L726&gt;0),(M726-L726)/L726,"")</f>
        <v/>
      </c>
      <c r="P726" s="3">
        <f>IF(O726="","",IF(O726&lt;-0.02,"🔴 Bán phá giá sàn",IF(O726&gt;0.05,"🔵 Bán cao hơn","🟢 Đúng giá sàn TMĐT")))</f>
        <v/>
      </c>
      <c r="Q726" s="3" t="n"/>
      <c r="R726" s="4" t="n"/>
      <c r="S726" s="4" t="n"/>
    </row>
    <row r="727">
      <c r="A727" s="3" t="n">
        <v>726</v>
      </c>
      <c r="B727" s="3" t="inlineStr">
        <is>
          <t>KH004</t>
        </is>
      </c>
      <c r="C727" s="4" t="inlineStr">
        <is>
          <t>HCM-BIGSHOP</t>
        </is>
      </c>
      <c r="D727" s="3" t="inlineStr">
        <is>
          <t>HCM</t>
        </is>
      </c>
      <c r="E727" s="3" t="inlineStr">
        <is>
          <t>XUÂN TRANG</t>
        </is>
      </c>
      <c r="F727" s="3" t="inlineStr">
        <is>
          <t>Website bán hàng</t>
        </is>
      </c>
      <c r="G727" s="3" t="inlineStr"/>
      <c r="H727" s="4" t="inlineStr">
        <is>
          <t>Mũi đục bê tông KBVd-14*250*22</t>
        </is>
      </c>
      <c r="I727" s="3" t="inlineStr">
        <is>
          <t>Cái</t>
        </is>
      </c>
      <c r="J727" s="5" t="n">
        <v>269000</v>
      </c>
      <c r="K727" s="5" t="n">
        <v>317000</v>
      </c>
      <c r="L727" s="6" t="n">
        <v>390000</v>
      </c>
      <c r="M727" s="5" t="n"/>
      <c r="N727" s="5">
        <f>IF(AND(ISNUMBER(M727),ISNUMBER(L727)),M727-L727,"")</f>
        <v/>
      </c>
      <c r="O727" s="7">
        <f>IF(AND(ISNUMBER(M727),ISNUMBER(L727),L727&gt;0),(M727-L727)/L727,"")</f>
        <v/>
      </c>
      <c r="P727" s="3">
        <f>IF(O727="","",IF(O727&lt;-0.02,"🔴 Bán phá giá sàn",IF(O727&gt;0.05,"🔵 Bán cao hơn","🟢 Đúng giá sàn TMĐT")))</f>
        <v/>
      </c>
      <c r="Q727" s="3" t="n"/>
      <c r="R727" s="4" t="n"/>
      <c r="S727" s="4" t="n"/>
    </row>
    <row r="728">
      <c r="A728" s="3" t="n">
        <v>727</v>
      </c>
      <c r="B728" s="3" t="inlineStr">
        <is>
          <t>KH004</t>
        </is>
      </c>
      <c r="C728" s="4" t="inlineStr">
        <is>
          <t>HCM-BIGSHOP</t>
        </is>
      </c>
      <c r="D728" s="3" t="inlineStr">
        <is>
          <t>HCM</t>
        </is>
      </c>
      <c r="E728" s="3" t="inlineStr">
        <is>
          <t>XUÂN TRANG</t>
        </is>
      </c>
      <c r="F728" s="3" t="inlineStr">
        <is>
          <t>Website bán hàng</t>
        </is>
      </c>
      <c r="G728" s="3" t="inlineStr"/>
      <c r="H728" s="4" t="inlineStr">
        <is>
          <t>Mũi đục bê tông KBVd-17*280*25</t>
        </is>
      </c>
      <c r="I728" s="3" t="inlineStr">
        <is>
          <t>Cái</t>
        </is>
      </c>
      <c r="J728" s="5" t="n">
        <v>269000</v>
      </c>
      <c r="K728" s="5" t="n">
        <v>317000</v>
      </c>
      <c r="L728" s="6" t="n">
        <v>390000</v>
      </c>
      <c r="M728" s="5" t="n"/>
      <c r="N728" s="5">
        <f>IF(AND(ISNUMBER(M728),ISNUMBER(L728)),M728-L728,"")</f>
        <v/>
      </c>
      <c r="O728" s="7">
        <f>IF(AND(ISNUMBER(M728),ISNUMBER(L728),L728&gt;0),(M728-L728)/L728,"")</f>
        <v/>
      </c>
      <c r="P728" s="3">
        <f>IF(O728="","",IF(O728&lt;-0.02,"🔴 Bán phá giá sàn",IF(O728&gt;0.05,"🔵 Bán cao hơn","🟢 Đúng giá sàn TMĐT")))</f>
        <v/>
      </c>
      <c r="Q728" s="3" t="n"/>
      <c r="R728" s="4" t="n"/>
      <c r="S728" s="4" t="n"/>
    </row>
    <row r="729">
      <c r="A729" s="3" t="n">
        <v>728</v>
      </c>
      <c r="B729" s="3" t="inlineStr">
        <is>
          <t>KH004</t>
        </is>
      </c>
      <c r="C729" s="4" t="inlineStr">
        <is>
          <t>HCM-BIGSHOP</t>
        </is>
      </c>
      <c r="D729" s="3" t="inlineStr">
        <is>
          <t>HCM</t>
        </is>
      </c>
      <c r="E729" s="3" t="inlineStr">
        <is>
          <t>XUÂN TRANG</t>
        </is>
      </c>
      <c r="F729" s="3" t="inlineStr">
        <is>
          <t>Website bán hàng</t>
        </is>
      </c>
      <c r="G729" s="3" t="inlineStr"/>
      <c r="H729" s="4" t="inlineStr">
        <is>
          <t>Mũi đục bê tông KBVn-14*250</t>
        </is>
      </c>
      <c r="I729" s="3" t="inlineStr">
        <is>
          <t>Cái</t>
        </is>
      </c>
      <c r="J729" s="5" t="n">
        <v>269000</v>
      </c>
      <c r="K729" s="5" t="n">
        <v>317000</v>
      </c>
      <c r="L729" s="6" t="n">
        <v>390000</v>
      </c>
      <c r="M729" s="5" t="n"/>
      <c r="N729" s="5">
        <f>IF(AND(ISNUMBER(M729),ISNUMBER(L729)),M729-L729,"")</f>
        <v/>
      </c>
      <c r="O729" s="7">
        <f>IF(AND(ISNUMBER(M729),ISNUMBER(L729),L729&gt;0),(M729-L729)/L729,"")</f>
        <v/>
      </c>
      <c r="P729" s="3">
        <f>IF(O729="","",IF(O729&lt;-0.02,"🔴 Bán phá giá sàn",IF(O729&gt;0.05,"🔵 Bán cao hơn","🟢 Đúng giá sàn TMĐT")))</f>
        <v/>
      </c>
      <c r="Q729" s="3" t="n"/>
      <c r="R729" s="4" t="n"/>
      <c r="S729" s="4" t="n"/>
    </row>
    <row r="730">
      <c r="A730" s="3" t="n">
        <v>729</v>
      </c>
      <c r="B730" s="3" t="inlineStr">
        <is>
          <t>KH004</t>
        </is>
      </c>
      <c r="C730" s="4" t="inlineStr">
        <is>
          <t>HCM-BIGSHOP</t>
        </is>
      </c>
      <c r="D730" s="3" t="inlineStr">
        <is>
          <t>HCM</t>
        </is>
      </c>
      <c r="E730" s="3" t="inlineStr">
        <is>
          <t>XUÂN TRANG</t>
        </is>
      </c>
      <c r="F730" s="3" t="inlineStr">
        <is>
          <t>Website bán hàng</t>
        </is>
      </c>
      <c r="G730" s="3" t="inlineStr"/>
      <c r="H730" s="4" t="inlineStr">
        <is>
          <t>Mũi đục bê tông KBVn-17*280</t>
        </is>
      </c>
      <c r="I730" s="3" t="inlineStr">
        <is>
          <t>Cái</t>
        </is>
      </c>
      <c r="J730" s="5" t="n">
        <v>269000</v>
      </c>
      <c r="K730" s="5" t="n">
        <v>317000</v>
      </c>
      <c r="L730" s="6" t="n">
        <v>390000</v>
      </c>
      <c r="M730" s="5" t="n"/>
      <c r="N730" s="5">
        <f>IF(AND(ISNUMBER(M730),ISNUMBER(L730)),M730-L730,"")</f>
        <v/>
      </c>
      <c r="O730" s="7">
        <f>IF(AND(ISNUMBER(M730),ISNUMBER(L730),L730&gt;0),(M730-L730)/L730,"")</f>
        <v/>
      </c>
      <c r="P730" s="3">
        <f>IF(O730="","",IF(O730&lt;-0.02,"🔴 Bán phá giá sàn",IF(O730&gt;0.05,"🔵 Bán cao hơn","🟢 Đúng giá sàn TMĐT")))</f>
        <v/>
      </c>
      <c r="Q730" s="3" t="n"/>
      <c r="R730" s="4" t="n"/>
      <c r="S730" s="4" t="n"/>
    </row>
    <row r="731">
      <c r="A731" s="3" t="n">
        <v>730</v>
      </c>
      <c r="B731" s="3" t="inlineStr">
        <is>
          <t>KH004</t>
        </is>
      </c>
      <c r="C731" s="4" t="inlineStr">
        <is>
          <t>HCM-BIGSHOP</t>
        </is>
      </c>
      <c r="D731" s="3" t="inlineStr">
        <is>
          <t>HCM</t>
        </is>
      </c>
      <c r="E731" s="3" t="inlineStr">
        <is>
          <t>XUÂN TRANG</t>
        </is>
      </c>
      <c r="F731" s="3" t="inlineStr">
        <is>
          <t>Website bán hàng</t>
        </is>
      </c>
      <c r="G731" s="3" t="inlineStr">
        <is>
          <t>KBL4-06*160</t>
        </is>
      </c>
      <c r="H731" s="4" t="inlineStr">
        <is>
          <t>Mũi khoan bê tông 4 cạnh KBL4-06*160</t>
        </is>
      </c>
      <c r="I731" s="3" t="inlineStr">
        <is>
          <t>Cái</t>
        </is>
      </c>
      <c r="J731" s="5" t="n">
        <v>24000</v>
      </c>
      <c r="K731" s="5" t="n">
        <v>29000</v>
      </c>
      <c r="L731" s="6" t="n">
        <v>37000</v>
      </c>
      <c r="M731" s="5" t="n"/>
      <c r="N731" s="5">
        <f>IF(AND(ISNUMBER(M731),ISNUMBER(L731)),M731-L731,"")</f>
        <v/>
      </c>
      <c r="O731" s="7">
        <f>IF(AND(ISNUMBER(M731),ISNUMBER(L731),L731&gt;0),(M731-L731)/L731,"")</f>
        <v/>
      </c>
      <c r="P731" s="3">
        <f>IF(O731="","",IF(O731&lt;-0.02,"🔴 Bán phá giá sàn",IF(O731&gt;0.05,"🔵 Bán cao hơn","🟢 Đúng giá sàn TMĐT")))</f>
        <v/>
      </c>
      <c r="Q731" s="3" t="n"/>
      <c r="R731" s="4" t="n"/>
      <c r="S731" s="4" t="n"/>
    </row>
    <row r="732">
      <c r="A732" s="3" t="n">
        <v>731</v>
      </c>
      <c r="B732" s="3" t="inlineStr">
        <is>
          <t>KH004</t>
        </is>
      </c>
      <c r="C732" s="4" t="inlineStr">
        <is>
          <t>HCM-BIGSHOP</t>
        </is>
      </c>
      <c r="D732" s="3" t="inlineStr">
        <is>
          <t>HCM</t>
        </is>
      </c>
      <c r="E732" s="3" t="inlineStr">
        <is>
          <t>XUÂN TRANG</t>
        </is>
      </c>
      <c r="F732" s="3" t="inlineStr">
        <is>
          <t>Website bán hàng</t>
        </is>
      </c>
      <c r="G732" s="3" t="inlineStr">
        <is>
          <t>KBL4-08*160</t>
        </is>
      </c>
      <c r="H732" s="4" t="inlineStr">
        <is>
          <t>Mũi khoan bê tông 4 cạnh KBL4-08*160</t>
        </is>
      </c>
      <c r="I732" s="3" t="inlineStr">
        <is>
          <t>Cái</t>
        </is>
      </c>
      <c r="J732" s="5" t="n">
        <v>27000</v>
      </c>
      <c r="K732" s="5" t="n">
        <v>33000</v>
      </c>
      <c r="L732" s="6" t="n">
        <v>42000</v>
      </c>
      <c r="M732" s="5" t="n"/>
      <c r="N732" s="5">
        <f>IF(AND(ISNUMBER(M732),ISNUMBER(L732)),M732-L732,"")</f>
        <v/>
      </c>
      <c r="O732" s="7">
        <f>IF(AND(ISNUMBER(M732),ISNUMBER(L732),L732&gt;0),(M732-L732)/L732,"")</f>
        <v/>
      </c>
      <c r="P732" s="3">
        <f>IF(O732="","",IF(O732&lt;-0.02,"🔴 Bán phá giá sàn",IF(O732&gt;0.05,"🔵 Bán cao hơn","🟢 Đúng giá sàn TMĐT")))</f>
        <v/>
      </c>
      <c r="Q732" s="3" t="n"/>
      <c r="R732" s="4" t="n"/>
      <c r="S732" s="4" t="n"/>
    </row>
    <row r="733">
      <c r="A733" s="3" t="n">
        <v>732</v>
      </c>
      <c r="B733" s="3" t="inlineStr">
        <is>
          <t>KH004</t>
        </is>
      </c>
      <c r="C733" s="4" t="inlineStr">
        <is>
          <t>HCM-BIGSHOP</t>
        </is>
      </c>
      <c r="D733" s="3" t="inlineStr">
        <is>
          <t>HCM</t>
        </is>
      </c>
      <c r="E733" s="3" t="inlineStr">
        <is>
          <t>XUÂN TRANG</t>
        </is>
      </c>
      <c r="F733" s="3" t="inlineStr">
        <is>
          <t>Website bán hàng</t>
        </is>
      </c>
      <c r="G733" s="3" t="inlineStr">
        <is>
          <t>KBL4-10*160</t>
        </is>
      </c>
      <c r="H733" s="4" t="inlineStr">
        <is>
          <t>Mũi khoan bê tông 4 cạnh KBL4-10*160</t>
        </is>
      </c>
      <c r="I733" s="3" t="inlineStr">
        <is>
          <t>Cái</t>
        </is>
      </c>
      <c r="J733" s="5" t="n">
        <v>30000</v>
      </c>
      <c r="K733" s="5" t="n">
        <v>37000</v>
      </c>
      <c r="L733" s="6" t="n">
        <v>47000</v>
      </c>
      <c r="M733" s="5" t="n"/>
      <c r="N733" s="5">
        <f>IF(AND(ISNUMBER(M733),ISNUMBER(L733)),M733-L733,"")</f>
        <v/>
      </c>
      <c r="O733" s="7">
        <f>IF(AND(ISNUMBER(M733),ISNUMBER(L733),L733&gt;0),(M733-L733)/L733,"")</f>
        <v/>
      </c>
      <c r="P733" s="3">
        <f>IF(O733="","",IF(O733&lt;-0.02,"🔴 Bán phá giá sàn",IF(O733&gt;0.05,"🔵 Bán cao hơn","🟢 Đúng giá sàn TMĐT")))</f>
        <v/>
      </c>
      <c r="Q733" s="3" t="n"/>
      <c r="R733" s="4" t="n"/>
      <c r="S733" s="4" t="n"/>
    </row>
    <row r="734">
      <c r="A734" s="3" t="n">
        <v>733</v>
      </c>
      <c r="B734" s="3" t="inlineStr">
        <is>
          <t>KH004</t>
        </is>
      </c>
      <c r="C734" s="4" t="inlineStr">
        <is>
          <t>HCM-BIGSHOP</t>
        </is>
      </c>
      <c r="D734" s="3" t="inlineStr">
        <is>
          <t>HCM</t>
        </is>
      </c>
      <c r="E734" s="3" t="inlineStr">
        <is>
          <t>XUÂN TRANG</t>
        </is>
      </c>
      <c r="F734" s="3" t="inlineStr">
        <is>
          <t>Website bán hàng</t>
        </is>
      </c>
      <c r="G734" s="3" t="inlineStr">
        <is>
          <t>KBL4-12*160</t>
        </is>
      </c>
      <c r="H734" s="4" t="inlineStr">
        <is>
          <t>Mũi khoan bê tông 4 cạnh KBL4-12*160</t>
        </is>
      </c>
      <c r="I734" s="3" t="inlineStr">
        <is>
          <t>Cái</t>
        </is>
      </c>
      <c r="J734" s="5" t="n">
        <v>33000</v>
      </c>
      <c r="K734" s="5" t="n">
        <v>40000</v>
      </c>
      <c r="L734" s="6" t="n">
        <v>51000</v>
      </c>
      <c r="M734" s="5" t="n"/>
      <c r="N734" s="5">
        <f>IF(AND(ISNUMBER(M734),ISNUMBER(L734)),M734-L734,"")</f>
        <v/>
      </c>
      <c r="O734" s="7">
        <f>IF(AND(ISNUMBER(M734),ISNUMBER(L734),L734&gt;0),(M734-L734)/L734,"")</f>
        <v/>
      </c>
      <c r="P734" s="3">
        <f>IF(O734="","",IF(O734&lt;-0.02,"🔴 Bán phá giá sàn",IF(O734&gt;0.05,"🔵 Bán cao hơn","🟢 Đúng giá sàn TMĐT")))</f>
        <v/>
      </c>
      <c r="Q734" s="3" t="n"/>
      <c r="R734" s="4" t="n"/>
      <c r="S734" s="4" t="n"/>
    </row>
    <row r="735">
      <c r="A735" s="3" t="n">
        <v>734</v>
      </c>
      <c r="B735" s="3" t="inlineStr">
        <is>
          <t>KH004</t>
        </is>
      </c>
      <c r="C735" s="4" t="inlineStr">
        <is>
          <t>HCM-BIGSHOP</t>
        </is>
      </c>
      <c r="D735" s="3" t="inlineStr">
        <is>
          <t>HCM</t>
        </is>
      </c>
      <c r="E735" s="3" t="inlineStr">
        <is>
          <t>XUÂN TRANG</t>
        </is>
      </c>
      <c r="F735" s="3" t="inlineStr">
        <is>
          <t>Website bán hàng</t>
        </is>
      </c>
      <c r="G735" s="3" t="inlineStr">
        <is>
          <t>KBL2-08*110</t>
        </is>
      </c>
      <c r="H735" s="4" t="inlineStr">
        <is>
          <t>Mũi khoan bê tông gài 2 cạnh KBL2-08*110</t>
        </is>
      </c>
      <c r="I735" s="3" t="inlineStr">
        <is>
          <t>Cái</t>
        </is>
      </c>
      <c r="J735" s="5" t="n">
        <v>22000</v>
      </c>
      <c r="K735" s="5" t="n">
        <v>27000</v>
      </c>
      <c r="L735" s="6" t="n">
        <v>34000</v>
      </c>
      <c r="M735" s="5" t="n"/>
      <c r="N735" s="5">
        <f>IF(AND(ISNUMBER(M735),ISNUMBER(L735)),M735-L735,"")</f>
        <v/>
      </c>
      <c r="O735" s="7">
        <f>IF(AND(ISNUMBER(M735),ISNUMBER(L735),L735&gt;0),(M735-L735)/L735,"")</f>
        <v/>
      </c>
      <c r="P735" s="3">
        <f>IF(O735="","",IF(O735&lt;-0.02,"🔴 Bán phá giá sàn",IF(O735&gt;0.05,"🔵 Bán cao hơn","🟢 Đúng giá sàn TMĐT")))</f>
        <v/>
      </c>
      <c r="Q735" s="3" t="n"/>
      <c r="R735" s="4" t="n"/>
      <c r="S735" s="4" t="n"/>
    </row>
    <row r="736">
      <c r="A736" s="3" t="n">
        <v>735</v>
      </c>
      <c r="B736" s="3" t="inlineStr">
        <is>
          <t>KH004</t>
        </is>
      </c>
      <c r="C736" s="4" t="inlineStr">
        <is>
          <t>HCM-BIGSHOP</t>
        </is>
      </c>
      <c r="D736" s="3" t="inlineStr">
        <is>
          <t>HCM</t>
        </is>
      </c>
      <c r="E736" s="3" t="inlineStr">
        <is>
          <t>XUÂN TRANG</t>
        </is>
      </c>
      <c r="F736" s="3" t="inlineStr">
        <is>
          <t>Website bán hàng</t>
        </is>
      </c>
      <c r="G736" s="3" t="inlineStr">
        <is>
          <t>KBL2-08*160</t>
        </is>
      </c>
      <c r="H736" s="4" t="inlineStr">
        <is>
          <t>Mũi khoan bê tông gài 2 cạnh KBL2-08*160</t>
        </is>
      </c>
      <c r="I736" s="3" t="inlineStr">
        <is>
          <t>Cái</t>
        </is>
      </c>
      <c r="J736" s="5" t="n">
        <v>25000</v>
      </c>
      <c r="K736" s="5" t="n">
        <v>31000</v>
      </c>
      <c r="L736" s="6" t="n">
        <v>39000</v>
      </c>
      <c r="M736" s="5" t="n"/>
      <c r="N736" s="5">
        <f>IF(AND(ISNUMBER(M736),ISNUMBER(L736)),M736-L736,"")</f>
        <v/>
      </c>
      <c r="O736" s="7">
        <f>IF(AND(ISNUMBER(M736),ISNUMBER(L736),L736&gt;0),(M736-L736)/L736,"")</f>
        <v/>
      </c>
      <c r="P736" s="3">
        <f>IF(O736="","",IF(O736&lt;-0.02,"🔴 Bán phá giá sàn",IF(O736&gt;0.05,"🔵 Bán cao hơn","🟢 Đúng giá sàn TMĐT")))</f>
        <v/>
      </c>
      <c r="Q736" s="3" t="n"/>
      <c r="R736" s="4" t="n"/>
      <c r="S736" s="4" t="n"/>
    </row>
    <row r="737">
      <c r="A737" s="3" t="n">
        <v>736</v>
      </c>
      <c r="B737" s="3" t="inlineStr">
        <is>
          <t>KH004</t>
        </is>
      </c>
      <c r="C737" s="4" t="inlineStr">
        <is>
          <t>HCM-BIGSHOP</t>
        </is>
      </c>
      <c r="D737" s="3" t="inlineStr">
        <is>
          <t>HCM</t>
        </is>
      </c>
      <c r="E737" s="3" t="inlineStr">
        <is>
          <t>XUÂN TRANG</t>
        </is>
      </c>
      <c r="F737" s="3" t="inlineStr">
        <is>
          <t>Website bán hàng</t>
        </is>
      </c>
      <c r="G737" s="3" t="inlineStr">
        <is>
          <t>KBL2-12*310</t>
        </is>
      </c>
      <c r="H737" s="4" t="inlineStr">
        <is>
          <t>Mũi khoan bê tông gài xuyên tường 2 cạnh KBL2-12*310</t>
        </is>
      </c>
      <c r="I737" s="3" t="inlineStr">
        <is>
          <t>Cái</t>
        </is>
      </c>
      <c r="J737" s="5" t="n">
        <v>45000</v>
      </c>
      <c r="K737" s="5" t="n">
        <v>55000</v>
      </c>
      <c r="L737" s="6" t="n">
        <v>70000</v>
      </c>
      <c r="M737" s="5" t="n"/>
      <c r="N737" s="5">
        <f>IF(AND(ISNUMBER(M737),ISNUMBER(L737)),M737-L737,"")</f>
        <v/>
      </c>
      <c r="O737" s="7">
        <f>IF(AND(ISNUMBER(M737),ISNUMBER(L737),L737&gt;0),(M737-L737)/L737,"")</f>
        <v/>
      </c>
      <c r="P737" s="3">
        <f>IF(O737="","",IF(O737&lt;-0.02,"🔴 Bán phá giá sàn",IF(O737&gt;0.05,"🔵 Bán cao hơn","🟢 Đúng giá sàn TMĐT")))</f>
        <v/>
      </c>
      <c r="Q737" s="3" t="n"/>
      <c r="R737" s="4" t="n"/>
      <c r="S737" s="4" t="n"/>
    </row>
    <row r="738">
      <c r="A738" s="3" t="n">
        <v>737</v>
      </c>
      <c r="B738" s="3" t="inlineStr">
        <is>
          <t>KH004</t>
        </is>
      </c>
      <c r="C738" s="4" t="inlineStr">
        <is>
          <t>HCM-BIGSHOP</t>
        </is>
      </c>
      <c r="D738" s="3" t="inlineStr">
        <is>
          <t>HCM</t>
        </is>
      </c>
      <c r="E738" s="3" t="inlineStr">
        <is>
          <t>XUÂN TRANG</t>
        </is>
      </c>
      <c r="F738" s="3" t="inlineStr">
        <is>
          <t>Website bán hàng</t>
        </is>
      </c>
      <c r="G738" s="3" t="inlineStr">
        <is>
          <t>KBH4S-08*117</t>
        </is>
      </c>
      <c r="H738" s="4" t="inlineStr">
        <is>
          <t>Mũi khoan ĐN lục giác 4 cạnh KBH4S-08*117</t>
        </is>
      </c>
      <c r="I738" s="3" t="inlineStr">
        <is>
          <t>Cái</t>
        </is>
      </c>
      <c r="J738" s="5" t="n">
        <v>32000</v>
      </c>
      <c r="K738" s="5" t="n">
        <v>40000</v>
      </c>
      <c r="L738" s="6" t="n">
        <v>51000</v>
      </c>
      <c r="M738" s="5" t="n"/>
      <c r="N738" s="5">
        <f>IF(AND(ISNUMBER(M738),ISNUMBER(L738)),M738-L738,"")</f>
        <v/>
      </c>
      <c r="O738" s="7">
        <f>IF(AND(ISNUMBER(M738),ISNUMBER(L738),L738&gt;0),(M738-L738)/L738,"")</f>
        <v/>
      </c>
      <c r="P738" s="3">
        <f>IF(O738="","",IF(O738&lt;-0.02,"🔴 Bán phá giá sàn",IF(O738&gt;0.05,"🔵 Bán cao hơn","🟢 Đúng giá sàn TMĐT")))</f>
        <v/>
      </c>
      <c r="Q738" s="3" t="n"/>
      <c r="R738" s="4" t="n"/>
      <c r="S738" s="4" t="n"/>
    </row>
    <row r="739">
      <c r="A739" s="3" t="n">
        <v>738</v>
      </c>
      <c r="B739" s="3" t="inlineStr">
        <is>
          <t>KH004</t>
        </is>
      </c>
      <c r="C739" s="4" t="inlineStr">
        <is>
          <t>HCM-BIGSHOP</t>
        </is>
      </c>
      <c r="D739" s="3" t="inlineStr">
        <is>
          <t>HCM</t>
        </is>
      </c>
      <c r="E739" s="3" t="inlineStr">
        <is>
          <t>XUÂN TRANG</t>
        </is>
      </c>
      <c r="F739" s="3" t="inlineStr">
        <is>
          <t>Website bán hàng</t>
        </is>
      </c>
      <c r="G739" s="3" t="inlineStr">
        <is>
          <t>KRS-55*155</t>
        </is>
      </c>
      <c r="H739" s="4" t="inlineStr">
        <is>
          <t>Mũi khoan rút lõi khô KRS-55*155 (new)</t>
        </is>
      </c>
      <c r="I739" s="3" t="inlineStr">
        <is>
          <t>Cái</t>
        </is>
      </c>
      <c r="J739" s="5" t="n">
        <v>1190000</v>
      </c>
      <c r="K739" s="5" t="n">
        <v>1380000</v>
      </c>
      <c r="L739" s="6" t="n">
        <v>1666000</v>
      </c>
      <c r="M739" s="5" t="n"/>
      <c r="N739" s="5">
        <f>IF(AND(ISNUMBER(M739),ISNUMBER(L739)),M739-L739,"")</f>
        <v/>
      </c>
      <c r="O739" s="7">
        <f>IF(AND(ISNUMBER(M739),ISNUMBER(L739),L739&gt;0),(M739-L739)/L739,"")</f>
        <v/>
      </c>
      <c r="P739" s="3">
        <f>IF(O739="","",IF(O739&lt;-0.02,"🔴 Bán phá giá sàn",IF(O739&gt;0.05,"🔵 Bán cao hơn","🟢 Đúng giá sàn TMĐT")))</f>
        <v/>
      </c>
      <c r="Q739" s="3" t="n"/>
      <c r="R739" s="4" t="n"/>
      <c r="S739" s="4" t="n"/>
    </row>
    <row r="740">
      <c r="A740" s="3" t="n">
        <v>739</v>
      </c>
      <c r="B740" s="3" t="inlineStr">
        <is>
          <t>KH004</t>
        </is>
      </c>
      <c r="C740" s="4" t="inlineStr">
        <is>
          <t>HCM-BIGSHOP</t>
        </is>
      </c>
      <c r="D740" s="3" t="inlineStr">
        <is>
          <t>HCM</t>
        </is>
      </c>
      <c r="E740" s="3" t="inlineStr">
        <is>
          <t>XUÂN TRANG</t>
        </is>
      </c>
      <c r="F740" s="3" t="inlineStr">
        <is>
          <t>Website bán hàng</t>
        </is>
      </c>
      <c r="G740" s="3" t="inlineStr">
        <is>
          <t>KRS-60*155</t>
        </is>
      </c>
      <c r="H740" s="4" t="inlineStr">
        <is>
          <t>Mũi khoan rút lõi khô KRS-60*155</t>
        </is>
      </c>
      <c r="I740" s="3" t="inlineStr">
        <is>
          <t>Cái</t>
        </is>
      </c>
      <c r="J740" s="5" t="n">
        <v>1290000</v>
      </c>
      <c r="K740" s="5" t="n">
        <v>1496000</v>
      </c>
      <c r="L740" s="6" t="n">
        <v>1806000</v>
      </c>
      <c r="M740" s="5" t="n"/>
      <c r="N740" s="5">
        <f>IF(AND(ISNUMBER(M740),ISNUMBER(L740)),M740-L740,"")</f>
        <v/>
      </c>
      <c r="O740" s="7">
        <f>IF(AND(ISNUMBER(M740),ISNUMBER(L740),L740&gt;0),(M740-L740)/L740,"")</f>
        <v/>
      </c>
      <c r="P740" s="3">
        <f>IF(O740="","",IF(O740&lt;-0.02,"🔴 Bán phá giá sàn",IF(O740&gt;0.05,"🔵 Bán cao hơn","🟢 Đúng giá sàn TMĐT")))</f>
        <v/>
      </c>
      <c r="Q740" s="3" t="n"/>
      <c r="R740" s="4" t="n"/>
      <c r="S740" s="4" t="n"/>
    </row>
    <row r="741">
      <c r="A741" s="3" t="n">
        <v>740</v>
      </c>
      <c r="B741" s="3" t="inlineStr">
        <is>
          <t>KH004</t>
        </is>
      </c>
      <c r="C741" s="4" t="inlineStr">
        <is>
          <t>HCM-BIGSHOP</t>
        </is>
      </c>
      <c r="D741" s="3" t="inlineStr">
        <is>
          <t>HCM</t>
        </is>
      </c>
      <c r="E741" s="3" t="inlineStr">
        <is>
          <t>XUÂN TRANG</t>
        </is>
      </c>
      <c r="F741" s="3" t="inlineStr">
        <is>
          <t>Website bán hàng</t>
        </is>
      </c>
      <c r="G741" s="3" t="inlineStr">
        <is>
          <t>KRS-60*155</t>
        </is>
      </c>
      <c r="H741" s="4" t="inlineStr">
        <is>
          <t>Mũi khoan rút lõi khô KRS-60*155 (New)</t>
        </is>
      </c>
      <c r="I741" s="3" t="inlineStr">
        <is>
          <t>Cái</t>
        </is>
      </c>
      <c r="J741" s="5" t="n">
        <v>1290000</v>
      </c>
      <c r="K741" s="5" t="n">
        <v>1496000</v>
      </c>
      <c r="L741" s="6" t="n">
        <v>1806000</v>
      </c>
      <c r="M741" s="5" t="n"/>
      <c r="N741" s="5">
        <f>IF(AND(ISNUMBER(M741),ISNUMBER(L741)),M741-L741,"")</f>
        <v/>
      </c>
      <c r="O741" s="7">
        <f>IF(AND(ISNUMBER(M741),ISNUMBER(L741),L741&gt;0),(M741-L741)/L741,"")</f>
        <v/>
      </c>
      <c r="P741" s="3">
        <f>IF(O741="","",IF(O741&lt;-0.02,"🔴 Bán phá giá sàn",IF(O741&gt;0.05,"🔵 Bán cao hơn","🟢 Đúng giá sàn TMĐT")))</f>
        <v/>
      </c>
      <c r="Q741" s="3" t="n"/>
      <c r="R741" s="4" t="n"/>
      <c r="S741" s="4" t="n"/>
    </row>
    <row r="742">
      <c r="A742" s="3" t="n">
        <v>741</v>
      </c>
      <c r="B742" s="3" t="inlineStr">
        <is>
          <t>KH004</t>
        </is>
      </c>
      <c r="C742" s="4" t="inlineStr">
        <is>
          <t>HCM-BIGSHOP</t>
        </is>
      </c>
      <c r="D742" s="3" t="inlineStr">
        <is>
          <t>HCM</t>
        </is>
      </c>
      <c r="E742" s="3" t="inlineStr">
        <is>
          <t>XUÂN TRANG</t>
        </is>
      </c>
      <c r="F742" s="3" t="inlineStr">
        <is>
          <t>Website bán hàng</t>
        </is>
      </c>
      <c r="G742" s="3" t="inlineStr">
        <is>
          <t>M3-21/35</t>
        </is>
      </c>
      <c r="H742" s="4" t="inlineStr">
        <is>
          <t>Mũi khoan từ KingBlue M3-21/35</t>
        </is>
      </c>
      <c r="I742" s="3" t="inlineStr">
        <is>
          <t>Cái</t>
        </is>
      </c>
      <c r="J742" s="5" t="n">
        <v>269000</v>
      </c>
      <c r="K742" s="5" t="n">
        <v>317000</v>
      </c>
      <c r="L742" s="6" t="n">
        <v>390000</v>
      </c>
      <c r="M742" s="5" t="n"/>
      <c r="N742" s="5">
        <f>IF(AND(ISNUMBER(M742),ISNUMBER(L742)),M742-L742,"")</f>
        <v/>
      </c>
      <c r="O742" s="7">
        <f>IF(AND(ISNUMBER(M742),ISNUMBER(L742),L742&gt;0),(M742-L742)/L742,"")</f>
        <v/>
      </c>
      <c r="P742" s="3">
        <f>IF(O742="","",IF(O742&lt;-0.02,"🔴 Bán phá giá sàn",IF(O742&gt;0.05,"🔵 Bán cao hơn","🟢 Đúng giá sàn TMĐT")))</f>
        <v/>
      </c>
      <c r="Q742" s="3" t="n"/>
      <c r="R742" s="4" t="n"/>
      <c r="S742" s="4" t="n"/>
    </row>
    <row r="743">
      <c r="A743" s="3" t="n">
        <v>742</v>
      </c>
      <c r="B743" s="3" t="inlineStr">
        <is>
          <t>KH004</t>
        </is>
      </c>
      <c r="C743" s="4" t="inlineStr">
        <is>
          <t>HCM-BIGSHOP</t>
        </is>
      </c>
      <c r="D743" s="3" t="inlineStr">
        <is>
          <t>HCM</t>
        </is>
      </c>
      <c r="E743" s="3" t="inlineStr">
        <is>
          <t>XUÂN TRANG</t>
        </is>
      </c>
      <c r="F743" s="3" t="inlineStr">
        <is>
          <t>Website bán hàng</t>
        </is>
      </c>
      <c r="G743" s="3" t="inlineStr">
        <is>
          <t>M3-33/35</t>
        </is>
      </c>
      <c r="H743" s="4" t="inlineStr">
        <is>
          <t>Mũi khoan từ KingBlue M3-33/35</t>
        </is>
      </c>
      <c r="I743" s="3" t="inlineStr">
        <is>
          <t>Cái</t>
        </is>
      </c>
      <c r="J743" s="5" t="n">
        <v>269000</v>
      </c>
      <c r="K743" s="5" t="n">
        <v>317000</v>
      </c>
      <c r="L743" s="6" t="n">
        <v>390000</v>
      </c>
      <c r="M743" s="5" t="n"/>
      <c r="N743" s="5">
        <f>IF(AND(ISNUMBER(M743),ISNUMBER(L743)),M743-L743,"")</f>
        <v/>
      </c>
      <c r="O743" s="7">
        <f>IF(AND(ISNUMBER(M743),ISNUMBER(L743),L743&gt;0),(M743-L743)/L743,"")</f>
        <v/>
      </c>
      <c r="P743" s="3">
        <f>IF(O743="","",IF(O743&lt;-0.02,"🔴 Bán phá giá sàn",IF(O743&gt;0.05,"🔵 Bán cao hơn","🟢 Đúng giá sàn TMĐT")))</f>
        <v/>
      </c>
      <c r="Q743" s="3" t="n"/>
      <c r="R743" s="4" t="n"/>
      <c r="S743" s="4" t="n"/>
    </row>
    <row r="744">
      <c r="A744" s="3" t="n">
        <v>743</v>
      </c>
      <c r="B744" s="3" t="inlineStr">
        <is>
          <t>KH004</t>
        </is>
      </c>
      <c r="C744" s="4" t="inlineStr">
        <is>
          <t>HCM-BIGSHOP</t>
        </is>
      </c>
      <c r="D744" s="3" t="inlineStr">
        <is>
          <t>HCM</t>
        </is>
      </c>
      <c r="E744" s="3" t="inlineStr">
        <is>
          <t>XUÂN TRANG</t>
        </is>
      </c>
      <c r="F744" s="3" t="inlineStr">
        <is>
          <t>Website bán hàng</t>
        </is>
      </c>
      <c r="G744" s="3" t="inlineStr">
        <is>
          <t>KBT-04*32</t>
        </is>
      </c>
      <c r="H744" s="4" t="inlineStr">
        <is>
          <t>Mũi khoan tháp M2 KBT-04*32</t>
        </is>
      </c>
      <c r="I744" s="3" t="inlineStr">
        <is>
          <t>Cái</t>
        </is>
      </c>
      <c r="J744" s="5" t="n">
        <v>319000</v>
      </c>
      <c r="K744" s="5" t="n">
        <v>395000</v>
      </c>
      <c r="L744" s="6" t="n">
        <v>510000</v>
      </c>
      <c r="M744" s="5" t="n"/>
      <c r="N744" s="5">
        <f>IF(AND(ISNUMBER(M744),ISNUMBER(L744)),M744-L744,"")</f>
        <v/>
      </c>
      <c r="O744" s="7">
        <f>IF(AND(ISNUMBER(M744),ISNUMBER(L744),L744&gt;0),(M744-L744)/L744,"")</f>
        <v/>
      </c>
      <c r="P744" s="3">
        <f>IF(O744="","",IF(O744&lt;-0.02,"🔴 Bán phá giá sàn",IF(O744&gt;0.05,"🔵 Bán cao hơn","🟢 Đúng giá sàn TMĐT")))</f>
        <v/>
      </c>
      <c r="Q744" s="3" t="n"/>
      <c r="R744" s="4" t="n"/>
      <c r="S744" s="4" t="n"/>
    </row>
    <row r="745">
      <c r="A745" s="3" t="n">
        <v>744</v>
      </c>
      <c r="B745" s="3" t="inlineStr">
        <is>
          <t>KH004</t>
        </is>
      </c>
      <c r="C745" s="4" t="inlineStr">
        <is>
          <t>HCM-BIGSHOP</t>
        </is>
      </c>
      <c r="D745" s="3" t="inlineStr">
        <is>
          <t>HCM</t>
        </is>
      </c>
      <c r="E745" s="3" t="inlineStr">
        <is>
          <t>XUÂN TRANG</t>
        </is>
      </c>
      <c r="F745" s="3" t="inlineStr">
        <is>
          <t>Website bán hàng</t>
        </is>
      </c>
      <c r="G745" s="3" t="inlineStr">
        <is>
          <t>KBY1-020</t>
        </is>
      </c>
      <c r="H745" s="4" t="inlineStr">
        <is>
          <t>Mũi khoan thép KBY1-020</t>
        </is>
      </c>
      <c r="I745" s="3" t="inlineStr">
        <is>
          <t>Cái</t>
        </is>
      </c>
      <c r="J745" s="5" t="n">
        <v>6000</v>
      </c>
      <c r="K745" s="5" t="n">
        <v>8000</v>
      </c>
      <c r="L745" s="6" t="n">
        <v>10000</v>
      </c>
      <c r="M745" s="5" t="n"/>
      <c r="N745" s="5">
        <f>IF(AND(ISNUMBER(M745),ISNUMBER(L745)),M745-L745,"")</f>
        <v/>
      </c>
      <c r="O745" s="7">
        <f>IF(AND(ISNUMBER(M745),ISNUMBER(L745),L745&gt;0),(M745-L745)/L745,"")</f>
        <v/>
      </c>
      <c r="P745" s="3">
        <f>IF(O745="","",IF(O745&lt;-0.02,"🔴 Bán phá giá sàn",IF(O745&gt;0.05,"🔵 Bán cao hơn","🟢 Đúng giá sàn TMĐT")))</f>
        <v/>
      </c>
      <c r="Q745" s="3" t="n"/>
      <c r="R745" s="4" t="n"/>
      <c r="S745" s="4" t="n"/>
    </row>
    <row r="746">
      <c r="A746" s="3" t="n">
        <v>745</v>
      </c>
      <c r="B746" s="3" t="inlineStr">
        <is>
          <t>KH004</t>
        </is>
      </c>
      <c r="C746" s="4" t="inlineStr">
        <is>
          <t>HCM-BIGSHOP</t>
        </is>
      </c>
      <c r="D746" s="3" t="inlineStr">
        <is>
          <t>HCM</t>
        </is>
      </c>
      <c r="E746" s="3" t="inlineStr">
        <is>
          <t>XUÂN TRANG</t>
        </is>
      </c>
      <c r="F746" s="3" t="inlineStr">
        <is>
          <t>Website bán hàng</t>
        </is>
      </c>
      <c r="G746" s="3" t="inlineStr">
        <is>
          <t>KBY1-025</t>
        </is>
      </c>
      <c r="H746" s="4" t="inlineStr">
        <is>
          <t>Mũi khoan thép KBY1-025</t>
        </is>
      </c>
      <c r="I746" s="3" t="inlineStr">
        <is>
          <t>Cái</t>
        </is>
      </c>
      <c r="J746" s="5" t="n">
        <v>6000</v>
      </c>
      <c r="K746" s="5" t="n">
        <v>8000</v>
      </c>
      <c r="L746" s="6" t="n">
        <v>10000</v>
      </c>
      <c r="M746" s="5" t="n"/>
      <c r="N746" s="5">
        <f>IF(AND(ISNUMBER(M746),ISNUMBER(L746)),M746-L746,"")</f>
        <v/>
      </c>
      <c r="O746" s="7">
        <f>IF(AND(ISNUMBER(M746),ISNUMBER(L746),L746&gt;0),(M746-L746)/L746,"")</f>
        <v/>
      </c>
      <c r="P746" s="3">
        <f>IF(O746="","",IF(O746&lt;-0.02,"🔴 Bán phá giá sàn",IF(O746&gt;0.05,"🔵 Bán cao hơn","🟢 Đúng giá sàn TMĐT")))</f>
        <v/>
      </c>
      <c r="Q746" s="3" t="n"/>
      <c r="R746" s="4" t="n"/>
      <c r="S746" s="4" t="n"/>
    </row>
    <row r="747">
      <c r="A747" s="3" t="n">
        <v>746</v>
      </c>
      <c r="B747" s="3" t="inlineStr">
        <is>
          <t>KH004</t>
        </is>
      </c>
      <c r="C747" s="4" t="inlineStr">
        <is>
          <t>HCM-BIGSHOP</t>
        </is>
      </c>
      <c r="D747" s="3" t="inlineStr">
        <is>
          <t>HCM</t>
        </is>
      </c>
      <c r="E747" s="3" t="inlineStr">
        <is>
          <t>XUÂN TRANG</t>
        </is>
      </c>
      <c r="F747" s="3" t="inlineStr">
        <is>
          <t>Website bán hàng</t>
        </is>
      </c>
      <c r="G747" s="3" t="inlineStr">
        <is>
          <t>KBY1-032</t>
        </is>
      </c>
      <c r="H747" s="4" t="inlineStr">
        <is>
          <t>Mũi khoan thép KBY1-032</t>
        </is>
      </c>
      <c r="I747" s="3" t="inlineStr">
        <is>
          <t>Cái</t>
        </is>
      </c>
      <c r="J747" s="5" t="n">
        <v>9000</v>
      </c>
      <c r="K747" s="5" t="n">
        <v>11000</v>
      </c>
      <c r="L747" s="6" t="n">
        <v>14000</v>
      </c>
      <c r="M747" s="5" t="n"/>
      <c r="N747" s="5">
        <f>IF(AND(ISNUMBER(M747),ISNUMBER(L747)),M747-L747,"")</f>
        <v/>
      </c>
      <c r="O747" s="7">
        <f>IF(AND(ISNUMBER(M747),ISNUMBER(L747),L747&gt;0),(M747-L747)/L747,"")</f>
        <v/>
      </c>
      <c r="P747" s="3">
        <f>IF(O747="","",IF(O747&lt;-0.02,"🔴 Bán phá giá sàn",IF(O747&gt;0.05,"🔵 Bán cao hơn","🟢 Đúng giá sàn TMĐT")))</f>
        <v/>
      </c>
      <c r="Q747" s="3" t="n"/>
      <c r="R747" s="4" t="n"/>
      <c r="S747" s="4" t="n"/>
    </row>
    <row r="748">
      <c r="A748" s="3" t="n">
        <v>747</v>
      </c>
      <c r="B748" s="3" t="inlineStr">
        <is>
          <t>KH004</t>
        </is>
      </c>
      <c r="C748" s="4" t="inlineStr">
        <is>
          <t>HCM-BIGSHOP</t>
        </is>
      </c>
      <c r="D748" s="3" t="inlineStr">
        <is>
          <t>HCM</t>
        </is>
      </c>
      <c r="E748" s="3" t="inlineStr">
        <is>
          <t>XUÂN TRANG</t>
        </is>
      </c>
      <c r="F748" s="3" t="inlineStr">
        <is>
          <t>Website bán hàng</t>
        </is>
      </c>
      <c r="G748" s="3" t="inlineStr">
        <is>
          <t>KBL4-10*350</t>
        </is>
      </c>
      <c r="H748" s="4" t="inlineStr">
        <is>
          <t>Mũi khoan xuyên tường 4 cạnh KBL4-10*350</t>
        </is>
      </c>
      <c r="I748" s="3" t="inlineStr">
        <is>
          <t>Cái</t>
        </is>
      </c>
      <c r="J748" s="5" t="n">
        <v>81000</v>
      </c>
      <c r="K748" s="5" t="n">
        <v>99000</v>
      </c>
      <c r="L748" s="6" t="n">
        <v>126000</v>
      </c>
      <c r="M748" s="5" t="n"/>
      <c r="N748" s="5">
        <f>IF(AND(ISNUMBER(M748),ISNUMBER(L748)),M748-L748,"")</f>
        <v/>
      </c>
      <c r="O748" s="7">
        <f>IF(AND(ISNUMBER(M748),ISNUMBER(L748),L748&gt;0),(M748-L748)/L748,"")</f>
        <v/>
      </c>
      <c r="P748" s="3">
        <f>IF(O748="","",IF(O748&lt;-0.02,"🔴 Bán phá giá sàn",IF(O748&gt;0.05,"🔵 Bán cao hơn","🟢 Đúng giá sàn TMĐT")))</f>
        <v/>
      </c>
      <c r="Q748" s="3" t="n"/>
      <c r="R748" s="4" t="n"/>
      <c r="S748" s="4" t="n"/>
    </row>
    <row r="749">
      <c r="A749" s="3" t="n">
        <v>748</v>
      </c>
      <c r="B749" s="3" t="inlineStr">
        <is>
          <t>KH004</t>
        </is>
      </c>
      <c r="C749" s="4" t="inlineStr">
        <is>
          <t>HCM-BIGSHOP</t>
        </is>
      </c>
      <c r="D749" s="3" t="inlineStr">
        <is>
          <t>HCM</t>
        </is>
      </c>
      <c r="E749" s="3" t="inlineStr">
        <is>
          <t>XUÂN TRANG</t>
        </is>
      </c>
      <c r="F749" s="3" t="inlineStr">
        <is>
          <t>Website bán hàng</t>
        </is>
      </c>
      <c r="G749" s="3" t="inlineStr">
        <is>
          <t>KBL4-14*350</t>
        </is>
      </c>
      <c r="H749" s="4" t="inlineStr">
        <is>
          <t>Mũi khoan xuyên tường 4 cạnh KBL4-14*350</t>
        </is>
      </c>
      <c r="I749" s="3" t="inlineStr">
        <is>
          <t>Cái</t>
        </is>
      </c>
      <c r="J749" s="5" t="n">
        <v>105000</v>
      </c>
      <c r="K749" s="5" t="n">
        <v>128000</v>
      </c>
      <c r="L749" s="6" t="n">
        <v>163000</v>
      </c>
      <c r="M749" s="5" t="n"/>
      <c r="N749" s="5">
        <f>IF(AND(ISNUMBER(M749),ISNUMBER(L749)),M749-L749,"")</f>
        <v/>
      </c>
      <c r="O749" s="7">
        <f>IF(AND(ISNUMBER(M749),ISNUMBER(L749),L749&gt;0),(M749-L749)/L749,"")</f>
        <v/>
      </c>
      <c r="P749" s="3">
        <f>IF(O749="","",IF(O749&lt;-0.02,"🔴 Bán phá giá sàn",IF(O749&gt;0.05,"🔵 Bán cao hơn","🟢 Đúng giá sàn TMĐT")))</f>
        <v/>
      </c>
      <c r="Q749" s="3" t="n"/>
      <c r="R749" s="4" t="n"/>
      <c r="S749" s="4" t="n"/>
    </row>
    <row r="750">
      <c r="A750" s="3" t="n">
        <v>749</v>
      </c>
      <c r="B750" s="3" t="inlineStr">
        <is>
          <t>KH004</t>
        </is>
      </c>
      <c r="C750" s="4" t="inlineStr">
        <is>
          <t>HCM-BIGSHOP</t>
        </is>
      </c>
      <c r="D750" s="3" t="inlineStr">
        <is>
          <t>HCM</t>
        </is>
      </c>
      <c r="E750" s="3" t="inlineStr">
        <is>
          <t>XUÂN TRANG</t>
        </is>
      </c>
      <c r="F750" s="3" t="inlineStr">
        <is>
          <t>Website bán hàng</t>
        </is>
      </c>
      <c r="G750" s="3" t="inlineStr">
        <is>
          <t>KBL4-16*350</t>
        </is>
      </c>
      <c r="H750" s="4" t="inlineStr">
        <is>
          <t>Mũi khoan xuyên tường 4 cạnh KBL4-16*350</t>
        </is>
      </c>
      <c r="I750" s="3" t="inlineStr">
        <is>
          <t>Cái</t>
        </is>
      </c>
      <c r="J750" s="5" t="n">
        <v>126000</v>
      </c>
      <c r="K750" s="5" t="n">
        <v>154000</v>
      </c>
      <c r="L750" s="6" t="n">
        <v>195000</v>
      </c>
      <c r="M750" s="5" t="n"/>
      <c r="N750" s="5">
        <f>IF(AND(ISNUMBER(M750),ISNUMBER(L750)),M750-L750,"")</f>
        <v/>
      </c>
      <c r="O750" s="7">
        <f>IF(AND(ISNUMBER(M750),ISNUMBER(L750),L750&gt;0),(M750-L750)/L750,"")</f>
        <v/>
      </c>
      <c r="P750" s="3">
        <f>IF(O750="","",IF(O750&lt;-0.02,"🔴 Bán phá giá sàn",IF(O750&gt;0.05,"🔵 Bán cao hơn","🟢 Đúng giá sàn TMĐT")))</f>
        <v/>
      </c>
      <c r="Q750" s="3" t="n"/>
      <c r="R750" s="4" t="n"/>
      <c r="S750" s="4" t="n"/>
    </row>
    <row r="751">
      <c r="A751" s="3" t="n">
        <v>750</v>
      </c>
      <c r="B751" s="3" t="inlineStr">
        <is>
          <t>KH004</t>
        </is>
      </c>
      <c r="C751" s="4" t="inlineStr">
        <is>
          <t>HCM-BIGSHOP</t>
        </is>
      </c>
      <c r="D751" s="3" t="inlineStr">
        <is>
          <t>HCM</t>
        </is>
      </c>
      <c r="E751" s="3" t="inlineStr">
        <is>
          <t>XUÂN TRANG</t>
        </is>
      </c>
      <c r="F751" s="3" t="inlineStr">
        <is>
          <t>Website bán hàng</t>
        </is>
      </c>
      <c r="G751" s="3" t="inlineStr">
        <is>
          <t>R1-35/25</t>
        </is>
      </c>
      <c r="H751" s="4" t="inlineStr">
        <is>
          <t>Mũi khoét hợp kim BlueBird R1-35/25</t>
        </is>
      </c>
      <c r="I751" s="3" t="inlineStr">
        <is>
          <t>Cái</t>
        </is>
      </c>
      <c r="J751" s="5" t="n">
        <v>129000</v>
      </c>
      <c r="K751" s="5" t="n">
        <v>157000</v>
      </c>
      <c r="L751" s="6" t="n">
        <v>200000</v>
      </c>
      <c r="M751" s="5" t="n"/>
      <c r="N751" s="5">
        <f>IF(AND(ISNUMBER(M751),ISNUMBER(L751)),M751-L751,"")</f>
        <v/>
      </c>
      <c r="O751" s="7">
        <f>IF(AND(ISNUMBER(M751),ISNUMBER(L751),L751&gt;0),(M751-L751)/L751,"")</f>
        <v/>
      </c>
      <c r="P751" s="3">
        <f>IF(O751="","",IF(O751&lt;-0.02,"🔴 Bán phá giá sàn",IF(O751&gt;0.05,"🔵 Bán cao hơn","🟢 Đúng giá sàn TMĐT")))</f>
        <v/>
      </c>
      <c r="Q751" s="3" t="n"/>
      <c r="R751" s="4" t="n"/>
      <c r="S751" s="4" t="n"/>
    </row>
    <row r="752">
      <c r="A752" s="3" t="n">
        <v>751</v>
      </c>
      <c r="B752" s="3" t="inlineStr">
        <is>
          <t>KH004</t>
        </is>
      </c>
      <c r="C752" s="4" t="inlineStr">
        <is>
          <t>HCM-BIGSHOP</t>
        </is>
      </c>
      <c r="D752" s="3" t="inlineStr">
        <is>
          <t>HCM</t>
        </is>
      </c>
      <c r="E752" s="3" t="inlineStr">
        <is>
          <t>XUÂN TRANG</t>
        </is>
      </c>
      <c r="F752" s="3" t="inlineStr">
        <is>
          <t>Website bán hàng</t>
        </is>
      </c>
      <c r="G752" s="3" t="inlineStr">
        <is>
          <t>R1-60/25</t>
        </is>
      </c>
      <c r="H752" s="4" t="inlineStr">
        <is>
          <t>Mũi khoét hợp kim Bluebird R1-60/25</t>
        </is>
      </c>
      <c r="I752" s="3" t="inlineStr">
        <is>
          <t>Cái</t>
        </is>
      </c>
      <c r="J752" s="5" t="n">
        <v>219000</v>
      </c>
      <c r="K752" s="5" t="n">
        <v>267000</v>
      </c>
      <c r="L752" s="6" t="n">
        <v>340000</v>
      </c>
      <c r="M752" s="5" t="n"/>
      <c r="N752" s="5">
        <f>IF(AND(ISNUMBER(M752),ISNUMBER(L752)),M752-L752,"")</f>
        <v/>
      </c>
      <c r="O752" s="7">
        <f>IF(AND(ISNUMBER(M752),ISNUMBER(L752),L752&gt;0),(M752-L752)/L752,"")</f>
        <v/>
      </c>
      <c r="P752" s="3">
        <f>IF(O752="","",IF(O752&lt;-0.02,"🔴 Bán phá giá sàn",IF(O752&gt;0.05,"🔵 Bán cao hơn","🟢 Đúng giá sàn TMĐT")))</f>
        <v/>
      </c>
      <c r="Q752" s="3" t="n"/>
      <c r="R752" s="4" t="n"/>
      <c r="S752" s="4" t="n"/>
    </row>
    <row r="753">
      <c r="A753" s="3" t="n">
        <v>752</v>
      </c>
      <c r="B753" s="3" t="inlineStr">
        <is>
          <t>KH004</t>
        </is>
      </c>
      <c r="C753" s="4" t="inlineStr">
        <is>
          <t>HCM-BIGSHOP</t>
        </is>
      </c>
      <c r="D753" s="3" t="inlineStr">
        <is>
          <t>HCM</t>
        </is>
      </c>
      <c r="E753" s="3" t="inlineStr">
        <is>
          <t>XUÂN TRANG</t>
        </is>
      </c>
      <c r="F753" s="3" t="inlineStr">
        <is>
          <t>Website bán hàng</t>
        </is>
      </c>
      <c r="G753" s="3" t="inlineStr">
        <is>
          <t>R1-75/25</t>
        </is>
      </c>
      <c r="H753" s="4" t="inlineStr">
        <is>
          <t>Mũi khoét hợp kim Bluebird R1-75/25</t>
        </is>
      </c>
      <c r="I753" s="3" t="inlineStr">
        <is>
          <t>Cái</t>
        </is>
      </c>
      <c r="J753" s="5" t="n">
        <v>276000</v>
      </c>
      <c r="K753" s="5" t="n">
        <v>337000</v>
      </c>
      <c r="L753" s="6" t="n">
        <v>428000</v>
      </c>
      <c r="M753" s="5" t="n"/>
      <c r="N753" s="5">
        <f>IF(AND(ISNUMBER(M753),ISNUMBER(L753)),M753-L753,"")</f>
        <v/>
      </c>
      <c r="O753" s="7">
        <f>IF(AND(ISNUMBER(M753),ISNUMBER(L753),L753&gt;0),(M753-L753)/L753,"")</f>
        <v/>
      </c>
      <c r="P753" s="3">
        <f>IF(O753="","",IF(O753&lt;-0.02,"🔴 Bán phá giá sàn",IF(O753&gt;0.05,"🔵 Bán cao hơn","🟢 Đúng giá sàn TMĐT")))</f>
        <v/>
      </c>
      <c r="Q753" s="3" t="n"/>
      <c r="R753" s="4" t="n"/>
      <c r="S753" s="4" t="n"/>
    </row>
    <row r="754">
      <c r="A754" s="3" t="n">
        <v>753</v>
      </c>
      <c r="B754" s="3" t="inlineStr">
        <is>
          <t>KH004</t>
        </is>
      </c>
      <c r="C754" s="4" t="inlineStr">
        <is>
          <t>HCM-BIGSHOP</t>
        </is>
      </c>
      <c r="D754" s="3" t="inlineStr">
        <is>
          <t>HCM</t>
        </is>
      </c>
      <c r="E754" s="3" t="inlineStr">
        <is>
          <t>XUÂN TRANG</t>
        </is>
      </c>
      <c r="F754" s="3" t="inlineStr">
        <is>
          <t>Website bán hàng</t>
        </is>
      </c>
      <c r="G754" s="3" t="inlineStr">
        <is>
          <t>R1-16/25</t>
        </is>
      </c>
      <c r="H754" s="4" t="inlineStr">
        <is>
          <t>Mũi khoét hợp kim Kingblue R1-16/25</t>
        </is>
      </c>
      <c r="I754" s="3" t="inlineStr">
        <is>
          <t>Cái</t>
        </is>
      </c>
      <c r="J754" s="5" t="n">
        <v>59000</v>
      </c>
      <c r="K754" s="5" t="n">
        <v>72000</v>
      </c>
      <c r="L754" s="6" t="n">
        <v>92000</v>
      </c>
      <c r="M754" s="5" t="n"/>
      <c r="N754" s="5">
        <f>IF(AND(ISNUMBER(M754),ISNUMBER(L754)),M754-L754,"")</f>
        <v/>
      </c>
      <c r="O754" s="7">
        <f>IF(AND(ISNUMBER(M754),ISNUMBER(L754),L754&gt;0),(M754-L754)/L754,"")</f>
        <v/>
      </c>
      <c r="P754" s="3">
        <f>IF(O754="","",IF(O754&lt;-0.02,"🔴 Bán phá giá sàn",IF(O754&gt;0.05,"🔵 Bán cao hơn","🟢 Đúng giá sàn TMĐT")))</f>
        <v/>
      </c>
      <c r="Q754" s="3" t="n"/>
      <c r="R754" s="4" t="n"/>
      <c r="S754" s="4" t="n"/>
    </row>
    <row r="755">
      <c r="A755" s="3" t="n">
        <v>754</v>
      </c>
      <c r="B755" s="3" t="inlineStr">
        <is>
          <t>KH004</t>
        </is>
      </c>
      <c r="C755" s="4" t="inlineStr">
        <is>
          <t>HCM-BIGSHOP</t>
        </is>
      </c>
      <c r="D755" s="3" t="inlineStr">
        <is>
          <t>HCM</t>
        </is>
      </c>
      <c r="E755" s="3" t="inlineStr">
        <is>
          <t>XUÂN TRANG</t>
        </is>
      </c>
      <c r="F755" s="3" t="inlineStr">
        <is>
          <t>Website bán hàng</t>
        </is>
      </c>
      <c r="G755" s="3" t="inlineStr">
        <is>
          <t>R1-20/25</t>
        </is>
      </c>
      <c r="H755" s="4" t="inlineStr">
        <is>
          <t>Mũi khoét hợp kim Kingblue R1-20/25</t>
        </is>
      </c>
      <c r="I755" s="3" t="inlineStr">
        <is>
          <t>Cái</t>
        </is>
      </c>
      <c r="J755" s="5" t="n">
        <v>72000</v>
      </c>
      <c r="K755" s="5" t="n">
        <v>88000</v>
      </c>
      <c r="L755" s="6" t="n">
        <v>112000</v>
      </c>
      <c r="M755" s="5" t="n"/>
      <c r="N755" s="5">
        <f>IF(AND(ISNUMBER(M755),ISNUMBER(L755)),M755-L755,"")</f>
        <v/>
      </c>
      <c r="O755" s="7">
        <f>IF(AND(ISNUMBER(M755),ISNUMBER(L755),L755&gt;0),(M755-L755)/L755,"")</f>
        <v/>
      </c>
      <c r="P755" s="3">
        <f>IF(O755="","",IF(O755&lt;-0.02,"🔴 Bán phá giá sàn",IF(O755&gt;0.05,"🔵 Bán cao hơn","🟢 Đúng giá sàn TMĐT")))</f>
        <v/>
      </c>
      <c r="Q755" s="3" t="n"/>
      <c r="R755" s="4" t="n"/>
      <c r="S755" s="4" t="n"/>
    </row>
    <row r="756">
      <c r="A756" s="3" t="n">
        <v>755</v>
      </c>
      <c r="B756" s="3" t="inlineStr">
        <is>
          <t>KH004</t>
        </is>
      </c>
      <c r="C756" s="4" t="inlineStr">
        <is>
          <t>HCM-BIGSHOP</t>
        </is>
      </c>
      <c r="D756" s="3" t="inlineStr">
        <is>
          <t>HCM</t>
        </is>
      </c>
      <c r="E756" s="3" t="inlineStr">
        <is>
          <t>XUÂN TRANG</t>
        </is>
      </c>
      <c r="F756" s="3" t="inlineStr">
        <is>
          <t>Website bán hàng</t>
        </is>
      </c>
      <c r="G756" s="3" t="inlineStr">
        <is>
          <t>R1-25/25</t>
        </is>
      </c>
      <c r="H756" s="4" t="inlineStr">
        <is>
          <t>Mũi khoét hợp kim Kingblue R1-25/25</t>
        </is>
      </c>
      <c r="I756" s="3" t="inlineStr">
        <is>
          <t>Cái</t>
        </is>
      </c>
      <c r="J756" s="5" t="n">
        <v>91000</v>
      </c>
      <c r="K756" s="5" t="n">
        <v>111000</v>
      </c>
      <c r="L756" s="6" t="n">
        <v>141000</v>
      </c>
      <c r="M756" s="5" t="n"/>
      <c r="N756" s="5">
        <f>IF(AND(ISNUMBER(M756),ISNUMBER(L756)),M756-L756,"")</f>
        <v/>
      </c>
      <c r="O756" s="7">
        <f>IF(AND(ISNUMBER(M756),ISNUMBER(L756),L756&gt;0),(M756-L756)/L756,"")</f>
        <v/>
      </c>
      <c r="P756" s="3">
        <f>IF(O756="","",IF(O756&lt;-0.02,"🔴 Bán phá giá sàn",IF(O756&gt;0.05,"🔵 Bán cao hơn","🟢 Đúng giá sàn TMĐT")))</f>
        <v/>
      </c>
      <c r="Q756" s="3" t="n"/>
      <c r="R756" s="4" t="n"/>
      <c r="S756" s="4" t="n"/>
    </row>
    <row r="757">
      <c r="A757" s="3" t="n">
        <v>756</v>
      </c>
      <c r="B757" s="3" t="inlineStr">
        <is>
          <t>KH004</t>
        </is>
      </c>
      <c r="C757" s="4" t="inlineStr">
        <is>
          <t>HCM-BIGSHOP</t>
        </is>
      </c>
      <c r="D757" s="3" t="inlineStr">
        <is>
          <t>HCM</t>
        </is>
      </c>
      <c r="E757" s="3" t="inlineStr">
        <is>
          <t>XUÂN TRANG</t>
        </is>
      </c>
      <c r="F757" s="3" t="inlineStr">
        <is>
          <t>Website bán hàng</t>
        </is>
      </c>
      <c r="G757" s="3" t="inlineStr">
        <is>
          <t>KZ-40</t>
        </is>
      </c>
      <c r="H757" s="4" t="inlineStr">
        <is>
          <t>Nhám xếp KingBlue KZ-40 (NEW)</t>
        </is>
      </c>
      <c r="I757" s="3" t="inlineStr">
        <is>
          <t>Cái</t>
        </is>
      </c>
      <c r="J757" s="5" t="n">
        <v>269000</v>
      </c>
      <c r="K757" s="5" t="n">
        <v>317000</v>
      </c>
      <c r="L757" s="6" t="n">
        <v>390000</v>
      </c>
      <c r="M757" s="5" t="n"/>
      <c r="N757" s="5">
        <f>IF(AND(ISNUMBER(M757),ISNUMBER(L757)),M757-L757,"")</f>
        <v/>
      </c>
      <c r="O757" s="7">
        <f>IF(AND(ISNUMBER(M757),ISNUMBER(L757),L757&gt;0),(M757-L757)/L757,"")</f>
        <v/>
      </c>
      <c r="P757" s="3">
        <f>IF(O757="","",IF(O757&lt;-0.02,"🔴 Bán phá giá sàn",IF(O757&gt;0.05,"🔵 Bán cao hơn","🟢 Đúng giá sàn TMĐT")))</f>
        <v/>
      </c>
      <c r="Q757" s="3" t="n"/>
      <c r="R757" s="4" t="n"/>
      <c r="S757" s="4" t="n"/>
    </row>
    <row r="758">
      <c r="A758" s="3" t="n">
        <v>757</v>
      </c>
      <c r="B758" s="3" t="inlineStr">
        <is>
          <t>KH004</t>
        </is>
      </c>
      <c r="C758" s="4" t="inlineStr">
        <is>
          <t>HCM-BIGSHOP</t>
        </is>
      </c>
      <c r="D758" s="3" t="inlineStr">
        <is>
          <t>HCM</t>
        </is>
      </c>
      <c r="E758" s="3" t="inlineStr">
        <is>
          <t>XUÂN TRANG</t>
        </is>
      </c>
      <c r="F758" s="3" t="inlineStr">
        <is>
          <t>Website bán hàng</t>
        </is>
      </c>
      <c r="G758" s="3" t="inlineStr">
        <is>
          <t>KZ-60</t>
        </is>
      </c>
      <c r="H758" s="4" t="inlineStr">
        <is>
          <t>Nhám xếp KingBlue KZ-60 (NEW)</t>
        </is>
      </c>
      <c r="I758" s="3" t="inlineStr">
        <is>
          <t>Cái</t>
        </is>
      </c>
      <c r="J758" s="5" t="n">
        <v>269000</v>
      </c>
      <c r="K758" s="5" t="n">
        <v>317000</v>
      </c>
      <c r="L758" s="6" t="n">
        <v>390000</v>
      </c>
      <c r="M758" s="5" t="n"/>
      <c r="N758" s="5">
        <f>IF(AND(ISNUMBER(M758),ISNUMBER(L758)),M758-L758,"")</f>
        <v/>
      </c>
      <c r="O758" s="7">
        <f>IF(AND(ISNUMBER(M758),ISNUMBER(L758),L758&gt;0),(M758-L758)/L758,"")</f>
        <v/>
      </c>
      <c r="P758" s="3">
        <f>IF(O758="","",IF(O758&lt;-0.02,"🔴 Bán phá giá sàn",IF(O758&gt;0.05,"🔵 Bán cao hơn","🟢 Đúng giá sàn TMĐT")))</f>
        <v/>
      </c>
      <c r="Q758" s="3" t="n"/>
      <c r="R758" s="4" t="n"/>
      <c r="S758" s="4" t="n"/>
    </row>
    <row r="759">
      <c r="A759" s="3" t="n">
        <v>758</v>
      </c>
      <c r="B759" s="3" t="inlineStr">
        <is>
          <t>KH004</t>
        </is>
      </c>
      <c r="C759" s="4" t="inlineStr">
        <is>
          <t>HCM-BIGSHOP</t>
        </is>
      </c>
      <c r="D759" s="3" t="inlineStr">
        <is>
          <t>HCM</t>
        </is>
      </c>
      <c r="E759" s="3" t="inlineStr">
        <is>
          <t>XUÂN TRANG</t>
        </is>
      </c>
      <c r="F759" s="3" t="inlineStr">
        <is>
          <t>Website bán hàng</t>
        </is>
      </c>
      <c r="G759" s="3" t="inlineStr">
        <is>
          <t>KBA-I1500</t>
        </is>
      </c>
      <c r="H759" s="4" t="inlineStr">
        <is>
          <t>Ống dẫn nước PVC 8m - Phụ kiện máy rửa xe KBA-I1500</t>
        </is>
      </c>
      <c r="I759" s="3" t="inlineStr">
        <is>
          <t>Cái</t>
        </is>
      </c>
      <c r="J759" s="5" t="n">
        <v>2050000</v>
      </c>
      <c r="K759" s="5" t="n">
        <v>2300000</v>
      </c>
      <c r="L759" s="6" t="n">
        <v>2670000</v>
      </c>
      <c r="M759" s="5" t="n"/>
      <c r="N759" s="5">
        <f>IF(AND(ISNUMBER(M759),ISNUMBER(L759)),M759-L759,"")</f>
        <v/>
      </c>
      <c r="O759" s="7">
        <f>IF(AND(ISNUMBER(M759),ISNUMBER(L759),L759&gt;0),(M759-L759)/L759,"")</f>
        <v/>
      </c>
      <c r="P759" s="3">
        <f>IF(O759="","",IF(O759&lt;-0.02,"🔴 Bán phá giá sàn",IF(O759&gt;0.05,"🔵 Bán cao hơn","🟢 Đúng giá sàn TMĐT")))</f>
        <v/>
      </c>
      <c r="Q759" s="3" t="n"/>
      <c r="R759" s="4" t="n"/>
      <c r="S759" s="4" t="n"/>
    </row>
    <row r="760">
      <c r="A760" s="3" t="n">
        <v>759</v>
      </c>
      <c r="B760" s="3" t="inlineStr">
        <is>
          <t>KH004</t>
        </is>
      </c>
      <c r="C760" s="4" t="inlineStr">
        <is>
          <t>HCM-BIGSHOP</t>
        </is>
      </c>
      <c r="D760" s="3" t="inlineStr">
        <is>
          <t>HCM</t>
        </is>
      </c>
      <c r="E760" s="3" t="inlineStr">
        <is>
          <t>XUÂN TRANG</t>
        </is>
      </c>
      <c r="F760" s="3" t="inlineStr">
        <is>
          <t>Website bán hàng</t>
        </is>
      </c>
      <c r="G760" s="3" t="inlineStr">
        <is>
          <t>B2040</t>
        </is>
      </c>
      <c r="H760" s="4" t="inlineStr">
        <is>
          <t>Pin B2040</t>
        </is>
      </c>
      <c r="I760" s="3" t="inlineStr">
        <is>
          <t>Cái</t>
        </is>
      </c>
      <c r="J760" s="5" t="n">
        <v>660000</v>
      </c>
      <c r="K760" s="5" t="n">
        <v>739000</v>
      </c>
      <c r="L760" s="6" t="n">
        <v>858000</v>
      </c>
      <c r="M760" s="5" t="n"/>
      <c r="N760" s="5">
        <f>IF(AND(ISNUMBER(M760),ISNUMBER(L760)),M760-L760,"")</f>
        <v/>
      </c>
      <c r="O760" s="7">
        <f>IF(AND(ISNUMBER(M760),ISNUMBER(L760),L760&gt;0),(M760-L760)/L760,"")</f>
        <v/>
      </c>
      <c r="P760" s="3">
        <f>IF(O760="","",IF(O760&lt;-0.02,"🔴 Bán phá giá sàn",IF(O760&gt;0.05,"🔵 Bán cao hơn","🟢 Đúng giá sàn TMĐT")))</f>
        <v/>
      </c>
      <c r="Q760" s="3" t="n"/>
      <c r="R760" s="4" t="n"/>
      <c r="S760" s="4" t="n"/>
    </row>
    <row r="761">
      <c r="A761" s="3" t="n">
        <v>760</v>
      </c>
      <c r="B761" s="3" t="inlineStr">
        <is>
          <t>KH004</t>
        </is>
      </c>
      <c r="C761" s="4" t="inlineStr">
        <is>
          <t>HCM-BIGSHOP</t>
        </is>
      </c>
      <c r="D761" s="3" t="inlineStr">
        <is>
          <t>HCM</t>
        </is>
      </c>
      <c r="E761" s="3" t="inlineStr">
        <is>
          <t>XUÂN TRANG</t>
        </is>
      </c>
      <c r="F761" s="3" t="inlineStr">
        <is>
          <t>Website bán hàng</t>
        </is>
      </c>
      <c r="G761" s="3" t="inlineStr"/>
      <c r="H761" s="4" t="inlineStr">
        <is>
          <t>Pin máy rung gạch 2.0Ah</t>
        </is>
      </c>
      <c r="I761" s="3" t="inlineStr">
        <is>
          <t>Cái</t>
        </is>
      </c>
      <c r="J761" s="5" t="n">
        <v>269000</v>
      </c>
      <c r="K761" s="5" t="n">
        <v>317000</v>
      </c>
      <c r="L761" s="6" t="n">
        <v>390000</v>
      </c>
      <c r="M761" s="5" t="n"/>
      <c r="N761" s="5">
        <f>IF(AND(ISNUMBER(M761),ISNUMBER(L761)),M761-L761,"")</f>
        <v/>
      </c>
      <c r="O761" s="7">
        <f>IF(AND(ISNUMBER(M761),ISNUMBER(L761),L761&gt;0),(M761-L761)/L761,"")</f>
        <v/>
      </c>
      <c r="P761" s="3">
        <f>IF(O761="","",IF(O761&lt;-0.02,"🔴 Bán phá giá sàn",IF(O761&gt;0.05,"🔵 Bán cao hơn","🟢 Đúng giá sàn TMĐT")))</f>
        <v/>
      </c>
      <c r="Q761" s="3" t="n"/>
      <c r="R761" s="4" t="n"/>
      <c r="S761" s="4" t="n"/>
    </row>
    <row r="762">
      <c r="A762" s="3" t="n">
        <v>761</v>
      </c>
      <c r="B762" s="3" t="inlineStr">
        <is>
          <t>KH004</t>
        </is>
      </c>
      <c r="C762" s="4" t="inlineStr">
        <is>
          <t>HCM-BIGSHOP</t>
        </is>
      </c>
      <c r="D762" s="3" t="inlineStr">
        <is>
          <t>HCM</t>
        </is>
      </c>
      <c r="E762" s="3" t="inlineStr">
        <is>
          <t>XUÂN TRANG</t>
        </is>
      </c>
      <c r="F762" s="3" t="inlineStr">
        <is>
          <t>Website bán hàng</t>
        </is>
      </c>
      <c r="G762" s="3" t="inlineStr">
        <is>
          <t>B2A20</t>
        </is>
      </c>
      <c r="H762" s="4" t="inlineStr">
        <is>
          <t>Sạc pin B2A20</t>
        </is>
      </c>
      <c r="I762" s="3" t="inlineStr">
        <is>
          <t>Cái</t>
        </is>
      </c>
      <c r="J762" s="5" t="n">
        <v>270000</v>
      </c>
      <c r="K762" s="5" t="n">
        <v>302000</v>
      </c>
      <c r="L762" s="6" t="n">
        <v>351000</v>
      </c>
      <c r="M762" s="5" t="n"/>
      <c r="N762" s="5">
        <f>IF(AND(ISNUMBER(M762),ISNUMBER(L762)),M762-L762,"")</f>
        <v/>
      </c>
      <c r="O762" s="7">
        <f>IF(AND(ISNUMBER(M762),ISNUMBER(L762),L762&gt;0),(M762-L762)/L762,"")</f>
        <v/>
      </c>
      <c r="P762" s="3">
        <f>IF(O762="","",IF(O762&lt;-0.02,"🔴 Bán phá giá sàn",IF(O762&gt;0.05,"🔵 Bán cao hơn","🟢 Đúng giá sàn TMĐT")))</f>
        <v/>
      </c>
      <c r="Q762" s="3" t="n"/>
      <c r="R762" s="4" t="n"/>
      <c r="S762" s="4" t="n"/>
    </row>
    <row r="763">
      <c r="A763" s="3" t="n">
        <v>762</v>
      </c>
      <c r="B763" s="3" t="inlineStr">
        <is>
          <t>KH004</t>
        </is>
      </c>
      <c r="C763" s="4" t="inlineStr">
        <is>
          <t>HCM-BIGSHOP</t>
        </is>
      </c>
      <c r="D763" s="3" t="inlineStr">
        <is>
          <t>HCM</t>
        </is>
      </c>
      <c r="E763" s="3" t="inlineStr">
        <is>
          <t>XUÂN TRANG</t>
        </is>
      </c>
      <c r="F763" s="3" t="inlineStr">
        <is>
          <t>Website bán hàng</t>
        </is>
      </c>
      <c r="G763" s="3" t="inlineStr">
        <is>
          <t>KFF-73</t>
        </is>
      </c>
      <c r="H763" s="4" t="inlineStr">
        <is>
          <t>Súng bắn đinh bê tông KFF-73</t>
        </is>
      </c>
      <c r="I763" s="3" t="inlineStr">
        <is>
          <t>Cái</t>
        </is>
      </c>
      <c r="J763" s="5" t="n">
        <v>660000</v>
      </c>
      <c r="K763" s="5" t="n">
        <v>739000</v>
      </c>
      <c r="L763" s="6" t="n">
        <v>858000</v>
      </c>
      <c r="M763" s="5" t="n"/>
      <c r="N763" s="5">
        <f>IF(AND(ISNUMBER(M763),ISNUMBER(L763)),M763-L763,"")</f>
        <v/>
      </c>
      <c r="O763" s="7">
        <f>IF(AND(ISNUMBER(M763),ISNUMBER(L763),L763&gt;0),(M763-L763)/L763,"")</f>
        <v/>
      </c>
      <c r="P763" s="3">
        <f>IF(O763="","",IF(O763&lt;-0.02,"🔴 Bán phá giá sàn",IF(O763&gt;0.05,"🔵 Bán cao hơn","🟢 Đúng giá sàn TMĐT")))</f>
        <v/>
      </c>
      <c r="Q763" s="3" t="n"/>
      <c r="R763" s="4" t="n"/>
      <c r="S763" s="4" t="n"/>
    </row>
    <row r="764">
      <c r="A764" s="3" t="n">
        <v>763</v>
      </c>
      <c r="B764" s="3" t="inlineStr">
        <is>
          <t>KH004</t>
        </is>
      </c>
      <c r="C764" s="4" t="inlineStr">
        <is>
          <t>HCM-BIGSHOP</t>
        </is>
      </c>
      <c r="D764" s="3" t="inlineStr">
        <is>
          <t>HCM</t>
        </is>
      </c>
      <c r="E764" s="3" t="inlineStr">
        <is>
          <t>XUÂN TRANG</t>
        </is>
      </c>
      <c r="F764" s="3" t="inlineStr">
        <is>
          <t>Website bán hàng</t>
        </is>
      </c>
      <c r="G764" s="3" t="inlineStr">
        <is>
          <t>KBO-FG30</t>
        </is>
      </c>
      <c r="H764" s="4" t="inlineStr">
        <is>
          <t>Súng bắn đinh hơi KBO-FG30</t>
        </is>
      </c>
      <c r="I764" s="3" t="inlineStr">
        <is>
          <t>Cái</t>
        </is>
      </c>
      <c r="J764" s="5" t="n">
        <v>426000</v>
      </c>
      <c r="K764" s="5" t="n">
        <v>494000</v>
      </c>
      <c r="L764" s="6" t="n">
        <v>596000</v>
      </c>
      <c r="M764" s="5" t="n"/>
      <c r="N764" s="5">
        <f>IF(AND(ISNUMBER(M764),ISNUMBER(L764)),M764-L764,"")</f>
        <v/>
      </c>
      <c r="O764" s="7">
        <f>IF(AND(ISNUMBER(M764),ISNUMBER(L764),L764&gt;0),(M764-L764)/L764,"")</f>
        <v/>
      </c>
      <c r="P764" s="3">
        <f>IF(O764="","",IF(O764&lt;-0.02,"🔴 Bán phá giá sàn",IF(O764&gt;0.05,"🔵 Bán cao hơn","🟢 Đúng giá sàn TMĐT")))</f>
        <v/>
      </c>
      <c r="Q764" s="3" t="n"/>
      <c r="R764" s="4" t="n"/>
      <c r="S764" s="4" t="n"/>
    </row>
    <row r="765">
      <c r="A765" s="3" t="n">
        <v>764</v>
      </c>
      <c r="B765" s="3" t="inlineStr">
        <is>
          <t>KH004</t>
        </is>
      </c>
      <c r="C765" s="4" t="inlineStr">
        <is>
          <t>HCM-BIGSHOP</t>
        </is>
      </c>
      <c r="D765" s="3" t="inlineStr">
        <is>
          <t>HCM</t>
        </is>
      </c>
      <c r="E765" s="3" t="inlineStr">
        <is>
          <t>XUÂN TRANG</t>
        </is>
      </c>
      <c r="F765" s="3" t="inlineStr">
        <is>
          <t>Website bán hàng</t>
        </is>
      </c>
      <c r="G765" s="3" t="inlineStr">
        <is>
          <t>KBO-X0215</t>
        </is>
      </c>
      <c r="H765" s="4" t="inlineStr">
        <is>
          <t>Súng Xịt Hơi KBO-X0215</t>
        </is>
      </c>
      <c r="I765" s="3" t="inlineStr">
        <is>
          <t>Cái</t>
        </is>
      </c>
      <c r="J765" s="5" t="n">
        <v>97000</v>
      </c>
      <c r="K765" s="5" t="n">
        <v>115000</v>
      </c>
      <c r="L765" s="6" t="n">
        <v>141000</v>
      </c>
      <c r="M765" s="5" t="n"/>
      <c r="N765" s="5">
        <f>IF(AND(ISNUMBER(M765),ISNUMBER(L765)),M765-L765,"")</f>
        <v/>
      </c>
      <c r="O765" s="7">
        <f>IF(AND(ISNUMBER(M765),ISNUMBER(L765),L765&gt;0),(M765-L765)/L765,"")</f>
        <v/>
      </c>
      <c r="P765" s="3">
        <f>IF(O765="","",IF(O765&lt;-0.02,"🔴 Bán phá giá sàn",IF(O765&gt;0.05,"🔵 Bán cao hơn","🟢 Đúng giá sàn TMĐT")))</f>
        <v/>
      </c>
      <c r="Q765" s="3" t="n"/>
      <c r="R765" s="4" t="n"/>
      <c r="S765" s="4" t="n"/>
    </row>
    <row r="766">
      <c r="A766" s="3" t="n">
        <v>765</v>
      </c>
      <c r="B766" s="3" t="inlineStr">
        <is>
          <t>KH004</t>
        </is>
      </c>
      <c r="C766" s="4" t="inlineStr">
        <is>
          <t>HCM-BIGSHOP</t>
        </is>
      </c>
      <c r="D766" s="3" t="inlineStr">
        <is>
          <t>HCM</t>
        </is>
      </c>
      <c r="E766" s="3" t="inlineStr">
        <is>
          <t>XUÂN TRANG</t>
        </is>
      </c>
      <c r="F766" s="3" t="inlineStr">
        <is>
          <t>Website bán hàng</t>
        </is>
      </c>
      <c r="G766" s="3" t="inlineStr">
        <is>
          <t>KHD4212</t>
        </is>
      </c>
      <c r="H766" s="4" t="inlineStr">
        <is>
          <t>Thùng đựng đồ nghề kèm phụ kiện KHD4212 NEW</t>
        </is>
      </c>
      <c r="I766" s="3" t="inlineStr">
        <is>
          <t>Cái</t>
        </is>
      </c>
      <c r="J766" s="5" t="n">
        <v>1996</v>
      </c>
      <c r="K766" s="5" t="n">
        <v>539000</v>
      </c>
      <c r="L766" s="6" t="n">
        <v>615000</v>
      </c>
      <c r="M766" s="5" t="n"/>
      <c r="N766" s="5">
        <f>IF(AND(ISNUMBER(M766),ISNUMBER(L766)),M766-L766,"")</f>
        <v/>
      </c>
      <c r="O766" s="7">
        <f>IF(AND(ISNUMBER(M766),ISNUMBER(L766),L766&gt;0),(M766-L766)/L766,"")</f>
        <v/>
      </c>
      <c r="P766" s="3">
        <f>IF(O766="","",IF(O766&lt;-0.02,"🔴 Bán phá giá sàn",IF(O766&gt;0.05,"🔵 Bán cao hơn","🟢 Đúng giá sàn TMĐT")))</f>
        <v/>
      </c>
      <c r="Q766" s="3" t="n"/>
      <c r="R766" s="4" t="n"/>
      <c r="S766" s="4" t="n"/>
    </row>
    <row r="767">
      <c r="A767" s="3" t="n">
        <v>766</v>
      </c>
      <c r="B767" s="3" t="inlineStr">
        <is>
          <t>KH004</t>
        </is>
      </c>
      <c r="C767" s="4" t="inlineStr">
        <is>
          <t>HCM-BIGSHOP</t>
        </is>
      </c>
      <c r="D767" s="3" t="inlineStr">
        <is>
          <t>HCM</t>
        </is>
      </c>
      <c r="E767" s="3" t="inlineStr">
        <is>
          <t>XUÂN TRANG</t>
        </is>
      </c>
      <c r="F767" s="3" t="inlineStr">
        <is>
          <t>Website bán hàng</t>
        </is>
      </c>
      <c r="G767" s="3" t="inlineStr">
        <is>
          <t>KHD20</t>
        </is>
      </c>
      <c r="H767" s="4" t="inlineStr">
        <is>
          <t>Thùng đựng đồ nghề KHD20</t>
        </is>
      </c>
      <c r="I767" s="3" t="inlineStr">
        <is>
          <t>Cái</t>
        </is>
      </c>
      <c r="J767" s="5" t="n">
        <v>396000</v>
      </c>
      <c r="K767" s="5" t="n">
        <v>452000</v>
      </c>
      <c r="L767" s="6" t="n">
        <v>535000</v>
      </c>
      <c r="M767" s="5" t="n"/>
      <c r="N767" s="5">
        <f>IF(AND(ISNUMBER(M767),ISNUMBER(L767)),M767-L767,"")</f>
        <v/>
      </c>
      <c r="O767" s="7">
        <f>IF(AND(ISNUMBER(M767),ISNUMBER(L767),L767&gt;0),(M767-L767)/L767,"")</f>
        <v/>
      </c>
      <c r="P767" s="3">
        <f>IF(O767="","",IF(O767&lt;-0.02,"🔴 Bán phá giá sàn",IF(O767&gt;0.05,"🔵 Bán cao hơn","🟢 Đúng giá sàn TMĐT")))</f>
        <v/>
      </c>
      <c r="Q767" s="3" t="n"/>
      <c r="R767" s="4" t="n"/>
      <c r="S767" s="4" t="n"/>
    </row>
    <row r="768">
      <c r="A768" s="3" t="n">
        <v>767</v>
      </c>
      <c r="B768" s="3" t="inlineStr">
        <is>
          <t>KH004</t>
        </is>
      </c>
      <c r="C768" s="4" t="inlineStr">
        <is>
          <t>HCM-BIGSHOP</t>
        </is>
      </c>
      <c r="D768" s="3" t="inlineStr">
        <is>
          <t>HCM</t>
        </is>
      </c>
      <c r="E768" s="3" t="inlineStr">
        <is>
          <t>XUÂN TRANG</t>
        </is>
      </c>
      <c r="F768" s="3" t="inlineStr">
        <is>
          <t>Website bán hàng</t>
        </is>
      </c>
      <c r="G768" s="3" t="inlineStr">
        <is>
          <t>KHD4216</t>
        </is>
      </c>
      <c r="H768" s="4" t="inlineStr">
        <is>
          <t>Thùng đựng đồ nghề KHD4216</t>
        </is>
      </c>
      <c r="I768" s="3" t="inlineStr">
        <is>
          <t>Cái</t>
        </is>
      </c>
      <c r="J768" s="5" t="n">
        <v>2065</v>
      </c>
      <c r="K768" s="5" t="n">
        <v>484000</v>
      </c>
      <c r="L768" s="6" t="n">
        <v>552000</v>
      </c>
      <c r="M768" s="5" t="n"/>
      <c r="N768" s="5">
        <f>IF(AND(ISNUMBER(M768),ISNUMBER(L768)),M768-L768,"")</f>
        <v/>
      </c>
      <c r="O768" s="7">
        <f>IF(AND(ISNUMBER(M768),ISNUMBER(L768),L768&gt;0),(M768-L768)/L768,"")</f>
        <v/>
      </c>
      <c r="P768" s="3">
        <f>IF(O768="","",IF(O768&lt;-0.02,"🔴 Bán phá giá sàn",IF(O768&gt;0.05,"🔵 Bán cao hơn","🟢 Đúng giá sàn TMĐT")))</f>
        <v/>
      </c>
      <c r="Q768" s="3" t="n"/>
      <c r="R768" s="4" t="n"/>
      <c r="S768" s="4" t="n"/>
    </row>
    <row r="769">
      <c r="A769" s="3" t="n">
        <v>768</v>
      </c>
      <c r="B769" s="3" t="inlineStr">
        <is>
          <t>KH004</t>
        </is>
      </c>
      <c r="C769" s="4" t="inlineStr">
        <is>
          <t>HCM-BIGSHOP</t>
        </is>
      </c>
      <c r="D769" s="3" t="inlineStr">
        <is>
          <t>HCM</t>
        </is>
      </c>
      <c r="E769" s="3" t="inlineStr">
        <is>
          <t>XUÂN TRANG</t>
        </is>
      </c>
      <c r="F769" s="3" t="inlineStr">
        <is>
          <t>Website bán hàng</t>
        </is>
      </c>
      <c r="G769" s="3" t="inlineStr">
        <is>
          <t>KHD4233</t>
        </is>
      </c>
      <c r="H769" s="4" t="inlineStr">
        <is>
          <t>Thùng đựng đồ nghề KHD4233</t>
        </is>
      </c>
      <c r="I769" s="3" t="inlineStr">
        <is>
          <t>Cái</t>
        </is>
      </c>
      <c r="J769" s="5" t="n">
        <v>269000</v>
      </c>
      <c r="K769" s="5" t="n">
        <v>317000</v>
      </c>
      <c r="L769" s="6" t="n">
        <v>390000</v>
      </c>
      <c r="M769" s="5" t="n"/>
      <c r="N769" s="5">
        <f>IF(AND(ISNUMBER(M769),ISNUMBER(L769)),M769-L769,"")</f>
        <v/>
      </c>
      <c r="O769" s="7">
        <f>IF(AND(ISNUMBER(M769),ISNUMBER(L769),L769&gt;0),(M769-L769)/L769,"")</f>
        <v/>
      </c>
      <c r="P769" s="3">
        <f>IF(O769="","",IF(O769&lt;-0.02,"🔴 Bán phá giá sàn",IF(O769&gt;0.05,"🔵 Bán cao hơn","🟢 Đúng giá sàn TMĐT")))</f>
        <v/>
      </c>
      <c r="Q769" s="3" t="n"/>
      <c r="R769" s="4" t="n"/>
      <c r="S769" s="4" t="n"/>
    </row>
    <row r="770">
      <c r="A770" s="3" t="n">
        <v>769</v>
      </c>
      <c r="B770" s="3" t="inlineStr">
        <is>
          <t>KH004</t>
        </is>
      </c>
      <c r="C770" s="4" t="inlineStr">
        <is>
          <t>HCM-BIGSHOP</t>
        </is>
      </c>
      <c r="D770" s="3" t="inlineStr">
        <is>
          <t>HCM</t>
        </is>
      </c>
      <c r="E770" s="3" t="inlineStr">
        <is>
          <t>XUÂN TRANG</t>
        </is>
      </c>
      <c r="F770" s="3" t="inlineStr">
        <is>
          <t>Website bán hàng</t>
        </is>
      </c>
      <c r="G770" s="3" t="inlineStr">
        <is>
          <t>KNZ-100X</t>
        </is>
      </c>
      <c r="H770" s="4" t="inlineStr">
        <is>
          <t>Thước đo khoảng cách laser KNZ-100X</t>
        </is>
      </c>
      <c r="I770" s="3" t="inlineStr">
        <is>
          <t>Cái</t>
        </is>
      </c>
      <c r="J770" s="5" t="n">
        <v>730000</v>
      </c>
      <c r="K770" s="5" t="n">
        <v>810000</v>
      </c>
      <c r="L770" s="6" t="n">
        <v>940000</v>
      </c>
      <c r="M770" s="5" t="n"/>
      <c r="N770" s="5">
        <f>IF(AND(ISNUMBER(M770),ISNUMBER(L770)),M770-L770,"")</f>
        <v/>
      </c>
      <c r="O770" s="7">
        <f>IF(AND(ISNUMBER(M770),ISNUMBER(L770),L770&gt;0),(M770-L770)/L770,"")</f>
        <v/>
      </c>
      <c r="P770" s="3">
        <f>IF(O770="","",IF(O770&lt;-0.02,"🔴 Bán phá giá sàn",IF(O770&gt;0.05,"🔵 Bán cao hơn","🟢 Đúng giá sàn TMĐT")))</f>
        <v/>
      </c>
      <c r="Q770" s="3" t="n"/>
      <c r="R770" s="4" t="n"/>
      <c r="S770" s="4" t="n"/>
    </row>
    <row r="771">
      <c r="A771" s="3" t="n">
        <v>770</v>
      </c>
      <c r="B771" s="3" t="inlineStr">
        <is>
          <t>KH004</t>
        </is>
      </c>
      <c r="C771" s="4" t="inlineStr">
        <is>
          <t>HCM-BIGSHOP</t>
        </is>
      </c>
      <c r="D771" s="3" t="inlineStr">
        <is>
          <t>HCM</t>
        </is>
      </c>
      <c r="E771" s="3" t="inlineStr">
        <is>
          <t>XUÂN TRANG</t>
        </is>
      </c>
      <c r="F771" s="3" t="inlineStr">
        <is>
          <t>Website bán hàng</t>
        </is>
      </c>
      <c r="G771" s="3" t="inlineStr">
        <is>
          <t>KNZ-80R</t>
        </is>
      </c>
      <c r="H771" s="4" t="inlineStr">
        <is>
          <t>Thước đo khoảng cách laser KNZ-80R</t>
        </is>
      </c>
      <c r="I771" s="3" t="inlineStr">
        <is>
          <t>Cái</t>
        </is>
      </c>
      <c r="J771" s="5" t="n">
        <v>269000</v>
      </c>
      <c r="K771" s="5" t="n">
        <v>317000</v>
      </c>
      <c r="L771" s="6" t="n">
        <v>390000</v>
      </c>
      <c r="M771" s="5" t="n"/>
      <c r="N771" s="5">
        <f>IF(AND(ISNUMBER(M771),ISNUMBER(L771)),M771-L771,"")</f>
        <v/>
      </c>
      <c r="O771" s="7">
        <f>IF(AND(ISNUMBER(M771),ISNUMBER(L771),L771&gt;0),(M771-L771)/L771,"")</f>
        <v/>
      </c>
      <c r="P771" s="3">
        <f>IF(O771="","",IF(O771&lt;-0.02,"🔴 Bán phá giá sàn",IF(O771&gt;0.05,"🔵 Bán cao hơn","🟢 Đúng giá sàn TMĐT")))</f>
        <v/>
      </c>
      <c r="Q771" s="3" t="n"/>
      <c r="R771" s="4" t="n"/>
      <c r="S771" s="4" t="n"/>
    </row>
    <row r="772">
      <c r="A772" s="3" t="n">
        <v>771</v>
      </c>
      <c r="B772" s="3" t="inlineStr">
        <is>
          <t>KH005</t>
        </is>
      </c>
      <c r="C772" s="4" t="inlineStr">
        <is>
          <t>ThinkSafe HCM</t>
        </is>
      </c>
      <c r="D772" s="3" t="inlineStr">
        <is>
          <t>HCM</t>
        </is>
      </c>
      <c r="E772" s="3" t="inlineStr">
        <is>
          <t>XUÂN TRANG</t>
        </is>
      </c>
      <c r="F772" s="3" t="inlineStr">
        <is>
          <t>Shopee</t>
        </is>
      </c>
      <c r="G772" s="3" t="inlineStr">
        <is>
          <t>H03LT1722</t>
        </is>
      </c>
      <c r="H772" s="4" t="inlineStr">
        <is>
          <t>Bộ cờ lê H03LT1722 gồm đầu 17mm và 22mm</t>
        </is>
      </c>
      <c r="I772" s="3" t="inlineStr">
        <is>
          <t>Cái</t>
        </is>
      </c>
      <c r="J772" s="5" t="n">
        <v>269000</v>
      </c>
      <c r="K772" s="5" t="n">
        <v>317000</v>
      </c>
      <c r="L772" s="6" t="n">
        <v>390000</v>
      </c>
      <c r="M772" s="5" t="n"/>
      <c r="N772" s="5">
        <f>IF(AND(ISNUMBER(M772),ISNUMBER(L772)),M772-L772,"")</f>
        <v/>
      </c>
      <c r="O772" s="7">
        <f>IF(AND(ISNUMBER(M772),ISNUMBER(L772),L772&gt;0),(M772-L772)/L772,"")</f>
        <v/>
      </c>
      <c r="P772" s="3">
        <f>IF(O772="","",IF(O772&lt;-0.02,"🔴 Bán phá giá sàn",IF(O772&gt;0.05,"🔵 Bán cao hơn","🟢 Đúng giá sàn TMĐT")))</f>
        <v/>
      </c>
      <c r="Q772" s="3" t="n"/>
      <c r="R772" s="4" t="n"/>
      <c r="S772" s="4" t="n"/>
    </row>
    <row r="773">
      <c r="A773" s="3" t="n">
        <v>772</v>
      </c>
      <c r="B773" s="3" t="inlineStr">
        <is>
          <t>KH005</t>
        </is>
      </c>
      <c r="C773" s="4" t="inlineStr">
        <is>
          <t>ThinkSafe HCM</t>
        </is>
      </c>
      <c r="D773" s="3" t="inlineStr">
        <is>
          <t>HCM</t>
        </is>
      </c>
      <c r="E773" s="3" t="inlineStr">
        <is>
          <t>XUÂN TRANG</t>
        </is>
      </c>
      <c r="F773" s="3" t="inlineStr">
        <is>
          <t>Shopee</t>
        </is>
      </c>
      <c r="G773" s="3" t="inlineStr"/>
      <c r="H773" s="4" t="inlineStr">
        <is>
          <t>Bộ chuyển đổi chân pin KingBlue</t>
        </is>
      </c>
      <c r="I773" s="3" t="inlineStr">
        <is>
          <t>Cái</t>
        </is>
      </c>
      <c r="J773" s="5" t="n">
        <v>269000</v>
      </c>
      <c r="K773" s="5" t="n">
        <v>317000</v>
      </c>
      <c r="L773" s="6" t="n">
        <v>390000</v>
      </c>
      <c r="M773" s="5" t="n"/>
      <c r="N773" s="5">
        <f>IF(AND(ISNUMBER(M773),ISNUMBER(L773)),M773-L773,"")</f>
        <v/>
      </c>
      <c r="O773" s="7">
        <f>IF(AND(ISNUMBER(M773),ISNUMBER(L773),L773&gt;0),(M773-L773)/L773,"")</f>
        <v/>
      </c>
      <c r="P773" s="3">
        <f>IF(O773="","",IF(O773&lt;-0.02,"🔴 Bán phá giá sàn",IF(O773&gt;0.05,"🔵 Bán cao hơn","🟢 Đúng giá sàn TMĐT")))</f>
        <v/>
      </c>
      <c r="Q773" s="3" t="n"/>
      <c r="R773" s="4" t="n"/>
      <c r="S773" s="4" t="n"/>
    </row>
    <row r="774">
      <c r="A774" s="3" t="n">
        <v>773</v>
      </c>
      <c r="B774" s="3" t="inlineStr">
        <is>
          <t>KH005</t>
        </is>
      </c>
      <c r="C774" s="4" t="inlineStr">
        <is>
          <t>ThinkSafe HCM</t>
        </is>
      </c>
      <c r="D774" s="3" t="inlineStr">
        <is>
          <t>HCM</t>
        </is>
      </c>
      <c r="E774" s="3" t="inlineStr">
        <is>
          <t>XUÂN TRANG</t>
        </is>
      </c>
      <c r="F774" s="3" t="inlineStr">
        <is>
          <t>Shopee</t>
        </is>
      </c>
      <c r="G774" s="3" t="inlineStr">
        <is>
          <t>T9100E</t>
        </is>
      </c>
      <c r="H774" s="4" t="inlineStr">
        <is>
          <t>Bộ đầu hoa thị T9100E</t>
        </is>
      </c>
      <c r="I774" s="3" t="inlineStr">
        <is>
          <t>Bộ</t>
        </is>
      </c>
      <c r="J774" s="5" t="n">
        <v>86000</v>
      </c>
      <c r="K774" s="5" t="n">
        <v>108000</v>
      </c>
      <c r="L774" s="6" t="n">
        <v>142000</v>
      </c>
      <c r="M774" s="5" t="n"/>
      <c r="N774" s="5">
        <f>IF(AND(ISNUMBER(M774),ISNUMBER(L774)),M774-L774,"")</f>
        <v/>
      </c>
      <c r="O774" s="7">
        <f>IF(AND(ISNUMBER(M774),ISNUMBER(L774),L774&gt;0),(M774-L774)/L774,"")</f>
        <v/>
      </c>
      <c r="P774" s="3">
        <f>IF(O774="","",IF(O774&lt;-0.02,"🔴 Bán phá giá sàn",IF(O774&gt;0.05,"🔵 Bán cao hơn","🟢 Đúng giá sàn TMĐT")))</f>
        <v/>
      </c>
      <c r="Q774" s="3" t="n"/>
      <c r="R774" s="4" t="n"/>
      <c r="S774" s="4" t="n"/>
    </row>
    <row r="775">
      <c r="A775" s="3" t="n">
        <v>774</v>
      </c>
      <c r="B775" s="3" t="inlineStr">
        <is>
          <t>KH005</t>
        </is>
      </c>
      <c r="C775" s="4" t="inlineStr">
        <is>
          <t>ThinkSafe HCM</t>
        </is>
      </c>
      <c r="D775" s="3" t="inlineStr">
        <is>
          <t>HCM</t>
        </is>
      </c>
      <c r="E775" s="3" t="inlineStr">
        <is>
          <t>XUÂN TRANG</t>
        </is>
      </c>
      <c r="F775" s="3" t="inlineStr">
        <is>
          <t>Shopee</t>
        </is>
      </c>
      <c r="G775" s="3" t="inlineStr">
        <is>
          <t>L8100E</t>
        </is>
      </c>
      <c r="H775" s="4" t="inlineStr">
        <is>
          <t>Bộ đầu lục giác L8100E</t>
        </is>
      </c>
      <c r="I775" s="3" t="inlineStr">
        <is>
          <t>Bộ</t>
        </is>
      </c>
      <c r="J775" s="5" t="n">
        <v>86000</v>
      </c>
      <c r="K775" s="5" t="n">
        <v>108000</v>
      </c>
      <c r="L775" s="6" t="n">
        <v>142000</v>
      </c>
      <c r="M775" s="5" t="n"/>
      <c r="N775" s="5">
        <f>IF(AND(ISNUMBER(M775),ISNUMBER(L775)),M775-L775,"")</f>
        <v/>
      </c>
      <c r="O775" s="7">
        <f>IF(AND(ISNUMBER(M775),ISNUMBER(L775),L775&gt;0),(M775-L775)/L775,"")</f>
        <v/>
      </c>
      <c r="P775" s="3">
        <f>IF(O775="","",IF(O775&lt;-0.02,"🔴 Bán phá giá sàn",IF(O775&gt;0.05,"🔵 Bán cao hơn","🟢 Đúng giá sàn TMĐT")))</f>
        <v/>
      </c>
      <c r="Q775" s="3" t="n"/>
      <c r="R775" s="4" t="n"/>
      <c r="S775" s="4" t="n"/>
    </row>
    <row r="776">
      <c r="A776" s="3" t="n">
        <v>775</v>
      </c>
      <c r="B776" s="3" t="inlineStr">
        <is>
          <t>KH005</t>
        </is>
      </c>
      <c r="C776" s="4" t="inlineStr">
        <is>
          <t>ThinkSafe HCM</t>
        </is>
      </c>
      <c r="D776" s="3" t="inlineStr">
        <is>
          <t>HCM</t>
        </is>
      </c>
      <c r="E776" s="3" t="inlineStr">
        <is>
          <t>XUÂN TRANG</t>
        </is>
      </c>
      <c r="F776" s="3" t="inlineStr">
        <is>
          <t>Shopee</t>
        </is>
      </c>
      <c r="G776" s="3" t="inlineStr">
        <is>
          <t>KBYT6</t>
        </is>
      </c>
      <c r="H776" s="4" t="inlineStr">
        <is>
          <t>Bộ lấy ốc gãy KingBlue KBYT6</t>
        </is>
      </c>
      <c r="I776" s="3" t="inlineStr">
        <is>
          <t>Bộ</t>
        </is>
      </c>
      <c r="J776" s="5" t="n">
        <v>68000</v>
      </c>
      <c r="K776" s="5" t="n">
        <v>80000</v>
      </c>
      <c r="L776" s="6" t="n">
        <v>99000</v>
      </c>
      <c r="M776" s="5" t="n"/>
      <c r="N776" s="5">
        <f>IF(AND(ISNUMBER(M776),ISNUMBER(L776)),M776-L776,"")</f>
        <v/>
      </c>
      <c r="O776" s="7">
        <f>IF(AND(ISNUMBER(M776),ISNUMBER(L776),L776&gt;0),(M776-L776)/L776,"")</f>
        <v/>
      </c>
      <c r="P776" s="3">
        <f>IF(O776="","",IF(O776&lt;-0.02,"🔴 Bán phá giá sàn",IF(O776&gt;0.05,"🔵 Bán cao hơn","🟢 Đúng giá sàn TMĐT")))</f>
        <v/>
      </c>
      <c r="Q776" s="3" t="n"/>
      <c r="R776" s="4" t="n"/>
      <c r="S776" s="4" t="n"/>
    </row>
    <row r="777">
      <c r="A777" s="3" t="n">
        <v>776</v>
      </c>
      <c r="B777" s="3" t="inlineStr">
        <is>
          <t>KH005</t>
        </is>
      </c>
      <c r="C777" s="4" t="inlineStr">
        <is>
          <t>ThinkSafe HCM</t>
        </is>
      </c>
      <c r="D777" s="3" t="inlineStr">
        <is>
          <t>HCM</t>
        </is>
      </c>
      <c r="E777" s="3" t="inlineStr">
        <is>
          <t>XUÂN TRANG</t>
        </is>
      </c>
      <c r="F777" s="3" t="inlineStr">
        <is>
          <t>Shopee</t>
        </is>
      </c>
      <c r="G777" s="3" t="inlineStr">
        <is>
          <t>KB-R1323</t>
        </is>
      </c>
      <c r="H777" s="4" t="inlineStr">
        <is>
          <t>Bộ loe ống đồng 2 chức năng KingBlue KB-R1323</t>
        </is>
      </c>
      <c r="I777" s="3" t="inlineStr">
        <is>
          <t>Cái</t>
        </is>
      </c>
      <c r="J777" s="5" t="n">
        <v>1720000</v>
      </c>
      <c r="K777" s="5" t="n">
        <v>1926000</v>
      </c>
      <c r="L777" s="6" t="n">
        <v>2236000</v>
      </c>
      <c r="M777" s="5" t="n"/>
      <c r="N777" s="5">
        <f>IF(AND(ISNUMBER(M777),ISNUMBER(L777)),M777-L777,"")</f>
        <v/>
      </c>
      <c r="O777" s="7">
        <f>IF(AND(ISNUMBER(M777),ISNUMBER(L777),L777&gt;0),(M777-L777)/L777,"")</f>
        <v/>
      </c>
      <c r="P777" s="3">
        <f>IF(O777="","",IF(O777&lt;-0.02,"🔴 Bán phá giá sàn",IF(O777&gt;0.05,"🔵 Bán cao hơn","🟢 Đúng giá sàn TMĐT")))</f>
        <v/>
      </c>
      <c r="Q777" s="3" t="n"/>
      <c r="R777" s="4" t="n"/>
      <c r="S777" s="4" t="n"/>
    </row>
    <row r="778">
      <c r="A778" s="3" t="n">
        <v>777</v>
      </c>
      <c r="B778" s="3" t="inlineStr">
        <is>
          <t>KH005</t>
        </is>
      </c>
      <c r="C778" s="4" t="inlineStr">
        <is>
          <t>ThinkSafe HCM</t>
        </is>
      </c>
      <c r="D778" s="3" t="inlineStr">
        <is>
          <t>HCM</t>
        </is>
      </c>
      <c r="E778" s="3" t="inlineStr">
        <is>
          <t>XUÂN TRANG</t>
        </is>
      </c>
      <c r="F778" s="3" t="inlineStr">
        <is>
          <t>Shopee</t>
        </is>
      </c>
      <c r="G778" s="3" t="inlineStr">
        <is>
          <t>KB-C1323</t>
        </is>
      </c>
      <c r="H778" s="4" t="inlineStr">
        <is>
          <t>Bộ loe ống đồng KingBlue KB-C1323</t>
        </is>
      </c>
      <c r="I778" s="3" t="inlineStr">
        <is>
          <t>Cái</t>
        </is>
      </c>
      <c r="J778" s="5" t="n">
        <v>1140000</v>
      </c>
      <c r="K778" s="5" t="n">
        <v>1277000</v>
      </c>
      <c r="L778" s="6" t="n">
        <v>1482000</v>
      </c>
      <c r="M778" s="5" t="n"/>
      <c r="N778" s="5">
        <f>IF(AND(ISNUMBER(M778),ISNUMBER(L778)),M778-L778,"")</f>
        <v/>
      </c>
      <c r="O778" s="7">
        <f>IF(AND(ISNUMBER(M778),ISNUMBER(L778),L778&gt;0),(M778-L778)/L778,"")</f>
        <v/>
      </c>
      <c r="P778" s="3">
        <f>IF(O778="","",IF(O778&lt;-0.02,"🔴 Bán phá giá sàn",IF(O778&gt;0.05,"🔵 Bán cao hơn","🟢 Đúng giá sàn TMĐT")))</f>
        <v/>
      </c>
      <c r="Q778" s="3" t="n"/>
      <c r="R778" s="4" t="n"/>
      <c r="S778" s="4" t="n"/>
    </row>
    <row r="779">
      <c r="A779" s="3" t="n">
        <v>778</v>
      </c>
      <c r="B779" s="3" t="inlineStr">
        <is>
          <t>KH005</t>
        </is>
      </c>
      <c r="C779" s="4" t="inlineStr">
        <is>
          <t>ThinkSafe HCM</t>
        </is>
      </c>
      <c r="D779" s="3" t="inlineStr">
        <is>
          <t>HCM</t>
        </is>
      </c>
      <c r="E779" s="3" t="inlineStr">
        <is>
          <t>XUÂN TRANG</t>
        </is>
      </c>
      <c r="F779" s="3" t="inlineStr">
        <is>
          <t>Shopee</t>
        </is>
      </c>
      <c r="G779" s="3" t="inlineStr">
        <is>
          <t>KL-008</t>
        </is>
      </c>
      <c r="H779" s="4" t="inlineStr">
        <is>
          <t>Bộ lục giác gập KL-008</t>
        </is>
      </c>
      <c r="I779" s="3" t="inlineStr">
        <is>
          <t>Cái</t>
        </is>
      </c>
      <c r="J779" s="5" t="n">
        <v>269000</v>
      </c>
      <c r="K779" s="5" t="n">
        <v>317000</v>
      </c>
      <c r="L779" s="6" t="n">
        <v>390000</v>
      </c>
      <c r="M779" s="5" t="n"/>
      <c r="N779" s="5">
        <f>IF(AND(ISNUMBER(M779),ISNUMBER(L779)),M779-L779,"")</f>
        <v/>
      </c>
      <c r="O779" s="7">
        <f>IF(AND(ISNUMBER(M779),ISNUMBER(L779),L779&gt;0),(M779-L779)/L779,"")</f>
        <v/>
      </c>
      <c r="P779" s="3">
        <f>IF(O779="","",IF(O779&lt;-0.02,"🔴 Bán phá giá sàn",IF(O779&gt;0.05,"🔵 Bán cao hơn","🟢 Đúng giá sàn TMĐT")))</f>
        <v/>
      </c>
      <c r="Q779" s="3" t="n"/>
      <c r="R779" s="4" t="n"/>
      <c r="S779" s="4" t="n"/>
    </row>
    <row r="780">
      <c r="A780" s="3" t="n">
        <v>779</v>
      </c>
      <c r="B780" s="3" t="inlineStr">
        <is>
          <t>KH005</t>
        </is>
      </c>
      <c r="C780" s="4" t="inlineStr">
        <is>
          <t>ThinkSafe HCM</t>
        </is>
      </c>
      <c r="D780" s="3" t="inlineStr">
        <is>
          <t>HCM</t>
        </is>
      </c>
      <c r="E780" s="3" t="inlineStr">
        <is>
          <t>XUÂN TRANG</t>
        </is>
      </c>
      <c r="F780" s="3" t="inlineStr">
        <is>
          <t>Shopee</t>
        </is>
      </c>
      <c r="G780" s="3" t="inlineStr">
        <is>
          <t>KL018</t>
        </is>
      </c>
      <c r="H780" s="4" t="inlineStr">
        <is>
          <t>Bộ lục giác KL018</t>
        </is>
      </c>
      <c r="I780" s="3" t="inlineStr">
        <is>
          <t>Cái</t>
        </is>
      </c>
      <c r="J780" s="5" t="n">
        <v>269000</v>
      </c>
      <c r="K780" s="5" t="n">
        <v>317000</v>
      </c>
      <c r="L780" s="6" t="n">
        <v>390000</v>
      </c>
      <c r="M780" s="5" t="n"/>
      <c r="N780" s="5">
        <f>IF(AND(ISNUMBER(M780),ISNUMBER(L780)),M780-L780,"")</f>
        <v/>
      </c>
      <c r="O780" s="7">
        <f>IF(AND(ISNUMBER(M780),ISNUMBER(L780),L780&gt;0),(M780-L780)/L780,"")</f>
        <v/>
      </c>
      <c r="P780" s="3">
        <f>IF(O780="","",IF(O780&lt;-0.02,"🔴 Bán phá giá sàn",IF(O780&gt;0.05,"🔵 Bán cao hơn","🟢 Đúng giá sàn TMĐT")))</f>
        <v/>
      </c>
      <c r="Q780" s="3" t="n"/>
      <c r="R780" s="4" t="n"/>
      <c r="S780" s="4" t="n"/>
    </row>
    <row r="781">
      <c r="A781" s="3" t="n">
        <v>780</v>
      </c>
      <c r="B781" s="3" t="inlineStr">
        <is>
          <t>KH005</t>
        </is>
      </c>
      <c r="C781" s="4" t="inlineStr">
        <is>
          <t>ThinkSafe HCM</t>
        </is>
      </c>
      <c r="D781" s="3" t="inlineStr">
        <is>
          <t>HCM</t>
        </is>
      </c>
      <c r="E781" s="3" t="inlineStr">
        <is>
          <t>XUÂN TRANG</t>
        </is>
      </c>
      <c r="F781" s="3" t="inlineStr">
        <is>
          <t>Shopee</t>
        </is>
      </c>
      <c r="G781" s="3" t="inlineStr">
        <is>
          <t>KL5-09</t>
        </is>
      </c>
      <c r="H781" s="4" t="inlineStr">
        <is>
          <t>Bộ lục giác KL5-09 ( đầu bi)</t>
        </is>
      </c>
      <c r="I781" s="3" t="inlineStr">
        <is>
          <t>Cái</t>
        </is>
      </c>
      <c r="J781" s="5" t="n">
        <v>269000</v>
      </c>
      <c r="K781" s="5" t="n">
        <v>317000</v>
      </c>
      <c r="L781" s="6" t="n">
        <v>390000</v>
      </c>
      <c r="M781" s="5" t="n"/>
      <c r="N781" s="5">
        <f>IF(AND(ISNUMBER(M781),ISNUMBER(L781)),M781-L781,"")</f>
        <v/>
      </c>
      <c r="O781" s="7">
        <f>IF(AND(ISNUMBER(M781),ISNUMBER(L781),L781&gt;0),(M781-L781)/L781,"")</f>
        <v/>
      </c>
      <c r="P781" s="3">
        <f>IF(O781="","",IF(O781&lt;-0.02,"🔴 Bán phá giá sàn",IF(O781&gt;0.05,"🔵 Bán cao hơn","🟢 Đúng giá sàn TMĐT")))</f>
        <v/>
      </c>
      <c r="Q781" s="3" t="n"/>
      <c r="R781" s="4" t="n"/>
      <c r="S781" s="4" t="n"/>
    </row>
    <row r="782">
      <c r="A782" s="3" t="n">
        <v>781</v>
      </c>
      <c r="B782" s="3" t="inlineStr">
        <is>
          <t>KH005</t>
        </is>
      </c>
      <c r="C782" s="4" t="inlineStr">
        <is>
          <t>ThinkSafe HCM</t>
        </is>
      </c>
      <c r="D782" s="3" t="inlineStr">
        <is>
          <t>HCM</t>
        </is>
      </c>
      <c r="E782" s="3" t="inlineStr">
        <is>
          <t>XUÂN TRANG</t>
        </is>
      </c>
      <c r="F782" s="3" t="inlineStr">
        <is>
          <t>Shopee</t>
        </is>
      </c>
      <c r="G782" s="3" t="inlineStr">
        <is>
          <t>KL7-09</t>
        </is>
      </c>
      <c r="H782" s="4" t="inlineStr">
        <is>
          <t>Bộ lục giác KL7-09 ( đầu bi)</t>
        </is>
      </c>
      <c r="I782" s="3" t="inlineStr">
        <is>
          <t>Cái</t>
        </is>
      </c>
      <c r="J782" s="5" t="n">
        <v>269000</v>
      </c>
      <c r="K782" s="5" t="n">
        <v>317000</v>
      </c>
      <c r="L782" s="6" t="n">
        <v>390000</v>
      </c>
      <c r="M782" s="5" t="n"/>
      <c r="N782" s="5">
        <f>IF(AND(ISNUMBER(M782),ISNUMBER(L782)),M782-L782,"")</f>
        <v/>
      </c>
      <c r="O782" s="7">
        <f>IF(AND(ISNUMBER(M782),ISNUMBER(L782),L782&gt;0),(M782-L782)/L782,"")</f>
        <v/>
      </c>
      <c r="P782" s="3">
        <f>IF(O782="","",IF(O782&lt;-0.02,"🔴 Bán phá giá sàn",IF(O782&gt;0.05,"🔵 Bán cao hơn","🟢 Đúng giá sàn TMĐT")))</f>
        <v/>
      </c>
      <c r="Q782" s="3" t="n"/>
      <c r="R782" s="4" t="n"/>
      <c r="S782" s="4" t="n"/>
    </row>
    <row r="783">
      <c r="A783" s="3" t="n">
        <v>782</v>
      </c>
      <c r="B783" s="3" t="inlineStr">
        <is>
          <t>KH005</t>
        </is>
      </c>
      <c r="C783" s="4" t="inlineStr">
        <is>
          <t>ThinkSafe HCM</t>
        </is>
      </c>
      <c r="D783" s="3" t="inlineStr">
        <is>
          <t>HCM</t>
        </is>
      </c>
      <c r="E783" s="3" t="inlineStr">
        <is>
          <t>XUÂN TRANG</t>
        </is>
      </c>
      <c r="F783" s="3" t="inlineStr">
        <is>
          <t>Shopee</t>
        </is>
      </c>
      <c r="G783" s="3" t="inlineStr">
        <is>
          <t>KL9-09</t>
        </is>
      </c>
      <c r="H783" s="4" t="inlineStr">
        <is>
          <t>Bộ lục giác KL9-09 (đầu hoa thị)</t>
        </is>
      </c>
      <c r="I783" s="3" t="inlineStr">
        <is>
          <t>Cái</t>
        </is>
      </c>
      <c r="J783" s="5" t="n">
        <v>269000</v>
      </c>
      <c r="K783" s="5" t="n">
        <v>317000</v>
      </c>
      <c r="L783" s="6" t="n">
        <v>390000</v>
      </c>
      <c r="M783" s="5" t="n"/>
      <c r="N783" s="5">
        <f>IF(AND(ISNUMBER(M783),ISNUMBER(L783)),M783-L783,"")</f>
        <v/>
      </c>
      <c r="O783" s="7">
        <f>IF(AND(ISNUMBER(M783),ISNUMBER(L783),L783&gt;0),(M783-L783)/L783,"")</f>
        <v/>
      </c>
      <c r="P783" s="3">
        <f>IF(O783="","",IF(O783&lt;-0.02,"🔴 Bán phá giá sàn",IF(O783&gt;0.05,"🔵 Bán cao hơn","🟢 Đúng giá sàn TMĐT")))</f>
        <v/>
      </c>
      <c r="Q783" s="3" t="n"/>
      <c r="R783" s="4" t="n"/>
      <c r="S783" s="4" t="n"/>
    </row>
    <row r="784">
      <c r="A784" s="3" t="n">
        <v>783</v>
      </c>
      <c r="B784" s="3" t="inlineStr">
        <is>
          <t>KH005</t>
        </is>
      </c>
      <c r="C784" s="4" t="inlineStr">
        <is>
          <t>ThinkSafe HCM</t>
        </is>
      </c>
      <c r="D784" s="3" t="inlineStr">
        <is>
          <t>HCM</t>
        </is>
      </c>
      <c r="E784" s="3" t="inlineStr">
        <is>
          <t>XUÂN TRANG</t>
        </is>
      </c>
      <c r="F784" s="3" t="inlineStr">
        <is>
          <t>Shopee</t>
        </is>
      </c>
      <c r="G784" s="3" t="inlineStr">
        <is>
          <t>KLJ015</t>
        </is>
      </c>
      <c r="H784" s="4" t="inlineStr">
        <is>
          <t>Bộ mũi khoan King Blue KLJ015</t>
        </is>
      </c>
      <c r="I784" s="3" t="inlineStr">
        <is>
          <t>Cái</t>
        </is>
      </c>
      <c r="J784" s="5" t="n">
        <v>269000</v>
      </c>
      <c r="K784" s="5" t="n">
        <v>317000</v>
      </c>
      <c r="L784" s="6" t="n">
        <v>390000</v>
      </c>
      <c r="M784" s="5" t="n"/>
      <c r="N784" s="5">
        <f>IF(AND(ISNUMBER(M784),ISNUMBER(L784)),M784-L784,"")</f>
        <v/>
      </c>
      <c r="O784" s="7">
        <f>IF(AND(ISNUMBER(M784),ISNUMBER(L784),L784&gt;0),(M784-L784)/L784,"")</f>
        <v/>
      </c>
      <c r="P784" s="3">
        <f>IF(O784="","",IF(O784&lt;-0.02,"🔴 Bán phá giá sàn",IF(O784&gt;0.05,"🔵 Bán cao hơn","🟢 Đúng giá sàn TMĐT")))</f>
        <v/>
      </c>
      <c r="Q784" s="3" t="n"/>
      <c r="R784" s="4" t="n"/>
      <c r="S784" s="4" t="n"/>
    </row>
    <row r="785">
      <c r="A785" s="3" t="n">
        <v>784</v>
      </c>
      <c r="B785" s="3" t="inlineStr">
        <is>
          <t>KH005</t>
        </is>
      </c>
      <c r="C785" s="4" t="inlineStr">
        <is>
          <t>ThinkSafe HCM</t>
        </is>
      </c>
      <c r="D785" s="3" t="inlineStr">
        <is>
          <t>HCM</t>
        </is>
      </c>
      <c r="E785" s="3" t="inlineStr">
        <is>
          <t>XUÂN TRANG</t>
        </is>
      </c>
      <c r="F785" s="3" t="inlineStr">
        <is>
          <t>Shopee</t>
        </is>
      </c>
      <c r="G785" s="3" t="inlineStr">
        <is>
          <t>KBY1-B10</t>
        </is>
      </c>
      <c r="H785" s="4" t="inlineStr">
        <is>
          <t>Bộ mũi khoan thép Kingblue KBY1-B10</t>
        </is>
      </c>
      <c r="I785" s="3" t="inlineStr">
        <is>
          <t>Bộ</t>
        </is>
      </c>
      <c r="J785" s="5" t="n">
        <v>244000</v>
      </c>
      <c r="K785" s="5" t="n">
        <v>302000</v>
      </c>
      <c r="L785" s="6" t="n">
        <v>390000</v>
      </c>
      <c r="M785" s="5" t="n"/>
      <c r="N785" s="5">
        <f>IF(AND(ISNUMBER(M785),ISNUMBER(L785)),M785-L785,"")</f>
        <v/>
      </c>
      <c r="O785" s="7">
        <f>IF(AND(ISNUMBER(M785),ISNUMBER(L785),L785&gt;0),(M785-L785)/L785,"")</f>
        <v/>
      </c>
      <c r="P785" s="3">
        <f>IF(O785="","",IF(O785&lt;-0.02,"🔴 Bán phá giá sàn",IF(O785&gt;0.05,"🔵 Bán cao hơn","🟢 Đúng giá sàn TMĐT")))</f>
        <v/>
      </c>
      <c r="Q785" s="3" t="n"/>
      <c r="R785" s="4" t="n"/>
      <c r="S785" s="4" t="n"/>
    </row>
    <row r="786">
      <c r="A786" s="3" t="n">
        <v>785</v>
      </c>
      <c r="B786" s="3" t="inlineStr">
        <is>
          <t>KH005</t>
        </is>
      </c>
      <c r="C786" s="4" t="inlineStr">
        <is>
          <t>ThinkSafe HCM</t>
        </is>
      </c>
      <c r="D786" s="3" t="inlineStr">
        <is>
          <t>HCM</t>
        </is>
      </c>
      <c r="E786" s="3" t="inlineStr">
        <is>
          <t>XUÂN TRANG</t>
        </is>
      </c>
      <c r="F786" s="3" t="inlineStr">
        <is>
          <t>Shopee</t>
        </is>
      </c>
      <c r="G786" s="3" t="inlineStr">
        <is>
          <t>KV10-13</t>
        </is>
      </c>
      <c r="H786" s="4" t="inlineStr">
        <is>
          <t>Bộ tuvit đóng KV10-13</t>
        </is>
      </c>
      <c r="I786" s="3" t="inlineStr">
        <is>
          <t>Cái</t>
        </is>
      </c>
      <c r="J786" s="5" t="n">
        <v>269000</v>
      </c>
      <c r="K786" s="5" t="n">
        <v>317000</v>
      </c>
      <c r="L786" s="6" t="n">
        <v>390000</v>
      </c>
      <c r="M786" s="5" t="n"/>
      <c r="N786" s="5">
        <f>IF(AND(ISNUMBER(M786),ISNUMBER(L786)),M786-L786,"")</f>
        <v/>
      </c>
      <c r="O786" s="7">
        <f>IF(AND(ISNUMBER(M786),ISNUMBER(L786),L786&gt;0),(M786-L786)/L786,"")</f>
        <v/>
      </c>
      <c r="P786" s="3">
        <f>IF(O786="","",IF(O786&lt;-0.02,"🔴 Bán phá giá sàn",IF(O786&gt;0.05,"🔵 Bán cao hơn","🟢 Đúng giá sàn TMĐT")))</f>
        <v/>
      </c>
      <c r="Q786" s="3" t="n"/>
      <c r="R786" s="4" t="n"/>
      <c r="S786" s="4" t="n"/>
    </row>
    <row r="787">
      <c r="A787" s="3" t="n">
        <v>786</v>
      </c>
      <c r="B787" s="3" t="inlineStr">
        <is>
          <t>KH005</t>
        </is>
      </c>
      <c r="C787" s="4" t="inlineStr">
        <is>
          <t>ThinkSafe HCM</t>
        </is>
      </c>
      <c r="D787" s="3" t="inlineStr">
        <is>
          <t>HCM</t>
        </is>
      </c>
      <c r="E787" s="3" t="inlineStr">
        <is>
          <t>XUÂN TRANG</t>
        </is>
      </c>
      <c r="F787" s="3" t="inlineStr">
        <is>
          <t>Shopee</t>
        </is>
      </c>
      <c r="G787" s="3" t="inlineStr">
        <is>
          <t>KLG12</t>
        </is>
      </c>
      <c r="H787" s="4" t="inlineStr">
        <is>
          <t>Bộ tuýp cần tự động 12 chi tiết KLG12</t>
        </is>
      </c>
      <c r="I787" s="3" t="inlineStr">
        <is>
          <t>Bộ</t>
        </is>
      </c>
      <c r="J787" s="5" t="n">
        <v>424000</v>
      </c>
      <c r="K787" s="5" t="n">
        <v>500000</v>
      </c>
      <c r="L787" s="6" t="n">
        <v>615000</v>
      </c>
      <c r="M787" s="5" t="n"/>
      <c r="N787" s="5">
        <f>IF(AND(ISNUMBER(M787),ISNUMBER(L787)),M787-L787,"")</f>
        <v/>
      </c>
      <c r="O787" s="7">
        <f>IF(AND(ISNUMBER(M787),ISNUMBER(L787),L787&gt;0),(M787-L787)/L787,"")</f>
        <v/>
      </c>
      <c r="P787" s="3">
        <f>IF(O787="","",IF(O787&lt;-0.02,"🔴 Bán phá giá sàn",IF(O787&gt;0.05,"🔵 Bán cao hơn","🟢 Đúng giá sàn TMĐT")))</f>
        <v/>
      </c>
      <c r="Q787" s="3" t="n"/>
      <c r="R787" s="4" t="n"/>
      <c r="S787" s="4" t="n"/>
    </row>
    <row r="788">
      <c r="A788" s="3" t="n">
        <v>787</v>
      </c>
      <c r="B788" s="3" t="inlineStr">
        <is>
          <t>KH005</t>
        </is>
      </c>
      <c r="C788" s="4" t="inlineStr">
        <is>
          <t>ThinkSafe HCM</t>
        </is>
      </c>
      <c r="D788" s="3" t="inlineStr">
        <is>
          <t>HCM</t>
        </is>
      </c>
      <c r="E788" s="3" t="inlineStr">
        <is>
          <t>XUÂN TRANG</t>
        </is>
      </c>
      <c r="F788" s="3" t="inlineStr">
        <is>
          <t>Shopee</t>
        </is>
      </c>
      <c r="G788" s="3" t="inlineStr">
        <is>
          <t>KLG-12S</t>
        </is>
      </c>
      <c r="H788" s="4" t="inlineStr">
        <is>
          <t>Bộ tuýp cần tự động 12 chi tiết KLG-12S</t>
        </is>
      </c>
      <c r="I788" s="3" t="inlineStr">
        <is>
          <t>Cái</t>
        </is>
      </c>
      <c r="J788" s="5" t="n">
        <v>269000</v>
      </c>
      <c r="K788" s="5" t="n">
        <v>317000</v>
      </c>
      <c r="L788" s="6" t="n">
        <v>390000</v>
      </c>
      <c r="M788" s="5" t="n"/>
      <c r="N788" s="5">
        <f>IF(AND(ISNUMBER(M788),ISNUMBER(L788)),M788-L788,"")</f>
        <v/>
      </c>
      <c r="O788" s="7">
        <f>IF(AND(ISNUMBER(M788),ISNUMBER(L788),L788&gt;0),(M788-L788)/L788,"")</f>
        <v/>
      </c>
      <c r="P788" s="3">
        <f>IF(O788="","",IF(O788&lt;-0.02,"🔴 Bán phá giá sàn",IF(O788&gt;0.05,"🔵 Bán cao hơn","🟢 Đúng giá sàn TMĐT")))</f>
        <v/>
      </c>
      <c r="Q788" s="3" t="n"/>
      <c r="R788" s="4" t="n"/>
      <c r="S788" s="4" t="n"/>
    </row>
    <row r="789">
      <c r="A789" s="3" t="n">
        <v>788</v>
      </c>
      <c r="B789" s="3" t="inlineStr">
        <is>
          <t>KH005</t>
        </is>
      </c>
      <c r="C789" s="4" t="inlineStr">
        <is>
          <t>ThinkSafe HCM</t>
        </is>
      </c>
      <c r="D789" s="3" t="inlineStr">
        <is>
          <t>HCM</t>
        </is>
      </c>
      <c r="E789" s="3" t="inlineStr">
        <is>
          <t>XUÂN TRANG</t>
        </is>
      </c>
      <c r="F789" s="3" t="inlineStr">
        <is>
          <t>Shopee</t>
        </is>
      </c>
      <c r="G789" s="3" t="inlineStr">
        <is>
          <t>KIC140</t>
        </is>
      </c>
      <c r="H789" s="4" t="inlineStr">
        <is>
          <t>Bút thử điện KIC140</t>
        </is>
      </c>
      <c r="I789" s="3" t="inlineStr">
        <is>
          <t>Cái</t>
        </is>
      </c>
      <c r="J789" s="5" t="n">
        <v>14000</v>
      </c>
      <c r="K789" s="5" t="n">
        <v>16000</v>
      </c>
      <c r="L789" s="6" t="n">
        <v>20000</v>
      </c>
      <c r="M789" s="5" t="n"/>
      <c r="N789" s="5">
        <f>IF(AND(ISNUMBER(M789),ISNUMBER(L789)),M789-L789,"")</f>
        <v/>
      </c>
      <c r="O789" s="7">
        <f>IF(AND(ISNUMBER(M789),ISNUMBER(L789),L789&gt;0),(M789-L789)/L789,"")</f>
        <v/>
      </c>
      <c r="P789" s="3">
        <f>IF(O789="","",IF(O789&lt;-0.02,"🔴 Bán phá giá sàn",IF(O789&gt;0.05,"🔵 Bán cao hơn","🟢 Đúng giá sàn TMĐT")))</f>
        <v/>
      </c>
      <c r="Q789" s="3" t="n"/>
      <c r="R789" s="4" t="n"/>
      <c r="S789" s="4" t="n"/>
    </row>
    <row r="790">
      <c r="A790" s="3" t="n">
        <v>789</v>
      </c>
      <c r="B790" s="3" t="inlineStr">
        <is>
          <t>KH005</t>
        </is>
      </c>
      <c r="C790" s="4" t="inlineStr">
        <is>
          <t>ThinkSafe HCM</t>
        </is>
      </c>
      <c r="D790" s="3" t="inlineStr">
        <is>
          <t>HCM</t>
        </is>
      </c>
      <c r="E790" s="3" t="inlineStr">
        <is>
          <t>XUÂN TRANG</t>
        </is>
      </c>
      <c r="F790" s="3" t="inlineStr">
        <is>
          <t>Shopee</t>
        </is>
      </c>
      <c r="G790" s="3" t="inlineStr">
        <is>
          <t>KID160</t>
        </is>
      </c>
      <c r="H790" s="4" t="inlineStr">
        <is>
          <t>Bút thử điện KID160</t>
        </is>
      </c>
      <c r="I790" s="3" t="inlineStr">
        <is>
          <t>Cái</t>
        </is>
      </c>
      <c r="J790" s="5" t="n">
        <v>43000</v>
      </c>
      <c r="K790" s="5" t="n">
        <v>51000</v>
      </c>
      <c r="L790" s="6" t="n">
        <v>62000</v>
      </c>
      <c r="M790" s="5" t="n"/>
      <c r="N790" s="5">
        <f>IF(AND(ISNUMBER(M790),ISNUMBER(L790)),M790-L790,"")</f>
        <v/>
      </c>
      <c r="O790" s="7">
        <f>IF(AND(ISNUMBER(M790),ISNUMBER(L790),L790&gt;0),(M790-L790)/L790,"")</f>
        <v/>
      </c>
      <c r="P790" s="3">
        <f>IF(O790="","",IF(O790&lt;-0.02,"🔴 Bán phá giá sàn",IF(O790&gt;0.05,"🔵 Bán cao hơn","🟢 Đúng giá sàn TMĐT")))</f>
        <v/>
      </c>
      <c r="Q790" s="3" t="n"/>
      <c r="R790" s="4" t="n"/>
      <c r="S790" s="4" t="n"/>
    </row>
    <row r="791">
      <c r="A791" s="3" t="n">
        <v>790</v>
      </c>
      <c r="B791" s="3" t="inlineStr">
        <is>
          <t>KH005</t>
        </is>
      </c>
      <c r="C791" s="4" t="inlineStr">
        <is>
          <t>ThinkSafe HCM</t>
        </is>
      </c>
      <c r="D791" s="3" t="inlineStr">
        <is>
          <t>HCM</t>
        </is>
      </c>
      <c r="E791" s="3" t="inlineStr">
        <is>
          <t>XUÂN TRANG</t>
        </is>
      </c>
      <c r="F791" s="3" t="inlineStr">
        <is>
          <t>Shopee</t>
        </is>
      </c>
      <c r="G791" s="3" t="inlineStr">
        <is>
          <t>KIF160</t>
        </is>
      </c>
      <c r="H791" s="4" t="inlineStr">
        <is>
          <t>Bút thử điện KIF160</t>
        </is>
      </c>
      <c r="I791" s="3" t="inlineStr">
        <is>
          <t>Cái</t>
        </is>
      </c>
      <c r="J791" s="5" t="n">
        <v>121000</v>
      </c>
      <c r="K791" s="5" t="n">
        <v>143000</v>
      </c>
      <c r="L791" s="6" t="n">
        <v>176000</v>
      </c>
      <c r="M791" s="5" t="n"/>
      <c r="N791" s="5">
        <f>IF(AND(ISNUMBER(M791),ISNUMBER(L791)),M791-L791,"")</f>
        <v/>
      </c>
      <c r="O791" s="7">
        <f>IF(AND(ISNUMBER(M791),ISNUMBER(L791),L791&gt;0),(M791-L791)/L791,"")</f>
        <v/>
      </c>
      <c r="P791" s="3">
        <f>IF(O791="","",IF(O791&lt;-0.02,"🔴 Bán phá giá sàn",IF(O791&gt;0.05,"🔵 Bán cao hơn","🟢 Đúng giá sàn TMĐT")))</f>
        <v/>
      </c>
      <c r="Q791" s="3" t="n"/>
      <c r="R791" s="4" t="n"/>
      <c r="S791" s="4" t="n"/>
    </row>
    <row r="792">
      <c r="A792" s="3" t="n">
        <v>791</v>
      </c>
      <c r="B792" s="3" t="inlineStr">
        <is>
          <t>KH005</t>
        </is>
      </c>
      <c r="C792" s="4" t="inlineStr">
        <is>
          <t>ThinkSafe HCM</t>
        </is>
      </c>
      <c r="D792" s="3" t="inlineStr">
        <is>
          <t>HCM</t>
        </is>
      </c>
      <c r="E792" s="3" t="inlineStr">
        <is>
          <t>XUÂN TRANG</t>
        </is>
      </c>
      <c r="F792" s="3" t="inlineStr">
        <is>
          <t>Shopee</t>
        </is>
      </c>
      <c r="G792" s="3" t="inlineStr">
        <is>
          <t>KLG-01</t>
        </is>
      </c>
      <c r="H792" s="4" t="inlineStr">
        <is>
          <t>Cần siết tự động 1/2 (72 răng) KLG-01</t>
        </is>
      </c>
      <c r="I792" s="3" t="inlineStr">
        <is>
          <t>Cái</t>
        </is>
      </c>
      <c r="J792" s="5" t="n">
        <v>160000</v>
      </c>
      <c r="K792" s="5" t="n">
        <v>189000</v>
      </c>
      <c r="L792" s="6" t="n">
        <v>232000</v>
      </c>
      <c r="M792" s="5" t="n"/>
      <c r="N792" s="5">
        <f>IF(AND(ISNUMBER(M792),ISNUMBER(L792)),M792-L792,"")</f>
        <v/>
      </c>
      <c r="O792" s="7">
        <f>IF(AND(ISNUMBER(M792),ISNUMBER(L792),L792&gt;0),(M792-L792)/L792,"")</f>
        <v/>
      </c>
      <c r="P792" s="3">
        <f>IF(O792="","",IF(O792&lt;-0.02,"🔴 Bán phá giá sàn",IF(O792&gt;0.05,"🔵 Bán cao hơn","🟢 Đúng giá sàn TMĐT")))</f>
        <v/>
      </c>
      <c r="Q792" s="3" t="n"/>
      <c r="R792" s="4" t="n"/>
      <c r="S792" s="4" t="n"/>
    </row>
    <row r="793">
      <c r="A793" s="3" t="n">
        <v>792</v>
      </c>
      <c r="B793" s="3" t="inlineStr">
        <is>
          <t>KH005</t>
        </is>
      </c>
      <c r="C793" s="4" t="inlineStr">
        <is>
          <t>ThinkSafe HCM</t>
        </is>
      </c>
      <c r="D793" s="3" t="inlineStr">
        <is>
          <t>HCM</t>
        </is>
      </c>
      <c r="E793" s="3" t="inlineStr">
        <is>
          <t>XUÂN TRANG</t>
        </is>
      </c>
      <c r="F793" s="3" t="inlineStr">
        <is>
          <t>Shopee</t>
        </is>
      </c>
      <c r="G793" s="3" t="inlineStr">
        <is>
          <t>KGX-08</t>
        </is>
      </c>
      <c r="H793" s="4" t="inlineStr">
        <is>
          <t>Cần siết tự động đa năng 8 in 1 KGX-08</t>
        </is>
      </c>
      <c r="I793" s="3" t="inlineStr">
        <is>
          <t>Cái</t>
        </is>
      </c>
      <c r="J793" s="5" t="n">
        <v>319000</v>
      </c>
      <c r="K793" s="5" t="n">
        <v>377000</v>
      </c>
      <c r="L793" s="6" t="n">
        <v>463000</v>
      </c>
      <c r="M793" s="5" t="n"/>
      <c r="N793" s="5">
        <f>IF(AND(ISNUMBER(M793),ISNUMBER(L793)),M793-L793,"")</f>
        <v/>
      </c>
      <c r="O793" s="7">
        <f>IF(AND(ISNUMBER(M793),ISNUMBER(L793),L793&gt;0),(M793-L793)/L793,"")</f>
        <v/>
      </c>
      <c r="P793" s="3">
        <f>IF(O793="","",IF(O793&lt;-0.02,"🔴 Bán phá giá sàn",IF(O793&gt;0.05,"🔵 Bán cao hơn","🟢 Đúng giá sàn TMĐT")))</f>
        <v/>
      </c>
      <c r="Q793" s="3" t="n"/>
      <c r="R793" s="4" t="n"/>
      <c r="S793" s="4" t="n"/>
    </row>
    <row r="794">
      <c r="A794" s="3" t="n">
        <v>793</v>
      </c>
      <c r="B794" s="3" t="inlineStr">
        <is>
          <t>KH005</t>
        </is>
      </c>
      <c r="C794" s="4" t="inlineStr">
        <is>
          <t>ThinkSafe HCM</t>
        </is>
      </c>
      <c r="D794" s="3" t="inlineStr">
        <is>
          <t>HCM</t>
        </is>
      </c>
      <c r="E794" s="3" t="inlineStr">
        <is>
          <t>XUÂN TRANG</t>
        </is>
      </c>
      <c r="F794" s="3" t="inlineStr">
        <is>
          <t>Shopee</t>
        </is>
      </c>
      <c r="G794" s="3" t="inlineStr">
        <is>
          <t>KB-ST18</t>
        </is>
      </c>
      <c r="H794" s="4" t="inlineStr">
        <is>
          <t>Công cụ đóng đinh bán tự động KB-ST18</t>
        </is>
      </c>
      <c r="I794" s="3" t="inlineStr">
        <is>
          <t>Cái</t>
        </is>
      </c>
      <c r="J794" s="5" t="n">
        <v>242000</v>
      </c>
      <c r="K794" s="5" t="n">
        <v>286000</v>
      </c>
      <c r="L794" s="6" t="n">
        <v>351000</v>
      </c>
      <c r="M794" s="5" t="n"/>
      <c r="N794" s="5">
        <f>IF(AND(ISNUMBER(M794),ISNUMBER(L794)),M794-L794,"")</f>
        <v/>
      </c>
      <c r="O794" s="7">
        <f>IF(AND(ISNUMBER(M794),ISNUMBER(L794),L794&gt;0),(M794-L794)/L794,"")</f>
        <v/>
      </c>
      <c r="P794" s="3">
        <f>IF(O794="","",IF(O794&lt;-0.02,"🔴 Bán phá giá sàn",IF(O794&gt;0.05,"🔵 Bán cao hơn","🟢 Đúng giá sàn TMĐT")))</f>
        <v/>
      </c>
      <c r="Q794" s="3" t="n"/>
      <c r="R794" s="4" t="n"/>
      <c r="S794" s="4" t="n"/>
    </row>
    <row r="795">
      <c r="A795" s="3" t="n">
        <v>794</v>
      </c>
      <c r="B795" s="3" t="inlineStr">
        <is>
          <t>KH005</t>
        </is>
      </c>
      <c r="C795" s="4" t="inlineStr">
        <is>
          <t>ThinkSafe HCM</t>
        </is>
      </c>
      <c r="D795" s="3" t="inlineStr">
        <is>
          <t>HCM</t>
        </is>
      </c>
      <c r="E795" s="3" t="inlineStr">
        <is>
          <t>XUÂN TRANG</t>
        </is>
      </c>
      <c r="F795" s="3" t="inlineStr">
        <is>
          <t>Shopee</t>
        </is>
      </c>
      <c r="G795" s="3" t="inlineStr"/>
      <c r="H795" s="4" t="inlineStr">
        <is>
          <t>Cờ lê lực 24mm</t>
        </is>
      </c>
      <c r="I795" s="3" t="inlineStr">
        <is>
          <t>Cái</t>
        </is>
      </c>
      <c r="J795" s="5" t="n">
        <v>269000</v>
      </c>
      <c r="K795" s="5" t="n">
        <v>317000</v>
      </c>
      <c r="L795" s="6" t="n">
        <v>390000</v>
      </c>
      <c r="M795" s="5" t="n"/>
      <c r="N795" s="5">
        <f>IF(AND(ISNUMBER(M795),ISNUMBER(L795)),M795-L795,"")</f>
        <v/>
      </c>
      <c r="O795" s="7">
        <f>IF(AND(ISNUMBER(M795),ISNUMBER(L795),L795&gt;0),(M795-L795)/L795,"")</f>
        <v/>
      </c>
      <c r="P795" s="3">
        <f>IF(O795="","",IF(O795&lt;-0.02,"🔴 Bán phá giá sàn",IF(O795&gt;0.05,"🔵 Bán cao hơn","🟢 Đúng giá sàn TMĐT")))</f>
        <v/>
      </c>
      <c r="Q795" s="3" t="n"/>
      <c r="R795" s="4" t="n"/>
      <c r="S795" s="4" t="n"/>
    </row>
    <row r="796">
      <c r="A796" s="3" t="n">
        <v>795</v>
      </c>
      <c r="B796" s="3" t="inlineStr">
        <is>
          <t>KH005</t>
        </is>
      </c>
      <c r="C796" s="4" t="inlineStr">
        <is>
          <t>ThinkSafe HCM</t>
        </is>
      </c>
      <c r="D796" s="3" t="inlineStr">
        <is>
          <t>HCM</t>
        </is>
      </c>
      <c r="E796" s="3" t="inlineStr">
        <is>
          <t>XUÂN TRANG</t>
        </is>
      </c>
      <c r="F796" s="3" t="inlineStr">
        <is>
          <t>Shopee</t>
        </is>
      </c>
      <c r="G796" s="3" t="inlineStr">
        <is>
          <t>ES180i</t>
        </is>
      </c>
      <c r="H796" s="4" t="inlineStr">
        <is>
          <t>Cưa gấp KingBlue ES180i</t>
        </is>
      </c>
      <c r="I796" s="3" t="inlineStr">
        <is>
          <t>Cái</t>
        </is>
      </c>
      <c r="J796" s="5" t="n">
        <v>139000</v>
      </c>
      <c r="K796" s="5" t="n">
        <v>164000</v>
      </c>
      <c r="L796" s="6" t="n">
        <v>202000</v>
      </c>
      <c r="M796" s="5" t="n"/>
      <c r="N796" s="5">
        <f>IF(AND(ISNUMBER(M796),ISNUMBER(L796)),M796-L796,"")</f>
        <v/>
      </c>
      <c r="O796" s="7">
        <f>IF(AND(ISNUMBER(M796),ISNUMBER(L796),L796&gt;0),(M796-L796)/L796,"")</f>
        <v/>
      </c>
      <c r="P796" s="3">
        <f>IF(O796="","",IF(O796&lt;-0.02,"🔴 Bán phá giá sàn",IF(O796&gt;0.05,"🔵 Bán cao hơn","🟢 Đúng giá sàn TMĐT")))</f>
        <v/>
      </c>
      <c r="Q796" s="3" t="n"/>
      <c r="R796" s="4" t="n"/>
      <c r="S796" s="4" t="n"/>
    </row>
    <row r="797">
      <c r="A797" s="3" t="n">
        <v>796</v>
      </c>
      <c r="B797" s="3" t="inlineStr">
        <is>
          <t>KH005</t>
        </is>
      </c>
      <c r="C797" s="4" t="inlineStr">
        <is>
          <t>ThinkSafe HCM</t>
        </is>
      </c>
      <c r="D797" s="3" t="inlineStr">
        <is>
          <t>HCM</t>
        </is>
      </c>
      <c r="E797" s="3" t="inlineStr">
        <is>
          <t>XUÂN TRANG</t>
        </is>
      </c>
      <c r="F797" s="3" t="inlineStr">
        <is>
          <t>Shopee</t>
        </is>
      </c>
      <c r="G797" s="3" t="inlineStr">
        <is>
          <t>ES250</t>
        </is>
      </c>
      <c r="H797" s="4" t="inlineStr">
        <is>
          <t>Cưa gấp KingBlue ES250</t>
        </is>
      </c>
      <c r="I797" s="3" t="inlineStr">
        <is>
          <t>Cái</t>
        </is>
      </c>
      <c r="J797" s="5" t="n">
        <v>185000</v>
      </c>
      <c r="K797" s="5" t="n">
        <v>218000</v>
      </c>
      <c r="L797" s="6" t="n">
        <v>268000</v>
      </c>
      <c r="M797" s="5" t="n"/>
      <c r="N797" s="5">
        <f>IF(AND(ISNUMBER(M797),ISNUMBER(L797)),M797-L797,"")</f>
        <v/>
      </c>
      <c r="O797" s="7">
        <f>IF(AND(ISNUMBER(M797),ISNUMBER(L797),L797&gt;0),(M797-L797)/L797,"")</f>
        <v/>
      </c>
      <c r="P797" s="3">
        <f>IF(O797="","",IF(O797&lt;-0.02,"🔴 Bán phá giá sàn",IF(O797&gt;0.05,"🔵 Bán cao hơn","🟢 Đúng giá sàn TMĐT")))</f>
        <v/>
      </c>
      <c r="Q797" s="3" t="n"/>
      <c r="R797" s="4" t="n"/>
      <c r="S797" s="4" t="n"/>
    </row>
    <row r="798">
      <c r="A798" s="3" t="n">
        <v>797</v>
      </c>
      <c r="B798" s="3" t="inlineStr">
        <is>
          <t>KH005</t>
        </is>
      </c>
      <c r="C798" s="4" t="inlineStr">
        <is>
          <t>ThinkSafe HCM</t>
        </is>
      </c>
      <c r="D798" s="3" t="inlineStr">
        <is>
          <t>HCM</t>
        </is>
      </c>
      <c r="E798" s="3" t="inlineStr">
        <is>
          <t>XUÂN TRANG</t>
        </is>
      </c>
      <c r="F798" s="3" t="inlineStr">
        <is>
          <t>Shopee</t>
        </is>
      </c>
      <c r="G798" s="3" t="inlineStr">
        <is>
          <t>KB-E350</t>
        </is>
      </c>
      <c r="H798" s="4" t="inlineStr">
        <is>
          <t>Cưa KingBlue KB-E350</t>
        </is>
      </c>
      <c r="I798" s="3" t="inlineStr">
        <is>
          <t>Cái</t>
        </is>
      </c>
      <c r="J798" s="5" t="n">
        <v>242000</v>
      </c>
      <c r="K798" s="5" t="n">
        <v>286000</v>
      </c>
      <c r="L798" s="6" t="n">
        <v>351000</v>
      </c>
      <c r="M798" s="5" t="n"/>
      <c r="N798" s="5">
        <f>IF(AND(ISNUMBER(M798),ISNUMBER(L798)),M798-L798,"")</f>
        <v/>
      </c>
      <c r="O798" s="7">
        <f>IF(AND(ISNUMBER(M798),ISNUMBER(L798),L798&gt;0),(M798-L798)/L798,"")</f>
        <v/>
      </c>
      <c r="P798" s="3">
        <f>IF(O798="","",IF(O798&lt;-0.02,"🔴 Bán phá giá sàn",IF(O798&gt;0.05,"🔵 Bán cao hơn","🟢 Đúng giá sàn TMĐT")))</f>
        <v/>
      </c>
      <c r="Q798" s="3" t="n"/>
      <c r="R798" s="4" t="n"/>
      <c r="S798" s="4" t="n"/>
    </row>
    <row r="799">
      <c r="A799" s="3" t="n">
        <v>798</v>
      </c>
      <c r="B799" s="3" t="inlineStr">
        <is>
          <t>KH005</t>
        </is>
      </c>
      <c r="C799" s="4" t="inlineStr">
        <is>
          <t>ThinkSafe HCM</t>
        </is>
      </c>
      <c r="D799" s="3" t="inlineStr">
        <is>
          <t>HCM</t>
        </is>
      </c>
      <c r="E799" s="3" t="inlineStr">
        <is>
          <t>XUÂN TRANG</t>
        </is>
      </c>
      <c r="F799" s="3" t="inlineStr">
        <is>
          <t>Shopee</t>
        </is>
      </c>
      <c r="G799" s="3" t="inlineStr">
        <is>
          <t>KJC300</t>
        </is>
      </c>
      <c r="H799" s="4" t="inlineStr">
        <is>
          <t>Cưa tay KJC300</t>
        </is>
      </c>
      <c r="I799" s="3" t="inlineStr">
        <is>
          <t>Cái</t>
        </is>
      </c>
      <c r="J799" s="5" t="n">
        <v>269000</v>
      </c>
      <c r="K799" s="5" t="n">
        <v>317000</v>
      </c>
      <c r="L799" s="6" t="n">
        <v>390000</v>
      </c>
      <c r="M799" s="5" t="n"/>
      <c r="N799" s="5">
        <f>IF(AND(ISNUMBER(M799),ISNUMBER(L799)),M799-L799,"")</f>
        <v/>
      </c>
      <c r="O799" s="7">
        <f>IF(AND(ISNUMBER(M799),ISNUMBER(L799),L799&gt;0),(M799-L799)/L799,"")</f>
        <v/>
      </c>
      <c r="P799" s="3">
        <f>IF(O799="","",IF(O799&lt;-0.02,"🔴 Bán phá giá sàn",IF(O799&gt;0.05,"🔵 Bán cao hơn","🟢 Đúng giá sàn TMĐT")))</f>
        <v/>
      </c>
      <c r="Q799" s="3" t="n"/>
      <c r="R799" s="4" t="n"/>
      <c r="S799" s="4" t="n"/>
    </row>
    <row r="800">
      <c r="A800" s="3" t="n">
        <v>799</v>
      </c>
      <c r="B800" s="3" t="inlineStr">
        <is>
          <t>KH005</t>
        </is>
      </c>
      <c r="C800" s="4" t="inlineStr">
        <is>
          <t>ThinkSafe HCM</t>
        </is>
      </c>
      <c r="D800" s="3" t="inlineStr">
        <is>
          <t>HCM</t>
        </is>
      </c>
      <c r="E800" s="3" t="inlineStr">
        <is>
          <t>XUÂN TRANG</t>
        </is>
      </c>
      <c r="F800" s="3" t="inlineStr">
        <is>
          <t>Shopee</t>
        </is>
      </c>
      <c r="G800" s="3" t="inlineStr">
        <is>
          <t>KB-05X</t>
        </is>
      </c>
      <c r="H800" s="4" t="inlineStr">
        <is>
          <t>Chân máy laser KB-05X</t>
        </is>
      </c>
      <c r="I800" s="3" t="inlineStr">
        <is>
          <t>Cái</t>
        </is>
      </c>
      <c r="J800" s="5" t="n">
        <v>1350000</v>
      </c>
      <c r="K800" s="5" t="n">
        <v>1510000</v>
      </c>
      <c r="L800" s="6" t="n">
        <v>1760000</v>
      </c>
      <c r="M800" s="5" t="n"/>
      <c r="N800" s="5">
        <f>IF(AND(ISNUMBER(M800),ISNUMBER(L800)),M800-L800,"")</f>
        <v/>
      </c>
      <c r="O800" s="7">
        <f>IF(AND(ISNUMBER(M800),ISNUMBER(L800),L800&gt;0),(M800-L800)/L800,"")</f>
        <v/>
      </c>
      <c r="P800" s="3">
        <f>IF(O800="","",IF(O800&lt;-0.02,"🔴 Bán phá giá sàn",IF(O800&gt;0.05,"🔵 Bán cao hơn","🟢 Đúng giá sàn TMĐT")))</f>
        <v/>
      </c>
      <c r="Q800" s="3" t="n"/>
      <c r="R800" s="4" t="n"/>
      <c r="S800" s="4" t="n"/>
    </row>
    <row r="801">
      <c r="A801" s="3" t="n">
        <v>800</v>
      </c>
      <c r="B801" s="3" t="inlineStr">
        <is>
          <t>KH005</t>
        </is>
      </c>
      <c r="C801" s="4" t="inlineStr">
        <is>
          <t>ThinkSafe HCM</t>
        </is>
      </c>
      <c r="D801" s="3" t="inlineStr">
        <is>
          <t>HCM</t>
        </is>
      </c>
      <c r="E801" s="3" t="inlineStr">
        <is>
          <t>XUÂN TRANG</t>
        </is>
      </c>
      <c r="F801" s="3" t="inlineStr">
        <is>
          <t>Shopee</t>
        </is>
      </c>
      <c r="G801" s="3" t="inlineStr">
        <is>
          <t>M1-110x5R</t>
        </is>
      </c>
      <c r="H801" s="4" t="inlineStr">
        <is>
          <t>Chén mài Kingblue M1-110x5R (vàng)</t>
        </is>
      </c>
      <c r="I801" s="3" t="inlineStr">
        <is>
          <t>Cái</t>
        </is>
      </c>
      <c r="J801" s="5" t="n">
        <v>77000</v>
      </c>
      <c r="K801" s="5" t="n">
        <v>91000</v>
      </c>
      <c r="L801" s="6" t="n">
        <v>112000</v>
      </c>
      <c r="M801" s="5" t="n"/>
      <c r="N801" s="5">
        <f>IF(AND(ISNUMBER(M801),ISNUMBER(L801)),M801-L801,"")</f>
        <v/>
      </c>
      <c r="O801" s="7">
        <f>IF(AND(ISNUMBER(M801),ISNUMBER(L801),L801&gt;0),(M801-L801)/L801,"")</f>
        <v/>
      </c>
      <c r="P801" s="3">
        <f>IF(O801="","",IF(O801&lt;-0.02,"🔴 Bán phá giá sàn",IF(O801&gt;0.05,"🔵 Bán cao hơn","🟢 Đúng giá sàn TMĐT")))</f>
        <v/>
      </c>
      <c r="Q801" s="3" t="n"/>
      <c r="R801" s="4" t="n"/>
      <c r="S801" s="4" t="n"/>
    </row>
    <row r="802">
      <c r="A802" s="3" t="n">
        <v>801</v>
      </c>
      <c r="B802" s="3" t="inlineStr">
        <is>
          <t>KH005</t>
        </is>
      </c>
      <c r="C802" s="4" t="inlineStr">
        <is>
          <t>ThinkSafe HCM</t>
        </is>
      </c>
      <c r="D802" s="3" t="inlineStr">
        <is>
          <t>HCM</t>
        </is>
      </c>
      <c r="E802" s="3" t="inlineStr">
        <is>
          <t>XUÂN TRANG</t>
        </is>
      </c>
      <c r="F802" s="3" t="inlineStr">
        <is>
          <t>Shopee</t>
        </is>
      </c>
      <c r="G802" s="3" t="inlineStr">
        <is>
          <t>M1-125x5R</t>
        </is>
      </c>
      <c r="H802" s="4" t="inlineStr">
        <is>
          <t>Chén mài Kingblue M1-125x5R (Vàng)</t>
        </is>
      </c>
      <c r="I802" s="3" t="inlineStr">
        <is>
          <t>Cái</t>
        </is>
      </c>
      <c r="J802" s="5" t="n">
        <v>110000</v>
      </c>
      <c r="K802" s="5" t="n">
        <v>130000</v>
      </c>
      <c r="L802" s="6" t="n">
        <v>160000</v>
      </c>
      <c r="M802" s="5" t="n"/>
      <c r="N802" s="5">
        <f>IF(AND(ISNUMBER(M802),ISNUMBER(L802)),M802-L802,"")</f>
        <v/>
      </c>
      <c r="O802" s="7">
        <f>IF(AND(ISNUMBER(M802),ISNUMBER(L802),L802&gt;0),(M802-L802)/L802,"")</f>
        <v/>
      </c>
      <c r="P802" s="3">
        <f>IF(O802="","",IF(O802&lt;-0.02,"🔴 Bán phá giá sàn",IF(O802&gt;0.05,"🔵 Bán cao hơn","🟢 Đúng giá sàn TMĐT")))</f>
        <v/>
      </c>
      <c r="Q802" s="3" t="n"/>
      <c r="R802" s="4" t="n"/>
      <c r="S802" s="4" t="n"/>
    </row>
    <row r="803">
      <c r="A803" s="3" t="n">
        <v>802</v>
      </c>
      <c r="B803" s="3" t="inlineStr">
        <is>
          <t>KH005</t>
        </is>
      </c>
      <c r="C803" s="4" t="inlineStr">
        <is>
          <t>ThinkSafe HCM</t>
        </is>
      </c>
      <c r="D803" s="3" t="inlineStr">
        <is>
          <t>HCM</t>
        </is>
      </c>
      <c r="E803" s="3" t="inlineStr">
        <is>
          <t>XUÂN TRANG</t>
        </is>
      </c>
      <c r="F803" s="3" t="inlineStr">
        <is>
          <t>Shopee</t>
        </is>
      </c>
      <c r="G803" s="3" t="inlineStr">
        <is>
          <t>M2-110x5R</t>
        </is>
      </c>
      <c r="H803" s="4" t="inlineStr">
        <is>
          <t>Chén mài Kingblue M2-110x5R (xanh)</t>
        </is>
      </c>
      <c r="I803" s="3" t="inlineStr">
        <is>
          <t>Cái</t>
        </is>
      </c>
      <c r="J803" s="5" t="n">
        <v>92000</v>
      </c>
      <c r="K803" s="5" t="n">
        <v>108000</v>
      </c>
      <c r="L803" s="6" t="n">
        <v>133000</v>
      </c>
      <c r="M803" s="5" t="n"/>
      <c r="N803" s="5">
        <f>IF(AND(ISNUMBER(M803),ISNUMBER(L803)),M803-L803,"")</f>
        <v/>
      </c>
      <c r="O803" s="7">
        <f>IF(AND(ISNUMBER(M803),ISNUMBER(L803),L803&gt;0),(M803-L803)/L803,"")</f>
        <v/>
      </c>
      <c r="P803" s="3">
        <f>IF(O803="","",IF(O803&lt;-0.02,"🔴 Bán phá giá sàn",IF(O803&gt;0.05,"🔵 Bán cao hơn","🟢 Đúng giá sàn TMĐT")))</f>
        <v/>
      </c>
      <c r="Q803" s="3" t="n"/>
      <c r="R803" s="4" t="n"/>
      <c r="S803" s="4" t="n"/>
    </row>
    <row r="804">
      <c r="A804" s="3" t="n">
        <v>803</v>
      </c>
      <c r="B804" s="3" t="inlineStr">
        <is>
          <t>KH005</t>
        </is>
      </c>
      <c r="C804" s="4" t="inlineStr">
        <is>
          <t>ThinkSafe HCM</t>
        </is>
      </c>
      <c r="D804" s="3" t="inlineStr">
        <is>
          <t>HCM</t>
        </is>
      </c>
      <c r="E804" s="3" t="inlineStr">
        <is>
          <t>XUÂN TRANG</t>
        </is>
      </c>
      <c r="F804" s="3" t="inlineStr">
        <is>
          <t>Shopee</t>
        </is>
      </c>
      <c r="G804" s="3" t="inlineStr">
        <is>
          <t>M2-150x5R</t>
        </is>
      </c>
      <c r="H804" s="4" t="inlineStr">
        <is>
          <t>Chén mài KingBlue M2-150x5R (Xanh)</t>
        </is>
      </c>
      <c r="I804" s="3" t="inlineStr">
        <is>
          <t>Cái</t>
        </is>
      </c>
      <c r="J804" s="5" t="n">
        <v>380000</v>
      </c>
      <c r="K804" s="5" t="n">
        <v>448000</v>
      </c>
      <c r="L804" s="6" t="n">
        <v>551000</v>
      </c>
      <c r="M804" s="5" t="n"/>
      <c r="N804" s="5">
        <f>IF(AND(ISNUMBER(M804),ISNUMBER(L804)),M804-L804,"")</f>
        <v/>
      </c>
      <c r="O804" s="7">
        <f>IF(AND(ISNUMBER(M804),ISNUMBER(L804),L804&gt;0),(M804-L804)/L804,"")</f>
        <v/>
      </c>
      <c r="P804" s="3">
        <f>IF(O804="","",IF(O804&lt;-0.02,"🔴 Bán phá giá sàn",IF(O804&gt;0.05,"🔵 Bán cao hơn","🟢 Đúng giá sàn TMĐT")))</f>
        <v/>
      </c>
      <c r="Q804" s="3" t="n"/>
      <c r="R804" s="4" t="n"/>
      <c r="S804" s="4" t="n"/>
    </row>
    <row r="805">
      <c r="A805" s="3" t="n">
        <v>804</v>
      </c>
      <c r="B805" s="3" t="inlineStr">
        <is>
          <t>KH005</t>
        </is>
      </c>
      <c r="C805" s="4" t="inlineStr">
        <is>
          <t>ThinkSafe HCM</t>
        </is>
      </c>
      <c r="D805" s="3" t="inlineStr">
        <is>
          <t>HCM</t>
        </is>
      </c>
      <c r="E805" s="3" t="inlineStr">
        <is>
          <t>XUÂN TRANG</t>
        </is>
      </c>
      <c r="F805" s="3" t="inlineStr">
        <is>
          <t>Shopee</t>
        </is>
      </c>
      <c r="G805" s="3" t="inlineStr">
        <is>
          <t>MS-110x4R</t>
        </is>
      </c>
      <c r="H805" s="4" t="inlineStr">
        <is>
          <t>Chén mài Kingblue MS-110x4R (đỏ)</t>
        </is>
      </c>
      <c r="I805" s="3" t="inlineStr">
        <is>
          <t>Cái</t>
        </is>
      </c>
      <c r="J805" s="5" t="n">
        <v>60000</v>
      </c>
      <c r="K805" s="5" t="n">
        <v>71000</v>
      </c>
      <c r="L805" s="6" t="n">
        <v>87000</v>
      </c>
      <c r="M805" s="5" t="n"/>
      <c r="N805" s="5">
        <f>IF(AND(ISNUMBER(M805),ISNUMBER(L805)),M805-L805,"")</f>
        <v/>
      </c>
      <c r="O805" s="7">
        <f>IF(AND(ISNUMBER(M805),ISNUMBER(L805),L805&gt;0),(M805-L805)/L805,"")</f>
        <v/>
      </c>
      <c r="P805" s="3">
        <f>IF(O805="","",IF(O805&lt;-0.02,"🔴 Bán phá giá sàn",IF(O805&gt;0.05,"🔵 Bán cao hơn","🟢 Đúng giá sàn TMĐT")))</f>
        <v/>
      </c>
      <c r="Q805" s="3" t="n"/>
      <c r="R805" s="4" t="n"/>
      <c r="S805" s="4" t="n"/>
    </row>
    <row r="806">
      <c r="A806" s="3" t="n">
        <v>805</v>
      </c>
      <c r="B806" s="3" t="inlineStr">
        <is>
          <t>KH005</t>
        </is>
      </c>
      <c r="C806" s="4" t="inlineStr">
        <is>
          <t>ThinkSafe HCM</t>
        </is>
      </c>
      <c r="D806" s="3" t="inlineStr">
        <is>
          <t>HCM</t>
        </is>
      </c>
      <c r="E806" s="3" t="inlineStr">
        <is>
          <t>XUÂN TRANG</t>
        </is>
      </c>
      <c r="F806" s="3" t="inlineStr">
        <is>
          <t>Shopee</t>
        </is>
      </c>
      <c r="G806" s="3" t="inlineStr">
        <is>
          <t>MS-125x4R</t>
        </is>
      </c>
      <c r="H806" s="4" t="inlineStr">
        <is>
          <t>Chén mài Kingblue MS-125x4R (Đỏ)</t>
        </is>
      </c>
      <c r="I806" s="3" t="inlineStr">
        <is>
          <t>Cái</t>
        </is>
      </c>
      <c r="J806" s="5" t="n">
        <v>93000</v>
      </c>
      <c r="K806" s="5" t="n">
        <v>110000</v>
      </c>
      <c r="L806" s="6" t="n">
        <v>135000</v>
      </c>
      <c r="M806" s="5" t="n"/>
      <c r="N806" s="5">
        <f>IF(AND(ISNUMBER(M806),ISNUMBER(L806)),M806-L806,"")</f>
        <v/>
      </c>
      <c r="O806" s="7">
        <f>IF(AND(ISNUMBER(M806),ISNUMBER(L806),L806&gt;0),(M806-L806)/L806,"")</f>
        <v/>
      </c>
      <c r="P806" s="3">
        <f>IF(O806="","",IF(O806&lt;-0.02,"🔴 Bán phá giá sàn",IF(O806&gt;0.05,"🔵 Bán cao hơn","🟢 Đúng giá sàn TMĐT")))</f>
        <v/>
      </c>
      <c r="Q806" s="3" t="n"/>
      <c r="R806" s="4" t="n"/>
      <c r="S806" s="4" t="n"/>
    </row>
    <row r="807">
      <c r="A807" s="3" t="n">
        <v>806</v>
      </c>
      <c r="B807" s="3" t="inlineStr">
        <is>
          <t>KH005</t>
        </is>
      </c>
      <c r="C807" s="4" t="inlineStr">
        <is>
          <t>ThinkSafe HCM</t>
        </is>
      </c>
      <c r="D807" s="3" t="inlineStr">
        <is>
          <t>HCM</t>
        </is>
      </c>
      <c r="E807" s="3" t="inlineStr">
        <is>
          <t>XUÂN TRANG</t>
        </is>
      </c>
      <c r="F807" s="3" t="inlineStr">
        <is>
          <t>Shopee</t>
        </is>
      </c>
      <c r="G807" s="3" t="inlineStr">
        <is>
          <t>DLG-M22</t>
        </is>
      </c>
      <c r="H807" s="4" t="inlineStr">
        <is>
          <t>Chuôi khoan rút lõi lục giác DLG-M22</t>
        </is>
      </c>
      <c r="I807" s="3" t="inlineStr">
        <is>
          <t>Cái</t>
        </is>
      </c>
      <c r="J807" s="5" t="n">
        <v>24000</v>
      </c>
      <c r="K807" s="5" t="n">
        <v>30000</v>
      </c>
      <c r="L807" s="6" t="n">
        <v>38000</v>
      </c>
      <c r="M807" s="5" t="n"/>
      <c r="N807" s="5">
        <f>IF(AND(ISNUMBER(M807),ISNUMBER(L807)),M807-L807,"")</f>
        <v/>
      </c>
      <c r="O807" s="7">
        <f>IF(AND(ISNUMBER(M807),ISNUMBER(L807),L807&gt;0),(M807-L807)/L807,"")</f>
        <v/>
      </c>
      <c r="P807" s="3">
        <f>IF(O807="","",IF(O807&lt;-0.02,"🔴 Bán phá giá sàn",IF(O807&gt;0.05,"🔵 Bán cao hơn","🟢 Đúng giá sàn TMĐT")))</f>
        <v/>
      </c>
      <c r="Q807" s="3" t="n"/>
      <c r="R807" s="4" t="n"/>
      <c r="S807" s="4" t="n"/>
    </row>
    <row r="808">
      <c r="A808" s="3" t="n">
        <v>807</v>
      </c>
      <c r="B808" s="3" t="inlineStr">
        <is>
          <t>KH005</t>
        </is>
      </c>
      <c r="C808" s="4" t="inlineStr">
        <is>
          <t>ThinkSafe HCM</t>
        </is>
      </c>
      <c r="D808" s="3" t="inlineStr">
        <is>
          <t>HCM</t>
        </is>
      </c>
      <c r="E808" s="3" t="inlineStr">
        <is>
          <t>XUÂN TRANG</t>
        </is>
      </c>
      <c r="F808" s="3" t="inlineStr">
        <is>
          <t>Shopee</t>
        </is>
      </c>
      <c r="G808" s="3" t="inlineStr">
        <is>
          <t>KPG-022</t>
        </is>
      </c>
      <c r="H808" s="4" t="inlineStr">
        <is>
          <t>Dao cắt ống đồng KPG-022</t>
        </is>
      </c>
      <c r="I808" s="3" t="inlineStr">
        <is>
          <t>Cái</t>
        </is>
      </c>
      <c r="J808" s="5" t="n">
        <v>269000</v>
      </c>
      <c r="K808" s="5" t="n">
        <v>317000</v>
      </c>
      <c r="L808" s="6" t="n">
        <v>390000</v>
      </c>
      <c r="M808" s="5" t="n"/>
      <c r="N808" s="5">
        <f>IF(AND(ISNUMBER(M808),ISNUMBER(L808)),M808-L808,"")</f>
        <v/>
      </c>
      <c r="O808" s="7">
        <f>IF(AND(ISNUMBER(M808),ISNUMBER(L808),L808&gt;0),(M808-L808)/L808,"")</f>
        <v/>
      </c>
      <c r="P808" s="3">
        <f>IF(O808="","",IF(O808&lt;-0.02,"🔴 Bán phá giá sàn",IF(O808&gt;0.05,"🔵 Bán cao hơn","🟢 Đúng giá sàn TMĐT")))</f>
        <v/>
      </c>
      <c r="Q808" s="3" t="n"/>
      <c r="R808" s="4" t="n"/>
      <c r="S808" s="4" t="n"/>
    </row>
    <row r="809">
      <c r="A809" s="3" t="n">
        <v>808</v>
      </c>
      <c r="B809" s="3" t="inlineStr">
        <is>
          <t>KH005</t>
        </is>
      </c>
      <c r="C809" s="4" t="inlineStr">
        <is>
          <t>ThinkSafe HCM</t>
        </is>
      </c>
      <c r="D809" s="3" t="inlineStr">
        <is>
          <t>HCM</t>
        </is>
      </c>
      <c r="E809" s="3" t="inlineStr">
        <is>
          <t>XUÂN TRANG</t>
        </is>
      </c>
      <c r="F809" s="3" t="inlineStr">
        <is>
          <t>Shopee</t>
        </is>
      </c>
      <c r="G809" s="3" t="inlineStr">
        <is>
          <t>KPG-042</t>
        </is>
      </c>
      <c r="H809" s="4" t="inlineStr">
        <is>
          <t>Dao cắt ống đồng KPG-042</t>
        </is>
      </c>
      <c r="I809" s="3" t="inlineStr">
        <is>
          <t>Cái</t>
        </is>
      </c>
      <c r="J809" s="5" t="n">
        <v>216000</v>
      </c>
      <c r="K809" s="5" t="n">
        <v>255000</v>
      </c>
      <c r="L809" s="6" t="n">
        <v>313000</v>
      </c>
      <c r="M809" s="5" t="n"/>
      <c r="N809" s="5">
        <f>IF(AND(ISNUMBER(M809),ISNUMBER(L809)),M809-L809,"")</f>
        <v/>
      </c>
      <c r="O809" s="7">
        <f>IF(AND(ISNUMBER(M809),ISNUMBER(L809),L809&gt;0),(M809-L809)/L809,"")</f>
        <v/>
      </c>
      <c r="P809" s="3">
        <f>IF(O809="","",IF(O809&lt;-0.02,"🔴 Bán phá giá sàn",IF(O809&gt;0.05,"🔵 Bán cao hơn","🟢 Đúng giá sàn TMĐT")))</f>
        <v/>
      </c>
      <c r="Q809" s="3" t="n"/>
      <c r="R809" s="4" t="n"/>
      <c r="S809" s="4" t="n"/>
    </row>
    <row r="810">
      <c r="A810" s="3" t="n">
        <v>809</v>
      </c>
      <c r="B810" s="3" t="inlineStr">
        <is>
          <t>KH005</t>
        </is>
      </c>
      <c r="C810" s="4" t="inlineStr">
        <is>
          <t>ThinkSafe HCM</t>
        </is>
      </c>
      <c r="D810" s="3" t="inlineStr">
        <is>
          <t>HCM</t>
        </is>
      </c>
      <c r="E810" s="3" t="inlineStr">
        <is>
          <t>XUÂN TRANG</t>
        </is>
      </c>
      <c r="F810" s="3" t="inlineStr">
        <is>
          <t>Shopee</t>
        </is>
      </c>
      <c r="G810" s="3" t="inlineStr">
        <is>
          <t>KPG-032</t>
        </is>
      </c>
      <c r="H810" s="4" t="inlineStr">
        <is>
          <t>Dao cắt ống kim loại KPG-032</t>
        </is>
      </c>
      <c r="I810" s="3" t="inlineStr">
        <is>
          <t>Cái</t>
        </is>
      </c>
      <c r="J810" s="5" t="n">
        <v>259000</v>
      </c>
      <c r="K810" s="5" t="n">
        <v>306000</v>
      </c>
      <c r="L810" s="6" t="n">
        <v>376000</v>
      </c>
      <c r="M810" s="5" t="n"/>
      <c r="N810" s="5">
        <f>IF(AND(ISNUMBER(M810),ISNUMBER(L810)),M810-L810,"")</f>
        <v/>
      </c>
      <c r="O810" s="7">
        <f>IF(AND(ISNUMBER(M810),ISNUMBER(L810),L810&gt;0),(M810-L810)/L810,"")</f>
        <v/>
      </c>
      <c r="P810" s="3">
        <f>IF(O810="","",IF(O810&lt;-0.02,"🔴 Bán phá giá sàn",IF(O810&gt;0.05,"🔵 Bán cao hơn","🟢 Đúng giá sàn TMĐT")))</f>
        <v/>
      </c>
      <c r="Q810" s="3" t="n"/>
      <c r="R810" s="4" t="n"/>
      <c r="S810" s="4" t="n"/>
    </row>
    <row r="811">
      <c r="A811" s="3" t="n">
        <v>810</v>
      </c>
      <c r="B811" s="3" t="inlineStr">
        <is>
          <t>KH005</t>
        </is>
      </c>
      <c r="C811" s="4" t="inlineStr">
        <is>
          <t>ThinkSafe HCM</t>
        </is>
      </c>
      <c r="D811" s="3" t="inlineStr">
        <is>
          <t>HCM</t>
        </is>
      </c>
      <c r="E811" s="3" t="inlineStr">
        <is>
          <t>XUÂN TRANG</t>
        </is>
      </c>
      <c r="F811" s="3" t="inlineStr">
        <is>
          <t>Shopee</t>
        </is>
      </c>
      <c r="G811" s="3" t="inlineStr">
        <is>
          <t>KJH-04</t>
        </is>
      </c>
      <c r="H811" s="4" t="inlineStr">
        <is>
          <t>Dao rọc cáp đa năng KJH-04</t>
        </is>
      </c>
      <c r="I811" s="3" t="inlineStr">
        <is>
          <t>Cái</t>
        </is>
      </c>
      <c r="J811" s="5" t="n">
        <v>121000</v>
      </c>
      <c r="K811" s="5" t="n">
        <v>143000</v>
      </c>
      <c r="L811" s="6" t="n">
        <v>176000</v>
      </c>
      <c r="M811" s="5" t="n"/>
      <c r="N811" s="5">
        <f>IF(AND(ISNUMBER(M811),ISNUMBER(L811)),M811-L811,"")</f>
        <v/>
      </c>
      <c r="O811" s="7">
        <f>IF(AND(ISNUMBER(M811),ISNUMBER(L811),L811&gt;0),(M811-L811)/L811,"")</f>
        <v/>
      </c>
      <c r="P811" s="3">
        <f>IF(O811="","",IF(O811&lt;-0.02,"🔴 Bán phá giá sàn",IF(O811&gt;0.05,"🔵 Bán cao hơn","🟢 Đúng giá sàn TMĐT")))</f>
        <v/>
      </c>
      <c r="Q811" s="3" t="n"/>
      <c r="R811" s="4" t="n"/>
      <c r="S811" s="4" t="n"/>
    </row>
    <row r="812">
      <c r="A812" s="3" t="n">
        <v>811</v>
      </c>
      <c r="B812" s="3" t="inlineStr">
        <is>
          <t>KH005</t>
        </is>
      </c>
      <c r="C812" s="4" t="inlineStr">
        <is>
          <t>ThinkSafe HCM</t>
        </is>
      </c>
      <c r="D812" s="3" t="inlineStr">
        <is>
          <t>HCM</t>
        </is>
      </c>
      <c r="E812" s="3" t="inlineStr">
        <is>
          <t>XUÂN TRANG</t>
        </is>
      </c>
      <c r="F812" s="3" t="inlineStr">
        <is>
          <t>Shopee</t>
        </is>
      </c>
      <c r="G812" s="3" t="inlineStr">
        <is>
          <t>KJH-05</t>
        </is>
      </c>
      <c r="H812" s="4" t="inlineStr">
        <is>
          <t>Dao rọc cáp đa năng KJH-05</t>
        </is>
      </c>
      <c r="I812" s="3" t="inlineStr">
        <is>
          <t>Cái</t>
        </is>
      </c>
      <c r="J812" s="5" t="n">
        <v>119000</v>
      </c>
      <c r="K812" s="5" t="n">
        <v>141000</v>
      </c>
      <c r="L812" s="6" t="n">
        <v>173000</v>
      </c>
      <c r="M812" s="5" t="n"/>
      <c r="N812" s="5">
        <f>IF(AND(ISNUMBER(M812),ISNUMBER(L812)),M812-L812,"")</f>
        <v/>
      </c>
      <c r="O812" s="7">
        <f>IF(AND(ISNUMBER(M812),ISNUMBER(L812),L812&gt;0),(M812-L812)/L812,"")</f>
        <v/>
      </c>
      <c r="P812" s="3">
        <f>IF(O812="","",IF(O812&lt;-0.02,"🔴 Bán phá giá sàn",IF(O812&gt;0.05,"🔵 Bán cao hơn","🟢 Đúng giá sàn TMĐT")))</f>
        <v/>
      </c>
      <c r="Q812" s="3" t="n"/>
      <c r="R812" s="4" t="n"/>
      <c r="S812" s="4" t="n"/>
    </row>
    <row r="813">
      <c r="A813" s="3" t="n">
        <v>812</v>
      </c>
      <c r="B813" s="3" t="inlineStr">
        <is>
          <t>KH005</t>
        </is>
      </c>
      <c r="C813" s="4" t="inlineStr">
        <is>
          <t>ThinkSafe HCM</t>
        </is>
      </c>
      <c r="D813" s="3" t="inlineStr">
        <is>
          <t>HCM</t>
        </is>
      </c>
      <c r="E813" s="3" t="inlineStr">
        <is>
          <t>XUÂN TRANG</t>
        </is>
      </c>
      <c r="F813" s="3" t="inlineStr">
        <is>
          <t>Shopee</t>
        </is>
      </c>
      <c r="G813" s="3" t="inlineStr">
        <is>
          <t>KJH-06</t>
        </is>
      </c>
      <c r="H813" s="4" t="inlineStr">
        <is>
          <t>Dao rọc cáp đa năng KJH-06</t>
        </is>
      </c>
      <c r="I813" s="3" t="inlineStr">
        <is>
          <t>Cái</t>
        </is>
      </c>
      <c r="J813" s="5" t="n">
        <v>171000</v>
      </c>
      <c r="K813" s="5" t="n">
        <v>202000</v>
      </c>
      <c r="L813" s="6" t="n">
        <v>248000</v>
      </c>
      <c r="M813" s="5" t="n"/>
      <c r="N813" s="5">
        <f>IF(AND(ISNUMBER(M813),ISNUMBER(L813)),M813-L813,"")</f>
        <v/>
      </c>
      <c r="O813" s="7">
        <f>IF(AND(ISNUMBER(M813),ISNUMBER(L813),L813&gt;0),(M813-L813)/L813,"")</f>
        <v/>
      </c>
      <c r="P813" s="3">
        <f>IF(O813="","",IF(O813&lt;-0.02,"🔴 Bán phá giá sàn",IF(O813&gt;0.05,"🔵 Bán cao hơn","🟢 Đúng giá sàn TMĐT")))</f>
        <v/>
      </c>
      <c r="Q813" s="3" t="n"/>
      <c r="R813" s="4" t="n"/>
      <c r="S813" s="4" t="n"/>
    </row>
    <row r="814">
      <c r="A814" s="3" t="n">
        <v>813</v>
      </c>
      <c r="B814" s="3" t="inlineStr">
        <is>
          <t>KH005</t>
        </is>
      </c>
      <c r="C814" s="4" t="inlineStr">
        <is>
          <t>ThinkSafe HCM</t>
        </is>
      </c>
      <c r="D814" s="3" t="inlineStr">
        <is>
          <t>HCM</t>
        </is>
      </c>
      <c r="E814" s="3" t="inlineStr">
        <is>
          <t>XUÂN TRANG</t>
        </is>
      </c>
      <c r="F814" s="3" t="inlineStr">
        <is>
          <t>Shopee</t>
        </is>
      </c>
      <c r="G814" s="3" t="inlineStr">
        <is>
          <t>KJH-01</t>
        </is>
      </c>
      <c r="H814" s="4" t="inlineStr">
        <is>
          <t>Dao rọc giấy KJH-01</t>
        </is>
      </c>
      <c r="I814" s="3" t="inlineStr">
        <is>
          <t>Cái</t>
        </is>
      </c>
      <c r="J814" s="5" t="n">
        <v>21000</v>
      </c>
      <c r="K814" s="5" t="n">
        <v>25000</v>
      </c>
      <c r="L814" s="6" t="n">
        <v>31000</v>
      </c>
      <c r="M814" s="5" t="n"/>
      <c r="N814" s="5">
        <f>IF(AND(ISNUMBER(M814),ISNUMBER(L814)),M814-L814,"")</f>
        <v/>
      </c>
      <c r="O814" s="7">
        <f>IF(AND(ISNUMBER(M814),ISNUMBER(L814),L814&gt;0),(M814-L814)/L814,"")</f>
        <v/>
      </c>
      <c r="P814" s="3">
        <f>IF(O814="","",IF(O814&lt;-0.02,"🔴 Bán phá giá sàn",IF(O814&gt;0.05,"🔵 Bán cao hơn","🟢 Đúng giá sàn TMĐT")))</f>
        <v/>
      </c>
      <c r="Q814" s="3" t="n"/>
      <c r="R814" s="4" t="n"/>
      <c r="S814" s="4" t="n"/>
    </row>
    <row r="815">
      <c r="A815" s="3" t="n">
        <v>814</v>
      </c>
      <c r="B815" s="3" t="inlineStr">
        <is>
          <t>KH005</t>
        </is>
      </c>
      <c r="C815" s="4" t="inlineStr">
        <is>
          <t>ThinkSafe HCM</t>
        </is>
      </c>
      <c r="D815" s="3" t="inlineStr">
        <is>
          <t>HCM</t>
        </is>
      </c>
      <c r="E815" s="3" t="inlineStr">
        <is>
          <t>XUÂN TRANG</t>
        </is>
      </c>
      <c r="F815" s="3" t="inlineStr">
        <is>
          <t>Shopee</t>
        </is>
      </c>
      <c r="G815" s="3" t="inlineStr">
        <is>
          <t>K54M</t>
        </is>
      </c>
      <c r="H815" s="4" t="inlineStr">
        <is>
          <t>Dụng cụ khò gas mini K54M</t>
        </is>
      </c>
      <c r="I815" s="3" t="inlineStr">
        <is>
          <t>Cái</t>
        </is>
      </c>
      <c r="J815" s="5" t="n">
        <v>209000</v>
      </c>
      <c r="K815" s="5" t="n">
        <v>247000</v>
      </c>
      <c r="L815" s="6" t="n">
        <v>303000</v>
      </c>
      <c r="M815" s="5" t="n"/>
      <c r="N815" s="5">
        <f>IF(AND(ISNUMBER(M815),ISNUMBER(L815)),M815-L815,"")</f>
        <v/>
      </c>
      <c r="O815" s="7">
        <f>IF(AND(ISNUMBER(M815),ISNUMBER(L815),L815&gt;0),(M815-L815)/L815,"")</f>
        <v/>
      </c>
      <c r="P815" s="3">
        <f>IF(O815="","",IF(O815&lt;-0.02,"🔴 Bán phá giá sàn",IF(O815&gt;0.05,"🔵 Bán cao hơn","🟢 Đúng giá sàn TMĐT")))</f>
        <v/>
      </c>
      <c r="Q815" s="3" t="n"/>
      <c r="R815" s="4" t="n"/>
      <c r="S815" s="4" t="n"/>
    </row>
    <row r="816">
      <c r="A816" s="3" t="n">
        <v>815</v>
      </c>
      <c r="B816" s="3" t="inlineStr">
        <is>
          <t>KH005</t>
        </is>
      </c>
      <c r="C816" s="4" t="inlineStr">
        <is>
          <t>ThinkSafe HCM</t>
        </is>
      </c>
      <c r="D816" s="3" t="inlineStr">
        <is>
          <t>HCM</t>
        </is>
      </c>
      <c r="E816" s="3" t="inlineStr">
        <is>
          <t>XUÂN TRANG</t>
        </is>
      </c>
      <c r="F816" s="3" t="inlineStr">
        <is>
          <t>Shopee</t>
        </is>
      </c>
      <c r="G816" s="3" t="inlineStr">
        <is>
          <t>KB-1301</t>
        </is>
      </c>
      <c r="H816" s="4" t="inlineStr">
        <is>
          <t>Dụng cụ vát mép (ba via) ống đồng KingBlue, KB-1301</t>
        </is>
      </c>
      <c r="I816" s="3" t="inlineStr">
        <is>
          <t>Cái</t>
        </is>
      </c>
      <c r="J816" s="5" t="n">
        <v>135000</v>
      </c>
      <c r="K816" s="5" t="n">
        <v>159000</v>
      </c>
      <c r="L816" s="6" t="n">
        <v>196000</v>
      </c>
      <c r="M816" s="5" t="n"/>
      <c r="N816" s="5">
        <f>IF(AND(ISNUMBER(M816),ISNUMBER(L816)),M816-L816,"")</f>
        <v/>
      </c>
      <c r="O816" s="7">
        <f>IF(AND(ISNUMBER(M816),ISNUMBER(L816),L816&gt;0),(M816-L816)/L816,"")</f>
        <v/>
      </c>
      <c r="P816" s="3">
        <f>IF(O816="","",IF(O816&lt;-0.02,"🔴 Bán phá giá sàn",IF(O816&gt;0.05,"🔵 Bán cao hơn","🟢 Đúng giá sàn TMĐT")))</f>
        <v/>
      </c>
      <c r="Q816" s="3" t="n"/>
      <c r="R816" s="4" t="n"/>
      <c r="S816" s="4" t="n"/>
    </row>
    <row r="817">
      <c r="A817" s="3" t="n">
        <v>816</v>
      </c>
      <c r="B817" s="3" t="inlineStr">
        <is>
          <t>KH005</t>
        </is>
      </c>
      <c r="C817" s="4" t="inlineStr">
        <is>
          <t>ThinkSafe HCM</t>
        </is>
      </c>
      <c r="D817" s="3" t="inlineStr">
        <is>
          <t>HCM</t>
        </is>
      </c>
      <c r="E817" s="3" t="inlineStr">
        <is>
          <t>XUÂN TRANG</t>
        </is>
      </c>
      <c r="F817" s="3" t="inlineStr">
        <is>
          <t>Shopee</t>
        </is>
      </c>
      <c r="G817" s="3" t="inlineStr">
        <is>
          <t>D1-107x1.2</t>
        </is>
      </c>
      <c r="H817" s="4" t="inlineStr">
        <is>
          <t>Đá cắt sắt, inox KingBlue D1-107x1.2 xanh (Hộp sắt)</t>
        </is>
      </c>
      <c r="I817" s="3" t="inlineStr">
        <is>
          <t>Cái</t>
        </is>
      </c>
      <c r="J817" s="5" t="n">
        <v>4000</v>
      </c>
      <c r="K817" s="5" t="n">
        <v>5000</v>
      </c>
      <c r="L817" s="6" t="n">
        <v>6500</v>
      </c>
      <c r="M817" s="5" t="n"/>
      <c r="N817" s="5">
        <f>IF(AND(ISNUMBER(M817),ISNUMBER(L817)),M817-L817,"")</f>
        <v/>
      </c>
      <c r="O817" s="7">
        <f>IF(AND(ISNUMBER(M817),ISNUMBER(L817),L817&gt;0),(M817-L817)/L817,"")</f>
        <v/>
      </c>
      <c r="P817" s="3">
        <f>IF(O817="","",IF(O817&lt;-0.02,"🔴 Bán phá giá sàn",IF(O817&gt;0.05,"🔵 Bán cao hơn","🟢 Đúng giá sàn TMĐT")))</f>
        <v/>
      </c>
      <c r="Q817" s="3" t="n"/>
      <c r="R817" s="4" t="n"/>
      <c r="S817" s="4" t="n"/>
    </row>
    <row r="818">
      <c r="A818" s="3" t="n">
        <v>817</v>
      </c>
      <c r="B818" s="3" t="inlineStr">
        <is>
          <t>KH005</t>
        </is>
      </c>
      <c r="C818" s="4" t="inlineStr">
        <is>
          <t>ThinkSafe HCM</t>
        </is>
      </c>
      <c r="D818" s="3" t="inlineStr">
        <is>
          <t>HCM</t>
        </is>
      </c>
      <c r="E818" s="3" t="inlineStr">
        <is>
          <t>XUÂN TRANG</t>
        </is>
      </c>
      <c r="F818" s="3" t="inlineStr">
        <is>
          <t>Shopee</t>
        </is>
      </c>
      <c r="G818" s="3" t="inlineStr">
        <is>
          <t>D1-125x1.6</t>
        </is>
      </c>
      <c r="H818" s="4" t="inlineStr">
        <is>
          <t>Đá cắt sắt, inox Kingblue D1-125x1.6 xanh</t>
        </is>
      </c>
      <c r="I818" s="3" t="inlineStr">
        <is>
          <t>Cái</t>
        </is>
      </c>
      <c r="J818" s="5" t="n">
        <v>8300</v>
      </c>
      <c r="K818" s="5" t="n">
        <v>10400</v>
      </c>
      <c r="L818" s="6" t="n">
        <v>13500</v>
      </c>
      <c r="M818" s="5" t="n"/>
      <c r="N818" s="5">
        <f>IF(AND(ISNUMBER(M818),ISNUMBER(L818)),M818-L818,"")</f>
        <v/>
      </c>
      <c r="O818" s="7">
        <f>IF(AND(ISNUMBER(M818),ISNUMBER(L818),L818&gt;0),(M818-L818)/L818,"")</f>
        <v/>
      </c>
      <c r="P818" s="3">
        <f>IF(O818="","",IF(O818&lt;-0.02,"🔴 Bán phá giá sàn",IF(O818&gt;0.05,"🔵 Bán cao hơn","🟢 Đúng giá sàn TMĐT")))</f>
        <v/>
      </c>
      <c r="Q818" s="3" t="n"/>
      <c r="R818" s="4" t="n"/>
      <c r="S818" s="4" t="n"/>
    </row>
    <row r="819">
      <c r="A819" s="3" t="n">
        <v>818</v>
      </c>
      <c r="B819" s="3" t="inlineStr">
        <is>
          <t>KH005</t>
        </is>
      </c>
      <c r="C819" s="4" t="inlineStr">
        <is>
          <t>ThinkSafe HCM</t>
        </is>
      </c>
      <c r="D819" s="3" t="inlineStr">
        <is>
          <t>HCM</t>
        </is>
      </c>
      <c r="E819" s="3" t="inlineStr">
        <is>
          <t>XUÂN TRANG</t>
        </is>
      </c>
      <c r="F819" s="3" t="inlineStr">
        <is>
          <t>Shopee</t>
        </is>
      </c>
      <c r="G819" s="3" t="inlineStr">
        <is>
          <t>D3-107x1.2</t>
        </is>
      </c>
      <c r="H819" s="4" t="inlineStr">
        <is>
          <t>Đá cắt sắt, inox KingBlue D3-107x1.2 xanh ( hộp sắt)</t>
        </is>
      </c>
      <c r="I819" s="3" t="inlineStr">
        <is>
          <t>Viên</t>
        </is>
      </c>
      <c r="J819" s="5" t="n">
        <v>4600</v>
      </c>
      <c r="K819" s="5" t="n">
        <v>5800</v>
      </c>
      <c r="L819" s="6" t="n">
        <v>7500</v>
      </c>
      <c r="M819" s="5" t="n"/>
      <c r="N819" s="5">
        <f>IF(AND(ISNUMBER(M819),ISNUMBER(L819)),M819-L819,"")</f>
        <v/>
      </c>
      <c r="O819" s="7">
        <f>IF(AND(ISNUMBER(M819),ISNUMBER(L819),L819&gt;0),(M819-L819)/L819,"")</f>
        <v/>
      </c>
      <c r="P819" s="3">
        <f>IF(O819="","",IF(O819&lt;-0.02,"🔴 Bán phá giá sàn",IF(O819&gt;0.05,"🔵 Bán cao hơn","🟢 Đúng giá sàn TMĐT")))</f>
        <v/>
      </c>
      <c r="Q819" s="3" t="n"/>
      <c r="R819" s="4" t="n"/>
      <c r="S819" s="4" t="n"/>
    </row>
    <row r="820">
      <c r="A820" s="3" t="n">
        <v>819</v>
      </c>
      <c r="B820" s="3" t="inlineStr">
        <is>
          <t>KH005</t>
        </is>
      </c>
      <c r="C820" s="4" t="inlineStr">
        <is>
          <t>ThinkSafe HCM</t>
        </is>
      </c>
      <c r="D820" s="3" t="inlineStr">
        <is>
          <t>HCM</t>
        </is>
      </c>
      <c r="E820" s="3" t="inlineStr">
        <is>
          <t>XUÂN TRANG</t>
        </is>
      </c>
      <c r="F820" s="3" t="inlineStr">
        <is>
          <t>Shopee</t>
        </is>
      </c>
      <c r="G820" s="3" t="inlineStr">
        <is>
          <t>D3-125x1.8</t>
        </is>
      </c>
      <c r="H820" s="4" t="inlineStr">
        <is>
          <t>Đá cắt sắt, inox Kingblue D3-125x1.8 xanh</t>
        </is>
      </c>
      <c r="I820" s="3" t="inlineStr">
        <is>
          <t>Viên</t>
        </is>
      </c>
      <c r="J820" s="5" t="n">
        <v>9700</v>
      </c>
      <c r="K820" s="5" t="n">
        <v>12000</v>
      </c>
      <c r="L820" s="6" t="n">
        <v>15500</v>
      </c>
      <c r="M820" s="5" t="n"/>
      <c r="N820" s="5">
        <f>IF(AND(ISNUMBER(M820),ISNUMBER(L820)),M820-L820,"")</f>
        <v/>
      </c>
      <c r="O820" s="7">
        <f>IF(AND(ISNUMBER(M820),ISNUMBER(L820),L820&gt;0),(M820-L820)/L820,"")</f>
        <v/>
      </c>
      <c r="P820" s="3">
        <f>IF(O820="","",IF(O820&lt;-0.02,"🔴 Bán phá giá sàn",IF(O820&gt;0.05,"🔵 Bán cao hơn","🟢 Đúng giá sàn TMĐT")))</f>
        <v/>
      </c>
      <c r="Q820" s="3" t="n"/>
      <c r="R820" s="4" t="n"/>
      <c r="S820" s="4" t="n"/>
    </row>
    <row r="821">
      <c r="A821" s="3" t="n">
        <v>820</v>
      </c>
      <c r="B821" s="3" t="inlineStr">
        <is>
          <t>KH005</t>
        </is>
      </c>
      <c r="C821" s="4" t="inlineStr">
        <is>
          <t>ThinkSafe HCM</t>
        </is>
      </c>
      <c r="D821" s="3" t="inlineStr">
        <is>
          <t>HCM</t>
        </is>
      </c>
      <c r="E821" s="3" t="inlineStr">
        <is>
          <t>XUÂN TRANG</t>
        </is>
      </c>
      <c r="F821" s="3" t="inlineStr">
        <is>
          <t>Shopee</t>
        </is>
      </c>
      <c r="G821" s="3" t="inlineStr">
        <is>
          <t>D4-107x1.2</t>
        </is>
      </c>
      <c r="H821" s="4" t="inlineStr">
        <is>
          <t>Đá cắt sắt, inox Kingblue D4-107x1.2 đỏ</t>
        </is>
      </c>
      <c r="I821" s="3" t="inlineStr">
        <is>
          <t>Viên</t>
        </is>
      </c>
      <c r="J821" s="5" t="n">
        <v>4200</v>
      </c>
      <c r="K821" s="5" t="n">
        <v>5300</v>
      </c>
      <c r="L821" s="6" t="n">
        <v>6900</v>
      </c>
      <c r="M821" s="5" t="n"/>
      <c r="N821" s="5">
        <f>IF(AND(ISNUMBER(M821),ISNUMBER(L821)),M821-L821,"")</f>
        <v/>
      </c>
      <c r="O821" s="7">
        <f>IF(AND(ISNUMBER(M821),ISNUMBER(L821),L821&gt;0),(M821-L821)/L821,"")</f>
        <v/>
      </c>
      <c r="P821" s="3">
        <f>IF(O821="","",IF(O821&lt;-0.02,"🔴 Bán phá giá sàn",IF(O821&gt;0.05,"🔵 Bán cao hơn","🟢 Đúng giá sàn TMĐT")))</f>
        <v/>
      </c>
      <c r="Q821" s="3" t="n"/>
      <c r="R821" s="4" t="n"/>
      <c r="S821" s="4" t="n"/>
    </row>
    <row r="822">
      <c r="A822" s="3" t="n">
        <v>821</v>
      </c>
      <c r="B822" s="3" t="inlineStr">
        <is>
          <t>KH005</t>
        </is>
      </c>
      <c r="C822" s="4" t="inlineStr">
        <is>
          <t>ThinkSafe HCM</t>
        </is>
      </c>
      <c r="D822" s="3" t="inlineStr">
        <is>
          <t>HCM</t>
        </is>
      </c>
      <c r="E822" s="3" t="inlineStr">
        <is>
          <t>XUÂN TRANG</t>
        </is>
      </c>
      <c r="F822" s="3" t="inlineStr">
        <is>
          <t>Shopee</t>
        </is>
      </c>
      <c r="G822" s="3" t="inlineStr">
        <is>
          <t>D3-125x6.0</t>
        </is>
      </c>
      <c r="H822" s="4" t="inlineStr">
        <is>
          <t>Đá mài sắt, inox Kingblue D3-125x6.0</t>
        </is>
      </c>
      <c r="I822" s="3" t="inlineStr">
        <is>
          <t>Cái</t>
        </is>
      </c>
      <c r="J822" s="5" t="n">
        <v>20000</v>
      </c>
      <c r="K822" s="5" t="n">
        <v>25000</v>
      </c>
      <c r="L822" s="6" t="n">
        <v>32000</v>
      </c>
      <c r="M822" s="5" t="n"/>
      <c r="N822" s="5">
        <f>IF(AND(ISNUMBER(M822),ISNUMBER(L822)),M822-L822,"")</f>
        <v/>
      </c>
      <c r="O822" s="7">
        <f>IF(AND(ISNUMBER(M822),ISNUMBER(L822),L822&gt;0),(M822-L822)/L822,"")</f>
        <v/>
      </c>
      <c r="P822" s="3">
        <f>IF(O822="","",IF(O822&lt;-0.02,"🔴 Bán phá giá sàn",IF(O822&gt;0.05,"🔵 Bán cao hơn","🟢 Đúng giá sàn TMĐT")))</f>
        <v/>
      </c>
      <c r="Q822" s="3" t="n"/>
      <c r="R822" s="4" t="n"/>
      <c r="S822" s="4" t="n"/>
    </row>
    <row r="823">
      <c r="A823" s="3" t="n">
        <v>822</v>
      </c>
      <c r="B823" s="3" t="inlineStr">
        <is>
          <t>KH005</t>
        </is>
      </c>
      <c r="C823" s="4" t="inlineStr">
        <is>
          <t>ThinkSafe HCM</t>
        </is>
      </c>
      <c r="D823" s="3" t="inlineStr">
        <is>
          <t>HCM</t>
        </is>
      </c>
      <c r="E823" s="3" t="inlineStr">
        <is>
          <t>XUÂN TRANG</t>
        </is>
      </c>
      <c r="F823" s="3" t="inlineStr">
        <is>
          <t>Shopee</t>
        </is>
      </c>
      <c r="G823" s="3" t="inlineStr">
        <is>
          <t>CM17</t>
        </is>
      </c>
      <c r="H823" s="4" t="inlineStr">
        <is>
          <t>Đầu chụp bulon KingBlue CM17</t>
        </is>
      </c>
      <c r="I823" s="3" t="inlineStr">
        <is>
          <t>Hộp</t>
        </is>
      </c>
      <c r="J823" s="5" t="n">
        <v>110000</v>
      </c>
      <c r="K823" s="5" t="n">
        <v>139000</v>
      </c>
      <c r="L823" s="6" t="n">
        <v>182000</v>
      </c>
      <c r="M823" s="5" t="n"/>
      <c r="N823" s="5">
        <f>IF(AND(ISNUMBER(M823),ISNUMBER(L823)),M823-L823,"")</f>
        <v/>
      </c>
      <c r="O823" s="7">
        <f>IF(AND(ISNUMBER(M823),ISNUMBER(L823),L823&gt;0),(M823-L823)/L823,"")</f>
        <v/>
      </c>
      <c r="P823" s="3">
        <f>IF(O823="","",IF(O823&lt;-0.02,"🔴 Bán phá giá sàn",IF(O823&gt;0.05,"🔵 Bán cao hơn","🟢 Đúng giá sàn TMĐT")))</f>
        <v/>
      </c>
      <c r="Q823" s="3" t="n"/>
      <c r="R823" s="4" t="n"/>
      <c r="S823" s="4" t="n"/>
    </row>
    <row r="824">
      <c r="A824" s="3" t="n">
        <v>823</v>
      </c>
      <c r="B824" s="3" t="inlineStr">
        <is>
          <t>KH005</t>
        </is>
      </c>
      <c r="C824" s="4" t="inlineStr">
        <is>
          <t>ThinkSafe HCM</t>
        </is>
      </c>
      <c r="D824" s="3" t="inlineStr">
        <is>
          <t>HCM</t>
        </is>
      </c>
      <c r="E824" s="3" t="inlineStr">
        <is>
          <t>XUÂN TRANG</t>
        </is>
      </c>
      <c r="F824" s="3" t="inlineStr">
        <is>
          <t>Shopee</t>
        </is>
      </c>
      <c r="G824" s="3" t="inlineStr">
        <is>
          <t>K45M</t>
        </is>
      </c>
      <c r="H824" s="4" t="inlineStr">
        <is>
          <t>Đầu khò gas K45M</t>
        </is>
      </c>
      <c r="I824" s="3" t="inlineStr">
        <is>
          <t>Cái</t>
        </is>
      </c>
      <c r="J824" s="5" t="n">
        <v>269000</v>
      </c>
      <c r="K824" s="5" t="n">
        <v>317000</v>
      </c>
      <c r="L824" s="6" t="n">
        <v>390000</v>
      </c>
      <c r="M824" s="5" t="n"/>
      <c r="N824" s="5">
        <f>IF(AND(ISNUMBER(M824),ISNUMBER(L824)),M824-L824,"")</f>
        <v/>
      </c>
      <c r="O824" s="7">
        <f>IF(AND(ISNUMBER(M824),ISNUMBER(L824),L824&gt;0),(M824-L824)/L824,"")</f>
        <v/>
      </c>
      <c r="P824" s="3">
        <f>IF(O824="","",IF(O824&lt;-0.02,"🔴 Bán phá giá sàn",IF(O824&gt;0.05,"🔵 Bán cao hơn","🟢 Đúng giá sàn TMĐT")))</f>
        <v/>
      </c>
      <c r="Q824" s="3" t="n"/>
      <c r="R824" s="4" t="n"/>
      <c r="S824" s="4" t="n"/>
    </row>
    <row r="825">
      <c r="A825" s="3" t="n">
        <v>824</v>
      </c>
      <c r="B825" s="3" t="inlineStr">
        <is>
          <t>KH005</t>
        </is>
      </c>
      <c r="C825" s="4" t="inlineStr">
        <is>
          <t>ThinkSafe HCM</t>
        </is>
      </c>
      <c r="D825" s="3" t="inlineStr">
        <is>
          <t>HCM</t>
        </is>
      </c>
      <c r="E825" s="3" t="inlineStr">
        <is>
          <t>XUÂN TRANG</t>
        </is>
      </c>
      <c r="F825" s="3" t="inlineStr">
        <is>
          <t>Shopee</t>
        </is>
      </c>
      <c r="G825" s="3" t="inlineStr">
        <is>
          <t>K49M</t>
        </is>
      </c>
      <c r="H825" s="4" t="inlineStr">
        <is>
          <t>Đầu khò gas K49M</t>
        </is>
      </c>
      <c r="I825" s="3" t="inlineStr">
        <is>
          <t>Cái</t>
        </is>
      </c>
      <c r="J825" s="5" t="n">
        <v>269000</v>
      </c>
      <c r="K825" s="5" t="n">
        <v>317000</v>
      </c>
      <c r="L825" s="6" t="n">
        <v>390000</v>
      </c>
      <c r="M825" s="5" t="n"/>
      <c r="N825" s="5">
        <f>IF(AND(ISNUMBER(M825),ISNUMBER(L825)),M825-L825,"")</f>
        <v/>
      </c>
      <c r="O825" s="7">
        <f>IF(AND(ISNUMBER(M825),ISNUMBER(L825),L825&gt;0),(M825-L825)/L825,"")</f>
        <v/>
      </c>
      <c r="P825" s="3">
        <f>IF(O825="","",IF(O825&lt;-0.02,"🔴 Bán phá giá sàn",IF(O825&gt;0.05,"🔵 Bán cao hơn","🟢 Đúng giá sàn TMĐT")))</f>
        <v/>
      </c>
      <c r="Q825" s="3" t="n"/>
      <c r="R825" s="4" t="n"/>
      <c r="S825" s="4" t="n"/>
    </row>
    <row r="826">
      <c r="A826" s="3" t="n">
        <v>825</v>
      </c>
      <c r="B826" s="3" t="inlineStr">
        <is>
          <t>KH005</t>
        </is>
      </c>
      <c r="C826" s="4" t="inlineStr">
        <is>
          <t>ThinkSafe HCM</t>
        </is>
      </c>
      <c r="D826" s="3" t="inlineStr">
        <is>
          <t>HCM</t>
        </is>
      </c>
      <c r="E826" s="3" t="inlineStr">
        <is>
          <t>XUÂN TRANG</t>
        </is>
      </c>
      <c r="F826" s="3" t="inlineStr">
        <is>
          <t>Shopee</t>
        </is>
      </c>
      <c r="G826" s="3" t="inlineStr"/>
      <c r="H826" s="4" t="inlineStr">
        <is>
          <t>Đầu nạp gas</t>
        </is>
      </c>
      <c r="I826" s="3" t="inlineStr">
        <is>
          <t>Cái</t>
        </is>
      </c>
      <c r="J826" s="5" t="n">
        <v>269000</v>
      </c>
      <c r="K826" s="5" t="n">
        <v>317000</v>
      </c>
      <c r="L826" s="6" t="n">
        <v>390000</v>
      </c>
      <c r="M826" s="5" t="n"/>
      <c r="N826" s="5">
        <f>IF(AND(ISNUMBER(M826),ISNUMBER(L826)),M826-L826,"")</f>
        <v/>
      </c>
      <c r="O826" s="7">
        <f>IF(AND(ISNUMBER(M826),ISNUMBER(L826),L826&gt;0),(M826-L826)/L826,"")</f>
        <v/>
      </c>
      <c r="P826" s="3">
        <f>IF(O826="","",IF(O826&lt;-0.02,"🔴 Bán phá giá sàn",IF(O826&gt;0.05,"🔵 Bán cao hơn","🟢 Đúng giá sàn TMĐT")))</f>
        <v/>
      </c>
      <c r="Q826" s="3" t="n"/>
      <c r="R826" s="4" t="n"/>
      <c r="S826" s="4" t="n"/>
    </row>
    <row r="827">
      <c r="A827" s="3" t="n">
        <v>826</v>
      </c>
      <c r="B827" s="3" t="inlineStr">
        <is>
          <t>KH005</t>
        </is>
      </c>
      <c r="C827" s="4" t="inlineStr">
        <is>
          <t>ThinkSafe HCM</t>
        </is>
      </c>
      <c r="D827" s="3" t="inlineStr">
        <is>
          <t>HCM</t>
        </is>
      </c>
      <c r="E827" s="3" t="inlineStr">
        <is>
          <t>XUÂN TRANG</t>
        </is>
      </c>
      <c r="F827" s="3" t="inlineStr">
        <is>
          <t>Shopee</t>
        </is>
      </c>
      <c r="G827" s="3" t="inlineStr">
        <is>
          <t>T265E-T10</t>
        </is>
      </c>
      <c r="H827" s="4" t="inlineStr">
        <is>
          <t>Đầu vít hoa thị KingBlue T265E-T10</t>
        </is>
      </c>
      <c r="I827" s="3" t="inlineStr">
        <is>
          <t>Vỉ</t>
        </is>
      </c>
      <c r="J827" s="5" t="n">
        <v>17000</v>
      </c>
      <c r="K827" s="5" t="n">
        <v>22000</v>
      </c>
      <c r="L827" s="6" t="n">
        <v>29000</v>
      </c>
      <c r="M827" s="5" t="n"/>
      <c r="N827" s="5">
        <f>IF(AND(ISNUMBER(M827),ISNUMBER(L827)),M827-L827,"")</f>
        <v/>
      </c>
      <c r="O827" s="7">
        <f>IF(AND(ISNUMBER(M827),ISNUMBER(L827),L827&gt;0),(M827-L827)/L827,"")</f>
        <v/>
      </c>
      <c r="P827" s="3">
        <f>IF(O827="","",IF(O827&lt;-0.02,"🔴 Bán phá giá sàn",IF(O827&gt;0.05,"🔵 Bán cao hơn","🟢 Đúng giá sàn TMĐT")))</f>
        <v/>
      </c>
      <c r="Q827" s="3" t="n"/>
      <c r="R827" s="4" t="n"/>
      <c r="S827" s="4" t="n"/>
    </row>
    <row r="828">
      <c r="A828" s="3" t="n">
        <v>827</v>
      </c>
      <c r="B828" s="3" t="inlineStr">
        <is>
          <t>KH005</t>
        </is>
      </c>
      <c r="C828" s="4" t="inlineStr">
        <is>
          <t>ThinkSafe HCM</t>
        </is>
      </c>
      <c r="D828" s="3" t="inlineStr">
        <is>
          <t>HCM</t>
        </is>
      </c>
      <c r="E828" s="3" t="inlineStr">
        <is>
          <t>XUÂN TRANG</t>
        </is>
      </c>
      <c r="F828" s="3" t="inlineStr">
        <is>
          <t>Shopee</t>
        </is>
      </c>
      <c r="G828" s="3" t="inlineStr">
        <is>
          <t>T265E-T20</t>
        </is>
      </c>
      <c r="H828" s="4" t="inlineStr">
        <is>
          <t>Đầu vít hoa thị KingBlue T265E-T20</t>
        </is>
      </c>
      <c r="I828" s="3" t="inlineStr">
        <is>
          <t>Vỉ</t>
        </is>
      </c>
      <c r="J828" s="5" t="n">
        <v>17000</v>
      </c>
      <c r="K828" s="5" t="n">
        <v>22000</v>
      </c>
      <c r="L828" s="6" t="n">
        <v>29000</v>
      </c>
      <c r="M828" s="5" t="n"/>
      <c r="N828" s="5">
        <f>IF(AND(ISNUMBER(M828),ISNUMBER(L828)),M828-L828,"")</f>
        <v/>
      </c>
      <c r="O828" s="7">
        <f>IF(AND(ISNUMBER(M828),ISNUMBER(L828),L828&gt;0),(M828-L828)/L828,"")</f>
        <v/>
      </c>
      <c r="P828" s="3">
        <f>IF(O828="","",IF(O828&lt;-0.02,"🔴 Bán phá giá sàn",IF(O828&gt;0.05,"🔵 Bán cao hơn","🟢 Đúng giá sàn TMĐT")))</f>
        <v/>
      </c>
      <c r="Q828" s="3" t="n"/>
      <c r="R828" s="4" t="n"/>
      <c r="S828" s="4" t="n"/>
    </row>
    <row r="829">
      <c r="A829" s="3" t="n">
        <v>828</v>
      </c>
      <c r="B829" s="3" t="inlineStr">
        <is>
          <t>KH005</t>
        </is>
      </c>
      <c r="C829" s="4" t="inlineStr">
        <is>
          <t>ThinkSafe HCM</t>
        </is>
      </c>
      <c r="D829" s="3" t="inlineStr">
        <is>
          <t>HCM</t>
        </is>
      </c>
      <c r="E829" s="3" t="inlineStr">
        <is>
          <t>XUÂN TRANG</t>
        </is>
      </c>
      <c r="F829" s="3" t="inlineStr">
        <is>
          <t>Shopee</t>
        </is>
      </c>
      <c r="G829" s="3" t="inlineStr">
        <is>
          <t>T265E-T25</t>
        </is>
      </c>
      <c r="H829" s="4" t="inlineStr">
        <is>
          <t>Đầu vít hoa thị KingBlue T265E-T25</t>
        </is>
      </c>
      <c r="I829" s="3" t="inlineStr">
        <is>
          <t>Vỉ</t>
        </is>
      </c>
      <c r="J829" s="5" t="n">
        <v>17000</v>
      </c>
      <c r="K829" s="5" t="n">
        <v>22000</v>
      </c>
      <c r="L829" s="6" t="n">
        <v>29000</v>
      </c>
      <c r="M829" s="5" t="n"/>
      <c r="N829" s="5">
        <f>IF(AND(ISNUMBER(M829),ISNUMBER(L829)),M829-L829,"")</f>
        <v/>
      </c>
      <c r="O829" s="7">
        <f>IF(AND(ISNUMBER(M829),ISNUMBER(L829),L829&gt;0),(M829-L829)/L829,"")</f>
        <v/>
      </c>
      <c r="P829" s="3">
        <f>IF(O829="","",IF(O829&lt;-0.02,"🔴 Bán phá giá sàn",IF(O829&gt;0.05,"🔵 Bán cao hơn","🟢 Đúng giá sàn TMĐT")))</f>
        <v/>
      </c>
      <c r="Q829" s="3" t="n"/>
      <c r="R829" s="4" t="n"/>
      <c r="S829" s="4" t="n"/>
    </row>
    <row r="830">
      <c r="A830" s="3" t="n">
        <v>829</v>
      </c>
      <c r="B830" s="3" t="inlineStr">
        <is>
          <t>KH005</t>
        </is>
      </c>
      <c r="C830" s="4" t="inlineStr">
        <is>
          <t>ThinkSafe HCM</t>
        </is>
      </c>
      <c r="D830" s="3" t="inlineStr">
        <is>
          <t>HCM</t>
        </is>
      </c>
      <c r="E830" s="3" t="inlineStr">
        <is>
          <t>XUÂN TRANG</t>
        </is>
      </c>
      <c r="F830" s="3" t="inlineStr">
        <is>
          <t>Shopee</t>
        </is>
      </c>
      <c r="G830" s="3" t="inlineStr">
        <is>
          <t>T265E-T30</t>
        </is>
      </c>
      <c r="H830" s="4" t="inlineStr">
        <is>
          <t>Đầu vít hoa thị KingBlue T265E-T30</t>
        </is>
      </c>
      <c r="I830" s="3" t="inlineStr">
        <is>
          <t>Vỉ</t>
        </is>
      </c>
      <c r="J830" s="5" t="n">
        <v>17000</v>
      </c>
      <c r="K830" s="5" t="n">
        <v>22000</v>
      </c>
      <c r="L830" s="6" t="n">
        <v>29000</v>
      </c>
      <c r="M830" s="5" t="n"/>
      <c r="N830" s="5">
        <f>IF(AND(ISNUMBER(M830),ISNUMBER(L830)),M830-L830,"")</f>
        <v/>
      </c>
      <c r="O830" s="7">
        <f>IF(AND(ISNUMBER(M830),ISNUMBER(L830),L830&gt;0),(M830-L830)/L830,"")</f>
        <v/>
      </c>
      <c r="P830" s="3">
        <f>IF(O830="","",IF(O830&lt;-0.02,"🔴 Bán phá giá sàn",IF(O830&gt;0.05,"🔵 Bán cao hơn","🟢 Đúng giá sàn TMĐT")))</f>
        <v/>
      </c>
      <c r="Q830" s="3" t="n"/>
      <c r="R830" s="4" t="n"/>
      <c r="S830" s="4" t="n"/>
    </row>
    <row r="831">
      <c r="A831" s="3" t="n">
        <v>830</v>
      </c>
      <c r="B831" s="3" t="inlineStr">
        <is>
          <t>KH005</t>
        </is>
      </c>
      <c r="C831" s="4" t="inlineStr">
        <is>
          <t>ThinkSafe HCM</t>
        </is>
      </c>
      <c r="D831" s="3" t="inlineStr">
        <is>
          <t>HCM</t>
        </is>
      </c>
      <c r="E831" s="3" t="inlineStr">
        <is>
          <t>XUÂN TRANG</t>
        </is>
      </c>
      <c r="F831" s="3" t="inlineStr">
        <is>
          <t>Shopee</t>
        </is>
      </c>
      <c r="G831" s="3" t="inlineStr">
        <is>
          <t>V100E</t>
        </is>
      </c>
      <c r="H831" s="4" t="inlineStr">
        <is>
          <t>Đầu vít lục giác  KingBlue V100E</t>
        </is>
      </c>
      <c r="I831" s="3" t="inlineStr">
        <is>
          <t>Cái</t>
        </is>
      </c>
      <c r="J831" s="5" t="n">
        <v>11000</v>
      </c>
      <c r="K831" s="5" t="n">
        <v>14000</v>
      </c>
      <c r="L831" s="6" t="n">
        <v>18000</v>
      </c>
      <c r="M831" s="5" t="n"/>
      <c r="N831" s="5">
        <f>IF(AND(ISNUMBER(M831),ISNUMBER(L831)),M831-L831,"")</f>
        <v/>
      </c>
      <c r="O831" s="7">
        <f>IF(AND(ISNUMBER(M831),ISNUMBER(L831),L831&gt;0),(M831-L831)/L831,"")</f>
        <v/>
      </c>
      <c r="P831" s="3">
        <f>IF(O831="","",IF(O831&lt;-0.02,"🔴 Bán phá giá sàn",IF(O831&gt;0.05,"🔵 Bán cao hơn","🟢 Đúng giá sàn TMĐT")))</f>
        <v/>
      </c>
      <c r="Q831" s="3" t="n"/>
      <c r="R831" s="4" t="n"/>
      <c r="S831" s="4" t="n"/>
    </row>
    <row r="832">
      <c r="A832" s="3" t="n">
        <v>831</v>
      </c>
      <c r="B832" s="3" t="inlineStr">
        <is>
          <t>KH005</t>
        </is>
      </c>
      <c r="C832" s="4" t="inlineStr">
        <is>
          <t>ThinkSafe HCM</t>
        </is>
      </c>
      <c r="D832" s="3" t="inlineStr">
        <is>
          <t>HCM</t>
        </is>
      </c>
      <c r="E832" s="3" t="inlineStr">
        <is>
          <t>XUÂN TRANG</t>
        </is>
      </c>
      <c r="F832" s="3" t="inlineStr">
        <is>
          <t>Shopee</t>
        </is>
      </c>
      <c r="G832" s="3" t="inlineStr">
        <is>
          <t>L265E-H4</t>
        </is>
      </c>
      <c r="H832" s="4" t="inlineStr">
        <is>
          <t>Đầu vít lục giác KingBlue L265E-H4</t>
        </is>
      </c>
      <c r="I832" s="3" t="inlineStr">
        <is>
          <t>Vỉ</t>
        </is>
      </c>
      <c r="J832" s="5" t="n">
        <v>17000</v>
      </c>
      <c r="K832" s="5" t="n">
        <v>22000</v>
      </c>
      <c r="L832" s="6" t="n">
        <v>29000</v>
      </c>
      <c r="M832" s="5" t="n"/>
      <c r="N832" s="5">
        <f>IF(AND(ISNUMBER(M832),ISNUMBER(L832)),M832-L832,"")</f>
        <v/>
      </c>
      <c r="O832" s="7">
        <f>IF(AND(ISNUMBER(M832),ISNUMBER(L832),L832&gt;0),(M832-L832)/L832,"")</f>
        <v/>
      </c>
      <c r="P832" s="3">
        <f>IF(O832="","",IF(O832&lt;-0.02,"🔴 Bán phá giá sàn",IF(O832&gt;0.05,"🔵 Bán cao hơn","🟢 Đúng giá sàn TMĐT")))</f>
        <v/>
      </c>
      <c r="Q832" s="3" t="n"/>
      <c r="R832" s="4" t="n"/>
      <c r="S832" s="4" t="n"/>
    </row>
    <row r="833">
      <c r="A833" s="3" t="n">
        <v>832</v>
      </c>
      <c r="B833" s="3" t="inlineStr">
        <is>
          <t>KH005</t>
        </is>
      </c>
      <c r="C833" s="4" t="inlineStr">
        <is>
          <t>ThinkSafe HCM</t>
        </is>
      </c>
      <c r="D833" s="3" t="inlineStr">
        <is>
          <t>HCM</t>
        </is>
      </c>
      <c r="E833" s="3" t="inlineStr">
        <is>
          <t>XUÂN TRANG</t>
        </is>
      </c>
      <c r="F833" s="3" t="inlineStr">
        <is>
          <t>Shopee</t>
        </is>
      </c>
      <c r="G833" s="3" t="inlineStr">
        <is>
          <t>L265E-H5</t>
        </is>
      </c>
      <c r="H833" s="4" t="inlineStr">
        <is>
          <t>Đầu vít lục giác KingBlue L265E-H5</t>
        </is>
      </c>
      <c r="I833" s="3" t="inlineStr">
        <is>
          <t>Vỉ</t>
        </is>
      </c>
      <c r="J833" s="5" t="n">
        <v>17000</v>
      </c>
      <c r="K833" s="5" t="n">
        <v>22000</v>
      </c>
      <c r="L833" s="6" t="n">
        <v>29000</v>
      </c>
      <c r="M833" s="5" t="n"/>
      <c r="N833" s="5">
        <f>IF(AND(ISNUMBER(M833),ISNUMBER(L833)),M833-L833,"")</f>
        <v/>
      </c>
      <c r="O833" s="7">
        <f>IF(AND(ISNUMBER(M833),ISNUMBER(L833),L833&gt;0),(M833-L833)/L833,"")</f>
        <v/>
      </c>
      <c r="P833" s="3">
        <f>IF(O833="","",IF(O833&lt;-0.02,"🔴 Bán phá giá sàn",IF(O833&gt;0.05,"🔵 Bán cao hơn","🟢 Đúng giá sàn TMĐT")))</f>
        <v/>
      </c>
      <c r="Q833" s="3" t="n"/>
      <c r="R833" s="4" t="n"/>
      <c r="S833" s="4" t="n"/>
    </row>
    <row r="834">
      <c r="A834" s="3" t="n">
        <v>833</v>
      </c>
      <c r="B834" s="3" t="inlineStr">
        <is>
          <t>KH005</t>
        </is>
      </c>
      <c r="C834" s="4" t="inlineStr">
        <is>
          <t>ThinkSafe HCM</t>
        </is>
      </c>
      <c r="D834" s="3" t="inlineStr">
        <is>
          <t>HCM</t>
        </is>
      </c>
      <c r="E834" s="3" t="inlineStr">
        <is>
          <t>XUÂN TRANG</t>
        </is>
      </c>
      <c r="F834" s="3" t="inlineStr">
        <is>
          <t>Shopee</t>
        </is>
      </c>
      <c r="G834" s="3" t="inlineStr">
        <is>
          <t>L265E-H6</t>
        </is>
      </c>
      <c r="H834" s="4" t="inlineStr">
        <is>
          <t>Đầu vít lục giác KingBlue L265E-H6</t>
        </is>
      </c>
      <c r="I834" s="3" t="inlineStr">
        <is>
          <t>Vỉ</t>
        </is>
      </c>
      <c r="J834" s="5" t="n">
        <v>17000</v>
      </c>
      <c r="K834" s="5" t="n">
        <v>22000</v>
      </c>
      <c r="L834" s="6" t="n">
        <v>29000</v>
      </c>
      <c r="M834" s="5" t="n"/>
      <c r="N834" s="5">
        <f>IF(AND(ISNUMBER(M834),ISNUMBER(L834)),M834-L834,"")</f>
        <v/>
      </c>
      <c r="O834" s="7">
        <f>IF(AND(ISNUMBER(M834),ISNUMBER(L834),L834&gt;0),(M834-L834)/L834,"")</f>
        <v/>
      </c>
      <c r="P834" s="3">
        <f>IF(O834="","",IF(O834&lt;-0.02,"🔴 Bán phá giá sàn",IF(O834&gt;0.05,"🔵 Bán cao hơn","🟢 Đúng giá sàn TMĐT")))</f>
        <v/>
      </c>
      <c r="Q834" s="3" t="n"/>
      <c r="R834" s="4" t="n"/>
      <c r="S834" s="4" t="n"/>
    </row>
    <row r="835">
      <c r="A835" s="3" t="n">
        <v>834</v>
      </c>
      <c r="B835" s="3" t="inlineStr">
        <is>
          <t>KH005</t>
        </is>
      </c>
      <c r="C835" s="4" t="inlineStr">
        <is>
          <t>ThinkSafe HCM</t>
        </is>
      </c>
      <c r="D835" s="3" t="inlineStr">
        <is>
          <t>HCM</t>
        </is>
      </c>
      <c r="E835" s="3" t="inlineStr">
        <is>
          <t>XUÂN TRANG</t>
        </is>
      </c>
      <c r="F835" s="3" t="inlineStr">
        <is>
          <t>Shopee</t>
        </is>
      </c>
      <c r="G835" s="3" t="inlineStr">
        <is>
          <t>L265E-H8</t>
        </is>
      </c>
      <c r="H835" s="4" t="inlineStr">
        <is>
          <t>Đầu vít lục giác KingBlue L265E-H8</t>
        </is>
      </c>
      <c r="I835" s="3" t="inlineStr">
        <is>
          <t>Vỉ</t>
        </is>
      </c>
      <c r="J835" s="5" t="n">
        <v>41000</v>
      </c>
      <c r="K835" s="5" t="n">
        <v>53000</v>
      </c>
      <c r="L835" s="6" t="n">
        <v>70000</v>
      </c>
      <c r="M835" s="5" t="n"/>
      <c r="N835" s="5">
        <f>IF(AND(ISNUMBER(M835),ISNUMBER(L835)),M835-L835,"")</f>
        <v/>
      </c>
      <c r="O835" s="7">
        <f>IF(AND(ISNUMBER(M835),ISNUMBER(L835),L835&gt;0),(M835-L835)/L835,"")</f>
        <v/>
      </c>
      <c r="P835" s="3">
        <f>IF(O835="","",IF(O835&lt;-0.02,"🔴 Bán phá giá sàn",IF(O835&gt;0.05,"🔵 Bán cao hơn","🟢 Đúng giá sàn TMĐT")))</f>
        <v/>
      </c>
      <c r="Q835" s="3" t="n"/>
      <c r="R835" s="4" t="n"/>
      <c r="S835" s="4" t="n"/>
    </row>
    <row r="836">
      <c r="A836" s="3" t="n">
        <v>835</v>
      </c>
      <c r="B836" s="3" t="inlineStr">
        <is>
          <t>KH005</t>
        </is>
      </c>
      <c r="C836" s="4" t="inlineStr">
        <is>
          <t>ThinkSafe HCM</t>
        </is>
      </c>
      <c r="D836" s="3" t="inlineStr">
        <is>
          <t>HCM</t>
        </is>
      </c>
      <c r="E836" s="3" t="inlineStr">
        <is>
          <t>XUÂN TRANG</t>
        </is>
      </c>
      <c r="F836" s="3" t="inlineStr">
        <is>
          <t>Shopee</t>
        </is>
      </c>
      <c r="G836" s="3" t="inlineStr">
        <is>
          <t>V65E</t>
        </is>
      </c>
      <c r="H836" s="4" t="inlineStr">
        <is>
          <t>Đầu vít lục giác KingBlue V65E</t>
        </is>
      </c>
      <c r="I836" s="3" t="inlineStr">
        <is>
          <t>Cái</t>
        </is>
      </c>
      <c r="J836" s="5" t="n">
        <v>8000</v>
      </c>
      <c r="K836" s="5" t="n">
        <v>10000</v>
      </c>
      <c r="L836" s="6" t="n">
        <v>14000</v>
      </c>
      <c r="M836" s="5" t="n"/>
      <c r="N836" s="5">
        <f>IF(AND(ISNUMBER(M836),ISNUMBER(L836)),M836-L836,"")</f>
        <v/>
      </c>
      <c r="O836" s="7">
        <f>IF(AND(ISNUMBER(M836),ISNUMBER(L836),L836&gt;0),(M836-L836)/L836,"")</f>
        <v/>
      </c>
      <c r="P836" s="3">
        <f>IF(O836="","",IF(O836&lt;-0.02,"🔴 Bán phá giá sàn",IF(O836&gt;0.05,"🔵 Bán cao hơn","🟢 Đúng giá sàn TMĐT")))</f>
        <v/>
      </c>
      <c r="Q836" s="3" t="n"/>
      <c r="R836" s="4" t="n"/>
      <c r="S836" s="4" t="n"/>
    </row>
    <row r="837">
      <c r="A837" s="3" t="n">
        <v>836</v>
      </c>
      <c r="B837" s="3" t="inlineStr">
        <is>
          <t>KH005</t>
        </is>
      </c>
      <c r="C837" s="4" t="inlineStr">
        <is>
          <t>ThinkSafe HCM</t>
        </is>
      </c>
      <c r="D837" s="3" t="inlineStr">
        <is>
          <t>HCM</t>
        </is>
      </c>
      <c r="E837" s="3" t="inlineStr">
        <is>
          <t>XUÂN TRANG</t>
        </is>
      </c>
      <c r="F837" s="3" t="inlineStr">
        <is>
          <t>Shopee</t>
        </is>
      </c>
      <c r="G837" s="3" t="inlineStr">
        <is>
          <t>LED750</t>
        </is>
      </c>
      <c r="H837" s="4" t="inlineStr">
        <is>
          <t>Đèn Led cài áo LED750</t>
        </is>
      </c>
      <c r="I837" s="3" t="inlineStr">
        <is>
          <t>Cái</t>
        </is>
      </c>
      <c r="J837" s="5" t="n">
        <v>269000</v>
      </c>
      <c r="K837" s="5" t="n">
        <v>317000</v>
      </c>
      <c r="L837" s="6" t="n">
        <v>390000</v>
      </c>
      <c r="M837" s="5" t="n"/>
      <c r="N837" s="5">
        <f>IF(AND(ISNUMBER(M837),ISNUMBER(L837)),M837-L837,"")</f>
        <v/>
      </c>
      <c r="O837" s="7">
        <f>IF(AND(ISNUMBER(M837),ISNUMBER(L837),L837&gt;0),(M837-L837)/L837,"")</f>
        <v/>
      </c>
      <c r="P837" s="3">
        <f>IF(O837="","",IF(O837&lt;-0.02,"🔴 Bán phá giá sàn",IF(O837&gt;0.05,"🔵 Bán cao hơn","🟢 Đúng giá sàn TMĐT")))</f>
        <v/>
      </c>
      <c r="Q837" s="3" t="n"/>
      <c r="R837" s="4" t="n"/>
      <c r="S837" s="4" t="n"/>
    </row>
    <row r="838">
      <c r="A838" s="3" t="n">
        <v>837</v>
      </c>
      <c r="B838" s="3" t="inlineStr">
        <is>
          <t>KH005</t>
        </is>
      </c>
      <c r="C838" s="4" t="inlineStr">
        <is>
          <t>ThinkSafe HCM</t>
        </is>
      </c>
      <c r="D838" s="3" t="inlineStr">
        <is>
          <t>HCM</t>
        </is>
      </c>
      <c r="E838" s="3" t="inlineStr">
        <is>
          <t>XUÂN TRANG</t>
        </is>
      </c>
      <c r="F838" s="3" t="inlineStr">
        <is>
          <t>Shopee</t>
        </is>
      </c>
      <c r="G838" s="3" t="inlineStr">
        <is>
          <t>LED2000</t>
        </is>
      </c>
      <c r="H838" s="4" t="inlineStr">
        <is>
          <t>Đèn Led cắm trại  LED2000</t>
        </is>
      </c>
      <c r="I838" s="3" t="inlineStr">
        <is>
          <t>Cái</t>
        </is>
      </c>
      <c r="J838" s="5" t="n">
        <v>920000</v>
      </c>
      <c r="K838" s="5" t="n">
        <v>1049000</v>
      </c>
      <c r="L838" s="6" t="n">
        <v>1242000</v>
      </c>
      <c r="M838" s="5" t="n"/>
      <c r="N838" s="5">
        <f>IF(AND(ISNUMBER(M838),ISNUMBER(L838)),M838-L838,"")</f>
        <v/>
      </c>
      <c r="O838" s="7">
        <f>IF(AND(ISNUMBER(M838),ISNUMBER(L838),L838&gt;0),(M838-L838)/L838,"")</f>
        <v/>
      </c>
      <c r="P838" s="3">
        <f>IF(O838="","",IF(O838&lt;-0.02,"🔴 Bán phá giá sàn",IF(O838&gt;0.05,"🔵 Bán cao hơn","🟢 Đúng giá sàn TMĐT")))</f>
        <v/>
      </c>
      <c r="Q838" s="3" t="n"/>
      <c r="R838" s="4" t="n"/>
      <c r="S838" s="4" t="n"/>
    </row>
    <row r="839">
      <c r="A839" s="3" t="n">
        <v>838</v>
      </c>
      <c r="B839" s="3" t="inlineStr">
        <is>
          <t>KH005</t>
        </is>
      </c>
      <c r="C839" s="4" t="inlineStr">
        <is>
          <t>ThinkSafe HCM</t>
        </is>
      </c>
      <c r="D839" s="3" t="inlineStr">
        <is>
          <t>HCM</t>
        </is>
      </c>
      <c r="E839" s="3" t="inlineStr">
        <is>
          <t>XUÂN TRANG</t>
        </is>
      </c>
      <c r="F839" s="3" t="inlineStr">
        <is>
          <t>Shopee</t>
        </is>
      </c>
      <c r="G839" s="3" t="inlineStr">
        <is>
          <t>LED800</t>
        </is>
      </c>
      <c r="H839" s="4" t="inlineStr">
        <is>
          <t>Đèn Led đội đầu  LED800</t>
        </is>
      </c>
      <c r="I839" s="3" t="inlineStr">
        <is>
          <t>Cái</t>
        </is>
      </c>
      <c r="J839" s="5" t="n">
        <v>430000</v>
      </c>
      <c r="K839" s="5" t="n">
        <v>490000</v>
      </c>
      <c r="L839" s="6" t="n">
        <v>581000</v>
      </c>
      <c r="M839" s="5" t="n"/>
      <c r="N839" s="5">
        <f>IF(AND(ISNUMBER(M839),ISNUMBER(L839)),M839-L839,"")</f>
        <v/>
      </c>
      <c r="O839" s="7">
        <f>IF(AND(ISNUMBER(M839),ISNUMBER(L839),L839&gt;0),(M839-L839)/L839,"")</f>
        <v/>
      </c>
      <c r="P839" s="3">
        <f>IF(O839="","",IF(O839&lt;-0.02,"🔴 Bán phá giá sàn",IF(O839&gt;0.05,"🔵 Bán cao hơn","🟢 Đúng giá sàn TMĐT")))</f>
        <v/>
      </c>
      <c r="Q839" s="3" t="n"/>
      <c r="R839" s="4" t="n"/>
      <c r="S839" s="4" t="n"/>
    </row>
    <row r="840">
      <c r="A840" s="3" t="n">
        <v>839</v>
      </c>
      <c r="B840" s="3" t="inlineStr">
        <is>
          <t>KH005</t>
        </is>
      </c>
      <c r="C840" s="4" t="inlineStr">
        <is>
          <t>ThinkSafe HCM</t>
        </is>
      </c>
      <c r="D840" s="3" t="inlineStr">
        <is>
          <t>HCM</t>
        </is>
      </c>
      <c r="E840" s="3" t="inlineStr">
        <is>
          <t>XUÂN TRANG</t>
        </is>
      </c>
      <c r="F840" s="3" t="inlineStr">
        <is>
          <t>Shopee</t>
        </is>
      </c>
      <c r="G840" s="3" t="inlineStr">
        <is>
          <t>LED1000H</t>
        </is>
      </c>
      <c r="H840" s="4" t="inlineStr">
        <is>
          <t>Đèn Led đội đầu LED1000H</t>
        </is>
      </c>
      <c r="I840" s="3" t="inlineStr">
        <is>
          <t>Cái</t>
        </is>
      </c>
      <c r="J840" s="5" t="n">
        <v>269000</v>
      </c>
      <c r="K840" s="5" t="n">
        <v>317000</v>
      </c>
      <c r="L840" s="6" t="n">
        <v>390000</v>
      </c>
      <c r="M840" s="5" t="n"/>
      <c r="N840" s="5">
        <f>IF(AND(ISNUMBER(M840),ISNUMBER(L840)),M840-L840,"")</f>
        <v/>
      </c>
      <c r="O840" s="7">
        <f>IF(AND(ISNUMBER(M840),ISNUMBER(L840),L840&gt;0),(M840-L840)/L840,"")</f>
        <v/>
      </c>
      <c r="P840" s="3">
        <f>IF(O840="","",IF(O840&lt;-0.02,"🔴 Bán phá giá sàn",IF(O840&gt;0.05,"🔵 Bán cao hơn","🟢 Đúng giá sàn TMĐT")))</f>
        <v/>
      </c>
      <c r="Q840" s="3" t="n"/>
      <c r="R840" s="4" t="n"/>
      <c r="S840" s="4" t="n"/>
    </row>
    <row r="841">
      <c r="A841" s="3" t="n">
        <v>840</v>
      </c>
      <c r="B841" s="3" t="inlineStr">
        <is>
          <t>KH005</t>
        </is>
      </c>
      <c r="C841" s="4" t="inlineStr">
        <is>
          <t>ThinkSafe HCM</t>
        </is>
      </c>
      <c r="D841" s="3" t="inlineStr">
        <is>
          <t>HCM</t>
        </is>
      </c>
      <c r="E841" s="3" t="inlineStr">
        <is>
          <t>XUÂN TRANG</t>
        </is>
      </c>
      <c r="F841" s="3" t="inlineStr">
        <is>
          <t>Shopee</t>
        </is>
      </c>
      <c r="G841" s="3" t="inlineStr">
        <is>
          <t>LED500</t>
        </is>
      </c>
      <c r="H841" s="4" t="inlineStr">
        <is>
          <t>Đèn Led đội đầu LED500</t>
        </is>
      </c>
      <c r="I841" s="3" t="inlineStr">
        <is>
          <t>Cái</t>
        </is>
      </c>
      <c r="J841" s="5" t="n">
        <v>440000</v>
      </c>
      <c r="K841" s="5" t="n">
        <v>502000</v>
      </c>
      <c r="L841" s="6" t="n">
        <v>594000</v>
      </c>
      <c r="M841" s="5" t="n"/>
      <c r="N841" s="5">
        <f>IF(AND(ISNUMBER(M841),ISNUMBER(L841)),M841-L841,"")</f>
        <v/>
      </c>
      <c r="O841" s="7">
        <f>IF(AND(ISNUMBER(M841),ISNUMBER(L841),L841&gt;0),(M841-L841)/L841,"")</f>
        <v/>
      </c>
      <c r="P841" s="3">
        <f>IF(O841="","",IF(O841&lt;-0.02,"🔴 Bán phá giá sàn",IF(O841&gt;0.05,"🔵 Bán cao hơn","🟢 Đúng giá sàn TMĐT")))</f>
        <v/>
      </c>
      <c r="Q841" s="3" t="n"/>
      <c r="R841" s="4" t="n"/>
      <c r="S841" s="4" t="n"/>
    </row>
    <row r="842">
      <c r="A842" s="3" t="n">
        <v>841</v>
      </c>
      <c r="B842" s="3" t="inlineStr">
        <is>
          <t>KH005</t>
        </is>
      </c>
      <c r="C842" s="4" t="inlineStr">
        <is>
          <t>ThinkSafe HCM</t>
        </is>
      </c>
      <c r="D842" s="3" t="inlineStr">
        <is>
          <t>HCM</t>
        </is>
      </c>
      <c r="E842" s="3" t="inlineStr">
        <is>
          <t>XUÂN TRANG</t>
        </is>
      </c>
      <c r="F842" s="3" t="inlineStr">
        <is>
          <t>Shopee</t>
        </is>
      </c>
      <c r="G842" s="3" t="inlineStr">
        <is>
          <t>LED600</t>
        </is>
      </c>
      <c r="H842" s="4" t="inlineStr">
        <is>
          <t>Đèn Led soi sửa chữa máy móc LED600</t>
        </is>
      </c>
      <c r="I842" s="3" t="inlineStr">
        <is>
          <t>Cái</t>
        </is>
      </c>
      <c r="J842" s="5" t="n">
        <v>650000</v>
      </c>
      <c r="K842" s="5" t="n">
        <v>741000</v>
      </c>
      <c r="L842" s="6" t="n">
        <v>878000</v>
      </c>
      <c r="M842" s="5" t="n"/>
      <c r="N842" s="5">
        <f>IF(AND(ISNUMBER(M842),ISNUMBER(L842)),M842-L842,"")</f>
        <v/>
      </c>
      <c r="O842" s="7">
        <f>IF(AND(ISNUMBER(M842),ISNUMBER(L842),L842&gt;0),(M842-L842)/L842,"")</f>
        <v/>
      </c>
      <c r="P842" s="3">
        <f>IF(O842="","",IF(O842&lt;-0.02,"🔴 Bán phá giá sàn",IF(O842&gt;0.05,"🔵 Bán cao hơn","🟢 Đúng giá sàn TMĐT")))</f>
        <v/>
      </c>
      <c r="Q842" s="3" t="n"/>
      <c r="R842" s="4" t="n"/>
      <c r="S842" s="4" t="n"/>
    </row>
    <row r="843">
      <c r="A843" s="3" t="n">
        <v>842</v>
      </c>
      <c r="B843" s="3" t="inlineStr">
        <is>
          <t>KH005</t>
        </is>
      </c>
      <c r="C843" s="4" t="inlineStr">
        <is>
          <t>ThinkSafe HCM</t>
        </is>
      </c>
      <c r="D843" s="3" t="inlineStr">
        <is>
          <t>HCM</t>
        </is>
      </c>
      <c r="E843" s="3" t="inlineStr">
        <is>
          <t>XUÂN TRANG</t>
        </is>
      </c>
      <c r="F843" s="3" t="inlineStr">
        <is>
          <t>Shopee</t>
        </is>
      </c>
      <c r="G843" s="3" t="inlineStr">
        <is>
          <t>MINI20GKD</t>
        </is>
      </c>
      <c r="H843" s="4" t="inlineStr">
        <is>
          <t>Đinh MINI20GKD</t>
        </is>
      </c>
      <c r="I843" s="3" t="inlineStr">
        <is>
          <t>Cái</t>
        </is>
      </c>
      <c r="J843" s="5" t="n">
        <v>269000</v>
      </c>
      <c r="K843" s="5" t="n">
        <v>317000</v>
      </c>
      <c r="L843" s="6" t="n">
        <v>390000</v>
      </c>
      <c r="M843" s="5" t="n"/>
      <c r="N843" s="5">
        <f>IF(AND(ISNUMBER(M843),ISNUMBER(L843)),M843-L843,"")</f>
        <v/>
      </c>
      <c r="O843" s="7">
        <f>IF(AND(ISNUMBER(M843),ISNUMBER(L843),L843&gt;0),(M843-L843)/L843,"")</f>
        <v/>
      </c>
      <c r="P843" s="3">
        <f>IF(O843="","",IF(O843&lt;-0.02,"🔴 Bán phá giá sàn",IF(O843&gt;0.05,"🔵 Bán cao hơn","🟢 Đúng giá sàn TMĐT")))</f>
        <v/>
      </c>
      <c r="Q843" s="3" t="n"/>
      <c r="R843" s="4" t="n"/>
      <c r="S843" s="4" t="n"/>
    </row>
    <row r="844">
      <c r="A844" s="3" t="n">
        <v>843</v>
      </c>
      <c r="B844" s="3" t="inlineStr">
        <is>
          <t>KH005</t>
        </is>
      </c>
      <c r="C844" s="4" t="inlineStr">
        <is>
          <t>ThinkSafe HCM</t>
        </is>
      </c>
      <c r="D844" s="3" t="inlineStr">
        <is>
          <t>HCM</t>
        </is>
      </c>
      <c r="E844" s="3" t="inlineStr">
        <is>
          <t>XUÂN TRANG</t>
        </is>
      </c>
      <c r="F844" s="3" t="inlineStr">
        <is>
          <t>Shopee</t>
        </is>
      </c>
      <c r="G844" s="3" t="inlineStr"/>
      <c r="H844" s="4" t="inlineStr">
        <is>
          <t>Đinh MINIGJD</t>
        </is>
      </c>
      <c r="I844" s="3" t="inlineStr">
        <is>
          <t>Cái</t>
        </is>
      </c>
      <c r="J844" s="5" t="n">
        <v>269000</v>
      </c>
      <c r="K844" s="5" t="n">
        <v>317000</v>
      </c>
      <c r="L844" s="6" t="n">
        <v>390000</v>
      </c>
      <c r="M844" s="5" t="n"/>
      <c r="N844" s="5">
        <f>IF(AND(ISNUMBER(M844),ISNUMBER(L844)),M844-L844,"")</f>
        <v/>
      </c>
      <c r="O844" s="7">
        <f>IF(AND(ISNUMBER(M844),ISNUMBER(L844),L844&gt;0),(M844-L844)/L844,"")</f>
        <v/>
      </c>
      <c r="P844" s="3">
        <f>IF(O844="","",IF(O844&lt;-0.02,"🔴 Bán phá giá sàn",IF(O844&gt;0.05,"🔵 Bán cao hơn","🟢 Đúng giá sàn TMĐT")))</f>
        <v/>
      </c>
      <c r="Q844" s="3" t="n"/>
      <c r="R844" s="4" t="n"/>
      <c r="S844" s="4" t="n"/>
    </row>
    <row r="845">
      <c r="A845" s="3" t="n">
        <v>844</v>
      </c>
      <c r="B845" s="3" t="inlineStr">
        <is>
          <t>KH005</t>
        </is>
      </c>
      <c r="C845" s="4" t="inlineStr">
        <is>
          <t>ThinkSafe HCM</t>
        </is>
      </c>
      <c r="D845" s="3" t="inlineStr">
        <is>
          <t>HCM</t>
        </is>
      </c>
      <c r="E845" s="3" t="inlineStr">
        <is>
          <t>XUÂN TRANG</t>
        </is>
      </c>
      <c r="F845" s="3" t="inlineStr">
        <is>
          <t>Shopee</t>
        </is>
      </c>
      <c r="G845" s="3" t="inlineStr"/>
      <c r="H845" s="4" t="inlineStr">
        <is>
          <t>Đinh MINISFD</t>
        </is>
      </c>
      <c r="I845" s="3" t="inlineStr">
        <is>
          <t>Cái</t>
        </is>
      </c>
      <c r="J845" s="5" t="n">
        <v>269000</v>
      </c>
      <c r="K845" s="5" t="n">
        <v>317000</v>
      </c>
      <c r="L845" s="6" t="n">
        <v>390000</v>
      </c>
      <c r="M845" s="5" t="n"/>
      <c r="N845" s="5">
        <f>IF(AND(ISNUMBER(M845),ISNUMBER(L845)),M845-L845,"")</f>
        <v/>
      </c>
      <c r="O845" s="7">
        <f>IF(AND(ISNUMBER(M845),ISNUMBER(L845),L845&gt;0),(M845-L845)/L845,"")</f>
        <v/>
      </c>
      <c r="P845" s="3">
        <f>IF(O845="","",IF(O845&lt;-0.02,"🔴 Bán phá giá sàn",IF(O845&gt;0.05,"🔵 Bán cao hơn","🟢 Đúng giá sàn TMĐT")))</f>
        <v/>
      </c>
      <c r="Q845" s="3" t="n"/>
      <c r="R845" s="4" t="n"/>
      <c r="S845" s="4" t="n"/>
    </row>
    <row r="846">
      <c r="A846" s="3" t="n">
        <v>845</v>
      </c>
      <c r="B846" s="3" t="inlineStr">
        <is>
          <t>KH005</t>
        </is>
      </c>
      <c r="C846" s="4" t="inlineStr">
        <is>
          <t>ThinkSafe HCM</t>
        </is>
      </c>
      <c r="D846" s="3" t="inlineStr">
        <is>
          <t>HCM</t>
        </is>
      </c>
      <c r="E846" s="3" t="inlineStr">
        <is>
          <t>XUÂN TRANG</t>
        </is>
      </c>
      <c r="F846" s="3" t="inlineStr">
        <is>
          <t>Shopee</t>
        </is>
      </c>
      <c r="G846" s="3" t="inlineStr">
        <is>
          <t>KFG-13/6</t>
        </is>
      </c>
      <c r="H846" s="4" t="inlineStr">
        <is>
          <t>Ghim KFG-13/6</t>
        </is>
      </c>
      <c r="I846" s="3" t="inlineStr">
        <is>
          <t>Hộp</t>
        </is>
      </c>
      <c r="J846" s="5" t="n">
        <v>26000</v>
      </c>
      <c r="K846" s="5" t="n">
        <v>31000</v>
      </c>
      <c r="L846" s="6" t="n">
        <v>38000</v>
      </c>
      <c r="M846" s="5" t="n"/>
      <c r="N846" s="5">
        <f>IF(AND(ISNUMBER(M846),ISNUMBER(L846)),M846-L846,"")</f>
        <v/>
      </c>
      <c r="O846" s="7">
        <f>IF(AND(ISNUMBER(M846),ISNUMBER(L846),L846&gt;0),(M846-L846)/L846,"")</f>
        <v/>
      </c>
      <c r="P846" s="3">
        <f>IF(O846="","",IF(O846&lt;-0.02,"🔴 Bán phá giá sàn",IF(O846&gt;0.05,"🔵 Bán cao hơn","🟢 Đúng giá sàn TMĐT")))</f>
        <v/>
      </c>
      <c r="Q846" s="3" t="n"/>
      <c r="R846" s="4" t="n"/>
      <c r="S846" s="4" t="n"/>
    </row>
    <row r="847">
      <c r="A847" s="3" t="n">
        <v>846</v>
      </c>
      <c r="B847" s="3" t="inlineStr">
        <is>
          <t>KH005</t>
        </is>
      </c>
      <c r="C847" s="4" t="inlineStr">
        <is>
          <t>ThinkSafe HCM</t>
        </is>
      </c>
      <c r="D847" s="3" t="inlineStr">
        <is>
          <t>HCM</t>
        </is>
      </c>
      <c r="E847" s="3" t="inlineStr">
        <is>
          <t>XUÂN TRANG</t>
        </is>
      </c>
      <c r="F847" s="3" t="inlineStr">
        <is>
          <t>Shopee</t>
        </is>
      </c>
      <c r="G847" s="3" t="inlineStr">
        <is>
          <t>KFG-16/6</t>
        </is>
      </c>
      <c r="H847" s="4" t="inlineStr">
        <is>
          <t>Ghim KFG-16/6</t>
        </is>
      </c>
      <c r="I847" s="3" t="inlineStr">
        <is>
          <t>Hộp</t>
        </is>
      </c>
      <c r="J847" s="5" t="n">
        <v>27000</v>
      </c>
      <c r="K847" s="5" t="n">
        <v>32000</v>
      </c>
      <c r="L847" s="6" t="n">
        <v>39000</v>
      </c>
      <c r="M847" s="5" t="n"/>
      <c r="N847" s="5">
        <f>IF(AND(ISNUMBER(M847),ISNUMBER(L847)),M847-L847,"")</f>
        <v/>
      </c>
      <c r="O847" s="7">
        <f>IF(AND(ISNUMBER(M847),ISNUMBER(L847),L847&gt;0),(M847-L847)/L847,"")</f>
        <v/>
      </c>
      <c r="P847" s="3">
        <f>IF(O847="","",IF(O847&lt;-0.02,"🔴 Bán phá giá sàn",IF(O847&gt;0.05,"🔵 Bán cao hơn","🟢 Đúng giá sàn TMĐT")))</f>
        <v/>
      </c>
      <c r="Q847" s="3" t="n"/>
      <c r="R847" s="4" t="n"/>
      <c r="S847" s="4" t="n"/>
    </row>
    <row r="848">
      <c r="A848" s="3" t="n">
        <v>847</v>
      </c>
      <c r="B848" s="3" t="inlineStr">
        <is>
          <t>KH005</t>
        </is>
      </c>
      <c r="C848" s="4" t="inlineStr">
        <is>
          <t>ThinkSafe HCM</t>
        </is>
      </c>
      <c r="D848" s="3" t="inlineStr">
        <is>
          <t>HCM</t>
        </is>
      </c>
      <c r="E848" s="3" t="inlineStr">
        <is>
          <t>XUÂN TRANG</t>
        </is>
      </c>
      <c r="F848" s="3" t="inlineStr">
        <is>
          <t>Shopee</t>
        </is>
      </c>
      <c r="G848" s="3" t="inlineStr">
        <is>
          <t>HKE-924</t>
        </is>
      </c>
      <c r="H848" s="4" t="inlineStr">
        <is>
          <t>Hít gạch điện tử HKE-924</t>
        </is>
      </c>
      <c r="I848" s="3" t="inlineStr">
        <is>
          <t>Cái</t>
        </is>
      </c>
      <c r="J848" s="5" t="n">
        <v>680000</v>
      </c>
      <c r="K848" s="5" t="n">
        <v>789000</v>
      </c>
      <c r="L848" s="6" t="n">
        <v>952000</v>
      </c>
      <c r="M848" s="5" t="n"/>
      <c r="N848" s="5">
        <f>IF(AND(ISNUMBER(M848),ISNUMBER(L848)),M848-L848,"")</f>
        <v/>
      </c>
      <c r="O848" s="7">
        <f>IF(AND(ISNUMBER(M848),ISNUMBER(L848),L848&gt;0),(M848-L848)/L848,"")</f>
        <v/>
      </c>
      <c r="P848" s="3">
        <f>IF(O848="","",IF(O848&lt;-0.02,"🔴 Bán phá giá sàn",IF(O848&gt;0.05,"🔵 Bán cao hơn","🟢 Đúng giá sàn TMĐT")))</f>
        <v/>
      </c>
      <c r="Q848" s="3" t="n"/>
      <c r="R848" s="4" t="n"/>
      <c r="S848" s="4" t="n"/>
    </row>
    <row r="849">
      <c r="A849" s="3" t="n">
        <v>848</v>
      </c>
      <c r="B849" s="3" t="inlineStr">
        <is>
          <t>KH005</t>
        </is>
      </c>
      <c r="C849" s="4" t="inlineStr">
        <is>
          <t>ThinkSafe HCM</t>
        </is>
      </c>
      <c r="D849" s="3" t="inlineStr">
        <is>
          <t>HCM</t>
        </is>
      </c>
      <c r="E849" s="3" t="inlineStr">
        <is>
          <t>XUÂN TRANG</t>
        </is>
      </c>
      <c r="F849" s="3" t="inlineStr">
        <is>
          <t>Shopee</t>
        </is>
      </c>
      <c r="G849" s="3" t="inlineStr">
        <is>
          <t>HKE-200</t>
        </is>
      </c>
      <c r="H849" s="4" t="inlineStr">
        <is>
          <t>Hít kính điện tử HKE-200</t>
        </is>
      </c>
      <c r="I849" s="3" t="inlineStr">
        <is>
          <t>Cái</t>
        </is>
      </c>
      <c r="J849" s="5" t="n">
        <v>583000</v>
      </c>
      <c r="K849" s="5" t="n">
        <v>676000</v>
      </c>
      <c r="L849" s="6" t="n">
        <v>816000</v>
      </c>
      <c r="M849" s="5" t="n"/>
      <c r="N849" s="5">
        <f>IF(AND(ISNUMBER(M849),ISNUMBER(L849)),M849-L849,"")</f>
        <v/>
      </c>
      <c r="O849" s="7">
        <f>IF(AND(ISNUMBER(M849),ISNUMBER(L849),L849&gt;0),(M849-L849)/L849,"")</f>
        <v/>
      </c>
      <c r="P849" s="3">
        <f>IF(O849="","",IF(O849&lt;-0.02,"🔴 Bán phá giá sàn",IF(O849&gt;0.05,"🔵 Bán cao hơn","🟢 Đúng giá sàn TMĐT")))</f>
        <v/>
      </c>
      <c r="Q849" s="3" t="n"/>
      <c r="R849" s="4" t="n"/>
      <c r="S849" s="4" t="n"/>
    </row>
    <row r="850">
      <c r="A850" s="3" t="n">
        <v>849</v>
      </c>
      <c r="B850" s="3" t="inlineStr">
        <is>
          <t>KH005</t>
        </is>
      </c>
      <c r="C850" s="4" t="inlineStr">
        <is>
          <t>ThinkSafe HCM</t>
        </is>
      </c>
      <c r="D850" s="3" t="inlineStr">
        <is>
          <t>HCM</t>
        </is>
      </c>
      <c r="E850" s="3" t="inlineStr">
        <is>
          <t>XUÂN TRANG</t>
        </is>
      </c>
      <c r="F850" s="3" t="inlineStr">
        <is>
          <t>Shopee</t>
        </is>
      </c>
      <c r="G850" s="3" t="inlineStr">
        <is>
          <t>HK1-50</t>
        </is>
      </c>
      <c r="H850" s="4" t="inlineStr">
        <is>
          <t>Hít kính HK1-50</t>
        </is>
      </c>
      <c r="I850" s="3" t="inlineStr">
        <is>
          <t>Cái</t>
        </is>
      </c>
      <c r="J850" s="5" t="n">
        <v>182000</v>
      </c>
      <c r="K850" s="5" t="n">
        <v>215000</v>
      </c>
      <c r="L850" s="6" t="n">
        <v>264000</v>
      </c>
      <c r="M850" s="5" t="n"/>
      <c r="N850" s="5">
        <f>IF(AND(ISNUMBER(M850),ISNUMBER(L850)),M850-L850,"")</f>
        <v/>
      </c>
      <c r="O850" s="7">
        <f>IF(AND(ISNUMBER(M850),ISNUMBER(L850),L850&gt;0),(M850-L850)/L850,"")</f>
        <v/>
      </c>
      <c r="P850" s="3">
        <f>IF(O850="","",IF(O850&lt;-0.02,"🔴 Bán phá giá sàn",IF(O850&gt;0.05,"🔵 Bán cao hơn","🟢 Đúng giá sàn TMĐT")))</f>
        <v/>
      </c>
      <c r="Q850" s="3" t="n"/>
      <c r="R850" s="4" t="n"/>
      <c r="S850" s="4" t="n"/>
    </row>
    <row r="851">
      <c r="A851" s="3" t="n">
        <v>850</v>
      </c>
      <c r="B851" s="3" t="inlineStr">
        <is>
          <t>KH005</t>
        </is>
      </c>
      <c r="C851" s="4" t="inlineStr">
        <is>
          <t>ThinkSafe HCM</t>
        </is>
      </c>
      <c r="D851" s="3" t="inlineStr">
        <is>
          <t>HCM</t>
        </is>
      </c>
      <c r="E851" s="3" t="inlineStr">
        <is>
          <t>XUÂN TRANG</t>
        </is>
      </c>
      <c r="F851" s="3" t="inlineStr">
        <is>
          <t>Shopee</t>
        </is>
      </c>
      <c r="G851" s="3" t="inlineStr">
        <is>
          <t>HK2-130</t>
        </is>
      </c>
      <c r="H851" s="4" t="inlineStr">
        <is>
          <t>Hít kính HK2-130</t>
        </is>
      </c>
      <c r="I851" s="3" t="inlineStr">
        <is>
          <t>Cái</t>
        </is>
      </c>
      <c r="J851" s="5" t="n">
        <v>308000</v>
      </c>
      <c r="K851" s="5" t="n">
        <v>364000</v>
      </c>
      <c r="L851" s="6" t="n">
        <v>447000</v>
      </c>
      <c r="M851" s="5" t="n"/>
      <c r="N851" s="5">
        <f>IF(AND(ISNUMBER(M851),ISNUMBER(L851)),M851-L851,"")</f>
        <v/>
      </c>
      <c r="O851" s="7">
        <f>IF(AND(ISNUMBER(M851),ISNUMBER(L851),L851&gt;0),(M851-L851)/L851,"")</f>
        <v/>
      </c>
      <c r="P851" s="3">
        <f>IF(O851="","",IF(O851&lt;-0.02,"🔴 Bán phá giá sàn",IF(O851&gt;0.05,"🔵 Bán cao hơn","🟢 Đúng giá sàn TMĐT")))</f>
        <v/>
      </c>
      <c r="Q851" s="3" t="n"/>
      <c r="R851" s="4" t="n"/>
      <c r="S851" s="4" t="n"/>
    </row>
    <row r="852">
      <c r="A852" s="3" t="n">
        <v>851</v>
      </c>
      <c r="B852" s="3" t="inlineStr">
        <is>
          <t>KH005</t>
        </is>
      </c>
      <c r="C852" s="4" t="inlineStr">
        <is>
          <t>ThinkSafe HCM</t>
        </is>
      </c>
      <c r="D852" s="3" t="inlineStr">
        <is>
          <t>HCM</t>
        </is>
      </c>
      <c r="E852" s="3" t="inlineStr">
        <is>
          <t>XUÂN TRANG</t>
        </is>
      </c>
      <c r="F852" s="3" t="inlineStr">
        <is>
          <t>Shopee</t>
        </is>
      </c>
      <c r="G852" s="3" t="inlineStr">
        <is>
          <t>HK2-118</t>
        </is>
      </c>
      <c r="H852" s="4" t="inlineStr">
        <is>
          <t>Hít kính-căn chỉnh mạch gạch HK2-118</t>
        </is>
      </c>
      <c r="I852" s="3" t="inlineStr">
        <is>
          <t>Cái</t>
        </is>
      </c>
      <c r="J852" s="5" t="n">
        <v>438000</v>
      </c>
      <c r="K852" s="5" t="n">
        <v>517000</v>
      </c>
      <c r="L852" s="6" t="n">
        <v>635000</v>
      </c>
      <c r="M852" s="5" t="n"/>
      <c r="N852" s="5">
        <f>IF(AND(ISNUMBER(M852),ISNUMBER(L852)),M852-L852,"")</f>
        <v/>
      </c>
      <c r="O852" s="7">
        <f>IF(AND(ISNUMBER(M852),ISNUMBER(L852),L852&gt;0),(M852-L852)/L852,"")</f>
        <v/>
      </c>
      <c r="P852" s="3">
        <f>IF(O852="","",IF(O852&lt;-0.02,"🔴 Bán phá giá sàn",IF(O852&gt;0.05,"🔵 Bán cao hơn","🟢 Đúng giá sàn TMĐT")))</f>
        <v/>
      </c>
      <c r="Q852" s="3" t="n"/>
      <c r="R852" s="4" t="n"/>
      <c r="S852" s="4" t="n"/>
    </row>
    <row r="853">
      <c r="A853" s="3" t="n">
        <v>852</v>
      </c>
      <c r="B853" s="3" t="inlineStr">
        <is>
          <t>KH005</t>
        </is>
      </c>
      <c r="C853" s="4" t="inlineStr">
        <is>
          <t>ThinkSafe HCM</t>
        </is>
      </c>
      <c r="D853" s="3" t="inlineStr">
        <is>
          <t>HCM</t>
        </is>
      </c>
      <c r="E853" s="3" t="inlineStr">
        <is>
          <t>XUÂN TRANG</t>
        </is>
      </c>
      <c r="F853" s="3" t="inlineStr">
        <is>
          <t>Shopee</t>
        </is>
      </c>
      <c r="G853" s="3" t="inlineStr">
        <is>
          <t>KBE-BL2816</t>
        </is>
      </c>
      <c r="H853" s="4" t="inlineStr">
        <is>
          <t>Kéo cắt cành pin KBE-BL2816</t>
        </is>
      </c>
      <c r="I853" s="3" t="inlineStr">
        <is>
          <t>Cái</t>
        </is>
      </c>
      <c r="J853" s="5" t="n">
        <v>1600000</v>
      </c>
      <c r="K853" s="5" t="n">
        <v>1760000</v>
      </c>
      <c r="L853" s="6" t="n">
        <v>2000000</v>
      </c>
      <c r="M853" s="5" t="n"/>
      <c r="N853" s="5">
        <f>IF(AND(ISNUMBER(M853),ISNUMBER(L853)),M853-L853,"")</f>
        <v/>
      </c>
      <c r="O853" s="7">
        <f>IF(AND(ISNUMBER(M853),ISNUMBER(L853),L853&gt;0),(M853-L853)/L853,"")</f>
        <v/>
      </c>
      <c r="P853" s="3">
        <f>IF(O853="","",IF(O853&lt;-0.02,"🔴 Bán phá giá sàn",IF(O853&gt;0.05,"🔵 Bán cao hơn","🟢 Đúng giá sàn TMĐT")))</f>
        <v/>
      </c>
      <c r="Q853" s="3" t="n"/>
      <c r="R853" s="4" t="n"/>
      <c r="S853" s="4" t="n"/>
    </row>
    <row r="854">
      <c r="A854" s="3" t="n">
        <v>853</v>
      </c>
      <c r="B854" s="3" t="inlineStr">
        <is>
          <t>KH005</t>
        </is>
      </c>
      <c r="C854" s="4" t="inlineStr">
        <is>
          <t>ThinkSafe HCM</t>
        </is>
      </c>
      <c r="D854" s="3" t="inlineStr">
        <is>
          <t>HCM</t>
        </is>
      </c>
      <c r="E854" s="3" t="inlineStr">
        <is>
          <t>XUÂN TRANG</t>
        </is>
      </c>
      <c r="F854" s="3" t="inlineStr">
        <is>
          <t>Shopee</t>
        </is>
      </c>
      <c r="G854" s="3" t="inlineStr">
        <is>
          <t>QC3</t>
        </is>
      </c>
      <c r="H854" s="4" t="inlineStr">
        <is>
          <t>Kéo cắt đa năng QC3</t>
        </is>
      </c>
      <c r="I854" s="3" t="inlineStr">
        <is>
          <t>Cái</t>
        </is>
      </c>
      <c r="J854" s="5" t="n">
        <v>80000</v>
      </c>
      <c r="K854" s="5" t="n">
        <v>94000</v>
      </c>
      <c r="L854" s="6" t="n">
        <v>116000</v>
      </c>
      <c r="M854" s="5" t="n"/>
      <c r="N854" s="5">
        <f>IF(AND(ISNUMBER(M854),ISNUMBER(L854)),M854-L854,"")</f>
        <v/>
      </c>
      <c r="O854" s="7">
        <f>IF(AND(ISNUMBER(M854),ISNUMBER(L854),L854&gt;0),(M854-L854)/L854,"")</f>
        <v/>
      </c>
      <c r="P854" s="3">
        <f>IF(O854="","",IF(O854&lt;-0.02,"🔴 Bán phá giá sàn",IF(O854&gt;0.05,"🔵 Bán cao hơn","🟢 Đúng giá sàn TMĐT")))</f>
        <v/>
      </c>
      <c r="Q854" s="3" t="n"/>
      <c r="R854" s="4" t="n"/>
      <c r="S854" s="4" t="n"/>
    </row>
    <row r="855">
      <c r="A855" s="3" t="n">
        <v>854</v>
      </c>
      <c r="B855" s="3" t="inlineStr">
        <is>
          <t>KH005</t>
        </is>
      </c>
      <c r="C855" s="4" t="inlineStr">
        <is>
          <t>ThinkSafe HCM</t>
        </is>
      </c>
      <c r="D855" s="3" t="inlineStr">
        <is>
          <t>HCM</t>
        </is>
      </c>
      <c r="E855" s="3" t="inlineStr">
        <is>
          <t>XUÂN TRANG</t>
        </is>
      </c>
      <c r="F855" s="3" t="inlineStr">
        <is>
          <t>Shopee</t>
        </is>
      </c>
      <c r="G855" s="3" t="inlineStr">
        <is>
          <t>QC4</t>
        </is>
      </c>
      <c r="H855" s="4" t="inlineStr">
        <is>
          <t>Kéo cắt đa năng QC4</t>
        </is>
      </c>
      <c r="I855" s="3" t="inlineStr">
        <is>
          <t>Cái</t>
        </is>
      </c>
      <c r="J855" s="5" t="n">
        <v>103000</v>
      </c>
      <c r="K855" s="5" t="n">
        <v>121000</v>
      </c>
      <c r="L855" s="6" t="n">
        <v>149000</v>
      </c>
      <c r="M855" s="5" t="n"/>
      <c r="N855" s="5">
        <f>IF(AND(ISNUMBER(M855),ISNUMBER(L855)),M855-L855,"")</f>
        <v/>
      </c>
      <c r="O855" s="7">
        <f>IF(AND(ISNUMBER(M855),ISNUMBER(L855),L855&gt;0),(M855-L855)/L855,"")</f>
        <v/>
      </c>
      <c r="P855" s="3">
        <f>IF(O855="","",IF(O855&lt;-0.02,"🔴 Bán phá giá sàn",IF(O855&gt;0.05,"🔵 Bán cao hơn","🟢 Đúng giá sàn TMĐT")))</f>
        <v/>
      </c>
      <c r="Q855" s="3" t="n"/>
      <c r="R855" s="4" t="n"/>
      <c r="S855" s="4" t="n"/>
    </row>
    <row r="856">
      <c r="A856" s="3" t="n">
        <v>855</v>
      </c>
      <c r="B856" s="3" t="inlineStr">
        <is>
          <t>KH005</t>
        </is>
      </c>
      <c r="C856" s="4" t="inlineStr">
        <is>
          <t>ThinkSafe HCM</t>
        </is>
      </c>
      <c r="D856" s="3" t="inlineStr">
        <is>
          <t>HCM</t>
        </is>
      </c>
      <c r="E856" s="3" t="inlineStr">
        <is>
          <t>XUÂN TRANG</t>
        </is>
      </c>
      <c r="F856" s="3" t="inlineStr">
        <is>
          <t>Shopee</t>
        </is>
      </c>
      <c r="G856" s="3" t="inlineStr">
        <is>
          <t>KPQ-32</t>
        </is>
      </c>
      <c r="H856" s="4" t="inlineStr">
        <is>
          <t>Kéo cắt góc nẹp điện KPQ-32</t>
        </is>
      </c>
      <c r="I856" s="3" t="inlineStr">
        <is>
          <t>Cái</t>
        </is>
      </c>
      <c r="J856" s="5" t="n">
        <v>163000</v>
      </c>
      <c r="K856" s="5" t="n">
        <v>192000</v>
      </c>
      <c r="L856" s="6" t="n">
        <v>236000</v>
      </c>
      <c r="M856" s="5" t="n"/>
      <c r="N856" s="5">
        <f>IF(AND(ISNUMBER(M856),ISNUMBER(L856)),M856-L856,"")</f>
        <v/>
      </c>
      <c r="O856" s="7">
        <f>IF(AND(ISNUMBER(M856),ISNUMBER(L856),L856&gt;0),(M856-L856)/L856,"")</f>
        <v/>
      </c>
      <c r="P856" s="3">
        <f>IF(O856="","",IF(O856&lt;-0.02,"🔴 Bán phá giá sàn",IF(O856&gt;0.05,"🔵 Bán cao hơn","🟢 Đúng giá sàn TMĐT")))</f>
        <v/>
      </c>
      <c r="Q856" s="3" t="n"/>
      <c r="R856" s="4" t="n"/>
      <c r="S856" s="4" t="n"/>
    </row>
    <row r="857">
      <c r="A857" s="3" t="n">
        <v>856</v>
      </c>
      <c r="B857" s="3" t="inlineStr">
        <is>
          <t>KH005</t>
        </is>
      </c>
      <c r="C857" s="4" t="inlineStr">
        <is>
          <t>ThinkSafe HCM</t>
        </is>
      </c>
      <c r="D857" s="3" t="inlineStr">
        <is>
          <t>HCM</t>
        </is>
      </c>
      <c r="E857" s="3" t="inlineStr">
        <is>
          <t>XUÂN TRANG</t>
        </is>
      </c>
      <c r="F857" s="3" t="inlineStr">
        <is>
          <t>Shopee</t>
        </is>
      </c>
      <c r="G857" s="3" t="inlineStr">
        <is>
          <t>KPC-042</t>
        </is>
      </c>
      <c r="H857" s="4" t="inlineStr">
        <is>
          <t>Kéo cắt ống KPC-042 (NEW)</t>
        </is>
      </c>
      <c r="I857" s="3" t="inlineStr">
        <is>
          <t>Cái</t>
        </is>
      </c>
      <c r="J857" s="5" t="n">
        <v>102000</v>
      </c>
      <c r="K857" s="5" t="n">
        <v>120000</v>
      </c>
      <c r="L857" s="6" t="n">
        <v>148000</v>
      </c>
      <c r="M857" s="5" t="n"/>
      <c r="N857" s="5">
        <f>IF(AND(ISNUMBER(M857),ISNUMBER(L857)),M857-L857,"")</f>
        <v/>
      </c>
      <c r="O857" s="7">
        <f>IF(AND(ISNUMBER(M857),ISNUMBER(L857),L857&gt;0),(M857-L857)/L857,"")</f>
        <v/>
      </c>
      <c r="P857" s="3">
        <f>IF(O857="","",IF(O857&lt;-0.02,"🔴 Bán phá giá sàn",IF(O857&gt;0.05,"🔵 Bán cao hơn","🟢 Đúng giá sàn TMĐT")))</f>
        <v/>
      </c>
      <c r="Q857" s="3" t="n"/>
      <c r="R857" s="4" t="n"/>
      <c r="S857" s="4" t="n"/>
    </row>
    <row r="858">
      <c r="A858" s="3" t="n">
        <v>857</v>
      </c>
      <c r="B858" s="3" t="inlineStr">
        <is>
          <t>KH005</t>
        </is>
      </c>
      <c r="C858" s="4" t="inlineStr">
        <is>
          <t>ThinkSafe HCM</t>
        </is>
      </c>
      <c r="D858" s="3" t="inlineStr">
        <is>
          <t>HCM</t>
        </is>
      </c>
      <c r="E858" s="3" t="inlineStr">
        <is>
          <t>XUÂN TRANG</t>
        </is>
      </c>
      <c r="F858" s="3" t="inlineStr">
        <is>
          <t>Shopee</t>
        </is>
      </c>
      <c r="G858" s="3" t="inlineStr">
        <is>
          <t>KPC-132</t>
        </is>
      </c>
      <c r="H858" s="4" t="inlineStr">
        <is>
          <t>Kéo cắt ống KPC-132</t>
        </is>
      </c>
      <c r="I858" s="3" t="inlineStr">
        <is>
          <t>Cái</t>
        </is>
      </c>
      <c r="J858" s="5" t="n">
        <v>101000</v>
      </c>
      <c r="K858" s="5" t="n">
        <v>119000</v>
      </c>
      <c r="L858" s="6" t="n">
        <v>147000</v>
      </c>
      <c r="M858" s="5" t="n"/>
      <c r="N858" s="5">
        <f>IF(AND(ISNUMBER(M858),ISNUMBER(L858)),M858-L858,"")</f>
        <v/>
      </c>
      <c r="O858" s="7">
        <f>IF(AND(ISNUMBER(M858),ISNUMBER(L858),L858&gt;0),(M858-L858)/L858,"")</f>
        <v/>
      </c>
      <c r="P858" s="3">
        <f>IF(O858="","",IF(O858&lt;-0.02,"🔴 Bán phá giá sàn",IF(O858&gt;0.05,"🔵 Bán cao hơn","🟢 Đúng giá sàn TMĐT")))</f>
        <v/>
      </c>
      <c r="Q858" s="3" t="n"/>
      <c r="R858" s="4" t="n"/>
      <c r="S858" s="4" t="n"/>
    </row>
    <row r="859">
      <c r="A859" s="3" t="n">
        <v>858</v>
      </c>
      <c r="B859" s="3" t="inlineStr">
        <is>
          <t>KH005</t>
        </is>
      </c>
      <c r="C859" s="4" t="inlineStr">
        <is>
          <t>ThinkSafe HCM</t>
        </is>
      </c>
      <c r="D859" s="3" t="inlineStr">
        <is>
          <t>HCM</t>
        </is>
      </c>
      <c r="E859" s="3" t="inlineStr">
        <is>
          <t>XUÂN TRANG</t>
        </is>
      </c>
      <c r="F859" s="3" t="inlineStr">
        <is>
          <t>Shopee</t>
        </is>
      </c>
      <c r="G859" s="3" t="inlineStr">
        <is>
          <t>KPC-242</t>
        </is>
      </c>
      <c r="H859" s="4" t="inlineStr">
        <is>
          <t>Kéo cắt ống KPC-242</t>
        </is>
      </c>
      <c r="I859" s="3" t="inlineStr">
        <is>
          <t>Cái</t>
        </is>
      </c>
      <c r="J859" s="5" t="n">
        <v>172000</v>
      </c>
      <c r="K859" s="5" t="n">
        <v>203000</v>
      </c>
      <c r="L859" s="6" t="n">
        <v>249000</v>
      </c>
      <c r="M859" s="5" t="n"/>
      <c r="N859" s="5">
        <f>IF(AND(ISNUMBER(M859),ISNUMBER(L859)),M859-L859,"")</f>
        <v/>
      </c>
      <c r="O859" s="7">
        <f>IF(AND(ISNUMBER(M859),ISNUMBER(L859),L859&gt;0),(M859-L859)/L859,"")</f>
        <v/>
      </c>
      <c r="P859" s="3">
        <f>IF(O859="","",IF(O859&lt;-0.02,"🔴 Bán phá giá sàn",IF(O859&gt;0.05,"🔵 Bán cao hơn","🟢 Đúng giá sàn TMĐT")))</f>
        <v/>
      </c>
      <c r="Q859" s="3" t="n"/>
      <c r="R859" s="4" t="n"/>
      <c r="S859" s="4" t="n"/>
    </row>
    <row r="860">
      <c r="A860" s="3" t="n">
        <v>859</v>
      </c>
      <c r="B860" s="3" t="inlineStr">
        <is>
          <t>KH005</t>
        </is>
      </c>
      <c r="C860" s="4" t="inlineStr">
        <is>
          <t>ThinkSafe HCM</t>
        </is>
      </c>
      <c r="D860" s="3" t="inlineStr">
        <is>
          <t>HCM</t>
        </is>
      </c>
      <c r="E860" s="3" t="inlineStr">
        <is>
          <t>XUÂN TRANG</t>
        </is>
      </c>
      <c r="F860" s="3" t="inlineStr">
        <is>
          <t>Shopee</t>
        </is>
      </c>
      <c r="G860" s="3" t="inlineStr">
        <is>
          <t>KCT-250</t>
        </is>
      </c>
      <c r="H860" s="4" t="inlineStr">
        <is>
          <t>Kéo cắt thạch cao (tole) KCT-250</t>
        </is>
      </c>
      <c r="I860" s="3" t="inlineStr">
        <is>
          <t>Cái</t>
        </is>
      </c>
      <c r="J860" s="5" t="n">
        <v>105000</v>
      </c>
      <c r="K860" s="5" t="n">
        <v>124000</v>
      </c>
      <c r="L860" s="6" t="n">
        <v>152000</v>
      </c>
      <c r="M860" s="5" t="n"/>
      <c r="N860" s="5">
        <f>IF(AND(ISNUMBER(M860),ISNUMBER(L860)),M860-L860,"")</f>
        <v/>
      </c>
      <c r="O860" s="7">
        <f>IF(AND(ISNUMBER(M860),ISNUMBER(L860),L860&gt;0),(M860-L860)/L860,"")</f>
        <v/>
      </c>
      <c r="P860" s="3">
        <f>IF(O860="","",IF(O860&lt;-0.02,"🔴 Bán phá giá sàn",IF(O860&gt;0.05,"🔵 Bán cao hơn","🟢 Đúng giá sàn TMĐT")))</f>
        <v/>
      </c>
      <c r="Q860" s="3" t="n"/>
      <c r="R860" s="4" t="n"/>
      <c r="S860" s="4" t="n"/>
    </row>
    <row r="861">
      <c r="A861" s="3" t="n">
        <v>860</v>
      </c>
      <c r="B861" s="3" t="inlineStr">
        <is>
          <t>KH005</t>
        </is>
      </c>
      <c r="C861" s="4" t="inlineStr">
        <is>
          <t>ThinkSafe HCM</t>
        </is>
      </c>
      <c r="D861" s="3" t="inlineStr">
        <is>
          <t>HCM</t>
        </is>
      </c>
      <c r="E861" s="3" t="inlineStr">
        <is>
          <t>XUÂN TRANG</t>
        </is>
      </c>
      <c r="F861" s="3" t="inlineStr">
        <is>
          <t>Shopee</t>
        </is>
      </c>
      <c r="G861" s="3" t="inlineStr">
        <is>
          <t>QC1</t>
        </is>
      </c>
      <c r="H861" s="4" t="inlineStr">
        <is>
          <t>Kéo cắt trái cây QC1</t>
        </is>
      </c>
      <c r="I861" s="3" t="inlineStr">
        <is>
          <t>Cái</t>
        </is>
      </c>
      <c r="J861" s="5" t="n">
        <v>38000</v>
      </c>
      <c r="K861" s="5" t="n">
        <v>45000</v>
      </c>
      <c r="L861" s="6" t="n">
        <v>55000</v>
      </c>
      <c r="M861" s="5" t="n"/>
      <c r="N861" s="5">
        <f>IF(AND(ISNUMBER(M861),ISNUMBER(L861)),M861-L861,"")</f>
        <v/>
      </c>
      <c r="O861" s="7">
        <f>IF(AND(ISNUMBER(M861),ISNUMBER(L861),L861&gt;0),(M861-L861)/L861,"")</f>
        <v/>
      </c>
      <c r="P861" s="3">
        <f>IF(O861="","",IF(O861&lt;-0.02,"🔴 Bán phá giá sàn",IF(O861&gt;0.05,"🔵 Bán cao hơn","🟢 Đúng giá sàn TMĐT")))</f>
        <v/>
      </c>
      <c r="Q861" s="3" t="n"/>
      <c r="R861" s="4" t="n"/>
      <c r="S861" s="4" t="n"/>
    </row>
    <row r="862">
      <c r="A862" s="3" t="n">
        <v>861</v>
      </c>
      <c r="B862" s="3" t="inlineStr">
        <is>
          <t>KH005</t>
        </is>
      </c>
      <c r="C862" s="4" t="inlineStr">
        <is>
          <t>ThinkSafe HCM</t>
        </is>
      </c>
      <c r="D862" s="3" t="inlineStr">
        <is>
          <t>HCM</t>
        </is>
      </c>
      <c r="E862" s="3" t="inlineStr">
        <is>
          <t>XUÂN TRANG</t>
        </is>
      </c>
      <c r="F862" s="3" t="inlineStr">
        <is>
          <t>Shopee</t>
        </is>
      </c>
      <c r="G862" s="3" t="inlineStr">
        <is>
          <t>QC2</t>
        </is>
      </c>
      <c r="H862" s="4" t="inlineStr">
        <is>
          <t>Kéo cắt trái cây QC2</t>
        </is>
      </c>
      <c r="I862" s="3" t="inlineStr">
        <is>
          <t>Cái</t>
        </is>
      </c>
      <c r="J862" s="5" t="n">
        <v>65000</v>
      </c>
      <c r="K862" s="5" t="n">
        <v>77000</v>
      </c>
      <c r="L862" s="6" t="n">
        <v>94000</v>
      </c>
      <c r="M862" s="5" t="n"/>
      <c r="N862" s="5">
        <f>IF(AND(ISNUMBER(M862),ISNUMBER(L862)),M862-L862,"")</f>
        <v/>
      </c>
      <c r="O862" s="7">
        <f>IF(AND(ISNUMBER(M862),ISNUMBER(L862),L862&gt;0),(M862-L862)/L862,"")</f>
        <v/>
      </c>
      <c r="P862" s="3">
        <f>IF(O862="","",IF(O862&lt;-0.02,"🔴 Bán phá giá sàn",IF(O862&gt;0.05,"🔵 Bán cao hơn","🟢 Đúng giá sàn TMĐT")))</f>
        <v/>
      </c>
      <c r="Q862" s="3" t="n"/>
      <c r="R862" s="4" t="n"/>
      <c r="S862" s="4" t="n"/>
    </row>
    <row r="863">
      <c r="A863" s="3" t="n">
        <v>862</v>
      </c>
      <c r="B863" s="3" t="inlineStr">
        <is>
          <t>KH005</t>
        </is>
      </c>
      <c r="C863" s="4" t="inlineStr">
        <is>
          <t>ThinkSafe HCM</t>
        </is>
      </c>
      <c r="D863" s="3" t="inlineStr">
        <is>
          <t>HCM</t>
        </is>
      </c>
      <c r="E863" s="3" t="inlineStr">
        <is>
          <t>XUÂN TRANG</t>
        </is>
      </c>
      <c r="F863" s="3" t="inlineStr">
        <is>
          <t>Shopee</t>
        </is>
      </c>
      <c r="G863" s="3" t="inlineStr">
        <is>
          <t>KB001-Q1</t>
        </is>
      </c>
      <c r="H863" s="4" t="inlineStr">
        <is>
          <t>Kéo KB001-Q1</t>
        </is>
      </c>
      <c r="I863" s="3" t="inlineStr">
        <is>
          <t>Cái</t>
        </is>
      </c>
      <c r="J863" s="5" t="n">
        <v>79000</v>
      </c>
      <c r="K863" s="5" t="n">
        <v>93000</v>
      </c>
      <c r="L863" s="6" t="n">
        <v>115000</v>
      </c>
      <c r="M863" s="5" t="n"/>
      <c r="N863" s="5">
        <f>IF(AND(ISNUMBER(M863),ISNUMBER(L863)),M863-L863,"")</f>
        <v/>
      </c>
      <c r="O863" s="7">
        <f>IF(AND(ISNUMBER(M863),ISNUMBER(L863),L863&gt;0),(M863-L863)/L863,"")</f>
        <v/>
      </c>
      <c r="P863" s="3">
        <f>IF(O863="","",IF(O863&lt;-0.02,"🔴 Bán phá giá sàn",IF(O863&gt;0.05,"🔵 Bán cao hơn","🟢 Đúng giá sàn TMĐT")))</f>
        <v/>
      </c>
      <c r="Q863" s="3" t="n"/>
      <c r="R863" s="4" t="n"/>
      <c r="S863" s="4" t="n"/>
    </row>
    <row r="864">
      <c r="A864" s="3" t="n">
        <v>863</v>
      </c>
      <c r="B864" s="3" t="inlineStr">
        <is>
          <t>KH005</t>
        </is>
      </c>
      <c r="C864" s="4" t="inlineStr">
        <is>
          <t>ThinkSafe HCM</t>
        </is>
      </c>
      <c r="D864" s="3" t="inlineStr">
        <is>
          <t>HCM</t>
        </is>
      </c>
      <c r="E864" s="3" t="inlineStr">
        <is>
          <t>XUÂN TRANG</t>
        </is>
      </c>
      <c r="F864" s="3" t="inlineStr">
        <is>
          <t>Shopee</t>
        </is>
      </c>
      <c r="G864" s="3" t="inlineStr">
        <is>
          <t>KB003-Q2</t>
        </is>
      </c>
      <c r="H864" s="4" t="inlineStr">
        <is>
          <t>Kéo KB003-Q2</t>
        </is>
      </c>
      <c r="I864" s="3" t="inlineStr">
        <is>
          <t>Cái</t>
        </is>
      </c>
      <c r="J864" s="5" t="n">
        <v>98000</v>
      </c>
      <c r="K864" s="5" t="n">
        <v>116000</v>
      </c>
      <c r="L864" s="6" t="n">
        <v>142000</v>
      </c>
      <c r="M864" s="5" t="n"/>
      <c r="N864" s="5">
        <f>IF(AND(ISNUMBER(M864),ISNUMBER(L864)),M864-L864,"")</f>
        <v/>
      </c>
      <c r="O864" s="7">
        <f>IF(AND(ISNUMBER(M864),ISNUMBER(L864),L864&gt;0),(M864-L864)/L864,"")</f>
        <v/>
      </c>
      <c r="P864" s="3">
        <f>IF(O864="","",IF(O864&lt;-0.02,"🔴 Bán phá giá sàn",IF(O864&gt;0.05,"🔵 Bán cao hơn","🟢 Đúng giá sàn TMĐT")))</f>
        <v/>
      </c>
      <c r="Q864" s="3" t="n"/>
      <c r="R864" s="4" t="n"/>
      <c r="S864" s="4" t="n"/>
    </row>
    <row r="865">
      <c r="A865" s="3" t="n">
        <v>864</v>
      </c>
      <c r="B865" s="3" t="inlineStr">
        <is>
          <t>KH005</t>
        </is>
      </c>
      <c r="C865" s="4" t="inlineStr">
        <is>
          <t>ThinkSafe HCM</t>
        </is>
      </c>
      <c r="D865" s="3" t="inlineStr">
        <is>
          <t>HCM</t>
        </is>
      </c>
      <c r="E865" s="3" t="inlineStr">
        <is>
          <t>XUÂN TRANG</t>
        </is>
      </c>
      <c r="F865" s="3" t="inlineStr">
        <is>
          <t>Shopee</t>
        </is>
      </c>
      <c r="G865" s="3" t="inlineStr">
        <is>
          <t>KB004-Q3</t>
        </is>
      </c>
      <c r="H865" s="4" t="inlineStr">
        <is>
          <t>Kéo KB004-Q3</t>
        </is>
      </c>
      <c r="I865" s="3" t="inlineStr">
        <is>
          <t>Cái</t>
        </is>
      </c>
      <c r="J865" s="5" t="n">
        <v>103000</v>
      </c>
      <c r="K865" s="5" t="n">
        <v>121000</v>
      </c>
      <c r="L865" s="6" t="n">
        <v>149000</v>
      </c>
      <c r="M865" s="5" t="n"/>
      <c r="N865" s="5">
        <f>IF(AND(ISNUMBER(M865),ISNUMBER(L865)),M865-L865,"")</f>
        <v/>
      </c>
      <c r="O865" s="7">
        <f>IF(AND(ISNUMBER(M865),ISNUMBER(L865),L865&gt;0),(M865-L865)/L865,"")</f>
        <v/>
      </c>
      <c r="P865" s="3">
        <f>IF(O865="","",IF(O865&lt;-0.02,"🔴 Bán phá giá sàn",IF(O865&gt;0.05,"🔵 Bán cao hơn","🟢 Đúng giá sàn TMĐT")))</f>
        <v/>
      </c>
      <c r="Q865" s="3" t="n"/>
      <c r="R865" s="4" t="n"/>
      <c r="S865" s="4" t="n"/>
    </row>
    <row r="866">
      <c r="A866" s="3" t="n">
        <v>865</v>
      </c>
      <c r="B866" s="3" t="inlineStr">
        <is>
          <t>KH005</t>
        </is>
      </c>
      <c r="C866" s="4" t="inlineStr">
        <is>
          <t>ThinkSafe HCM</t>
        </is>
      </c>
      <c r="D866" s="3" t="inlineStr">
        <is>
          <t>HCM</t>
        </is>
      </c>
      <c r="E866" s="3" t="inlineStr">
        <is>
          <t>XUÂN TRANG</t>
        </is>
      </c>
      <c r="F866" s="3" t="inlineStr">
        <is>
          <t>Shopee</t>
        </is>
      </c>
      <c r="G866" s="3" t="inlineStr">
        <is>
          <t>KB006-Q5</t>
        </is>
      </c>
      <c r="H866" s="4" t="inlineStr">
        <is>
          <t>Kéo KB006-Q5</t>
        </is>
      </c>
      <c r="I866" s="3" t="inlineStr">
        <is>
          <t>Cái</t>
        </is>
      </c>
      <c r="J866" s="5" t="n">
        <v>128000</v>
      </c>
      <c r="K866" s="5" t="n">
        <v>151000</v>
      </c>
      <c r="L866" s="6" t="n">
        <v>186000</v>
      </c>
      <c r="M866" s="5" t="n"/>
      <c r="N866" s="5">
        <f>IF(AND(ISNUMBER(M866),ISNUMBER(L866)),M866-L866,"")</f>
        <v/>
      </c>
      <c r="O866" s="7">
        <f>IF(AND(ISNUMBER(M866),ISNUMBER(L866),L866&gt;0),(M866-L866)/L866,"")</f>
        <v/>
      </c>
      <c r="P866" s="3">
        <f>IF(O866="","",IF(O866&lt;-0.02,"🔴 Bán phá giá sàn",IF(O866&gt;0.05,"🔵 Bán cao hơn","🟢 Đúng giá sàn TMĐT")))</f>
        <v/>
      </c>
      <c r="Q866" s="3" t="n"/>
      <c r="R866" s="4" t="n"/>
      <c r="S866" s="4" t="n"/>
    </row>
    <row r="867">
      <c r="A867" s="3" t="n">
        <v>866</v>
      </c>
      <c r="B867" s="3" t="inlineStr">
        <is>
          <t>KH005</t>
        </is>
      </c>
      <c r="C867" s="4" t="inlineStr">
        <is>
          <t>ThinkSafe HCM</t>
        </is>
      </c>
      <c r="D867" s="3" t="inlineStr">
        <is>
          <t>HCM</t>
        </is>
      </c>
      <c r="E867" s="3" t="inlineStr">
        <is>
          <t>XUÂN TRANG</t>
        </is>
      </c>
      <c r="F867" s="3" t="inlineStr">
        <is>
          <t>Shopee</t>
        </is>
      </c>
      <c r="G867" s="3" t="inlineStr">
        <is>
          <t>KB006-Q6</t>
        </is>
      </c>
      <c r="H867" s="4" t="inlineStr">
        <is>
          <t>Kéo KB006-Q6</t>
        </is>
      </c>
      <c r="I867" s="3" t="inlineStr">
        <is>
          <t>Cái</t>
        </is>
      </c>
      <c r="J867" s="5" t="n">
        <v>141000</v>
      </c>
      <c r="K867" s="5" t="n">
        <v>167000</v>
      </c>
      <c r="L867" s="6" t="n">
        <v>205000</v>
      </c>
      <c r="M867" s="5" t="n"/>
      <c r="N867" s="5">
        <f>IF(AND(ISNUMBER(M867),ISNUMBER(L867)),M867-L867,"")</f>
        <v/>
      </c>
      <c r="O867" s="7">
        <f>IF(AND(ISNUMBER(M867),ISNUMBER(L867),L867&gt;0),(M867-L867)/L867,"")</f>
        <v/>
      </c>
      <c r="P867" s="3">
        <f>IF(O867="","",IF(O867&lt;-0.02,"🔴 Bán phá giá sàn",IF(O867&gt;0.05,"🔵 Bán cao hơn","🟢 Đúng giá sàn TMĐT")))</f>
        <v/>
      </c>
      <c r="Q867" s="3" t="n"/>
      <c r="R867" s="4" t="n"/>
      <c r="S867" s="4" t="n"/>
    </row>
    <row r="868">
      <c r="A868" s="3" t="n">
        <v>867</v>
      </c>
      <c r="B868" s="3" t="inlineStr">
        <is>
          <t>KH005</t>
        </is>
      </c>
      <c r="C868" s="4" t="inlineStr">
        <is>
          <t>ThinkSafe HCM</t>
        </is>
      </c>
      <c r="D868" s="3" t="inlineStr">
        <is>
          <t>HCM</t>
        </is>
      </c>
      <c r="E868" s="3" t="inlineStr">
        <is>
          <t>XUÂN TRANG</t>
        </is>
      </c>
      <c r="F868" s="3" t="inlineStr">
        <is>
          <t>Shopee</t>
        </is>
      </c>
      <c r="G868" s="3" t="inlineStr">
        <is>
          <t>NG107</t>
        </is>
      </c>
      <c r="H868" s="4" t="inlineStr">
        <is>
          <t>Kích nâng gạch NG107</t>
        </is>
      </c>
      <c r="I868" s="3" t="inlineStr">
        <is>
          <t>Cái</t>
        </is>
      </c>
      <c r="J868" s="5" t="n">
        <v>105000</v>
      </c>
      <c r="K868" s="5" t="n">
        <v>124000</v>
      </c>
      <c r="L868" s="6" t="n">
        <v>152000</v>
      </c>
      <c r="M868" s="5" t="n"/>
      <c r="N868" s="5">
        <f>IF(AND(ISNUMBER(M868),ISNUMBER(L868)),M868-L868,"")</f>
        <v/>
      </c>
      <c r="O868" s="7">
        <f>IF(AND(ISNUMBER(M868),ISNUMBER(L868),L868&gt;0),(M868-L868)/L868,"")</f>
        <v/>
      </c>
      <c r="P868" s="3">
        <f>IF(O868="","",IF(O868&lt;-0.02,"🔴 Bán phá giá sàn",IF(O868&gt;0.05,"🔵 Bán cao hơn","🟢 Đúng giá sàn TMĐT")))</f>
        <v/>
      </c>
      <c r="Q868" s="3" t="n"/>
      <c r="R868" s="4" t="n"/>
      <c r="S868" s="4" t="n"/>
    </row>
    <row r="869">
      <c r="A869" s="3" t="n">
        <v>868</v>
      </c>
      <c r="B869" s="3" t="inlineStr">
        <is>
          <t>KH005</t>
        </is>
      </c>
      <c r="C869" s="4" t="inlineStr">
        <is>
          <t>ThinkSafe HCM</t>
        </is>
      </c>
      <c r="D869" s="3" t="inlineStr">
        <is>
          <t>HCM</t>
        </is>
      </c>
      <c r="E869" s="3" t="inlineStr">
        <is>
          <t>XUÂN TRANG</t>
        </is>
      </c>
      <c r="F869" s="3" t="inlineStr">
        <is>
          <t>Shopee</t>
        </is>
      </c>
      <c r="G869" s="3" t="inlineStr">
        <is>
          <t>KND185</t>
        </is>
      </c>
      <c r="H869" s="4" t="inlineStr">
        <is>
          <t>Kìm bấm Cos vuông KND185</t>
        </is>
      </c>
      <c r="I869" s="3" t="inlineStr">
        <is>
          <t>Cái</t>
        </is>
      </c>
      <c r="J869" s="5" t="n">
        <v>182000</v>
      </c>
      <c r="K869" s="5" t="n">
        <v>215000</v>
      </c>
      <c r="L869" s="6" t="n">
        <v>264000</v>
      </c>
      <c r="M869" s="5" t="n"/>
      <c r="N869" s="5">
        <f>IF(AND(ISNUMBER(M869),ISNUMBER(L869)),M869-L869,"")</f>
        <v/>
      </c>
      <c r="O869" s="7">
        <f>IF(AND(ISNUMBER(M869),ISNUMBER(L869),L869&gt;0),(M869-L869)/L869,"")</f>
        <v/>
      </c>
      <c r="P869" s="3">
        <f>IF(O869="","",IF(O869&lt;-0.02,"🔴 Bán phá giá sàn",IF(O869&gt;0.05,"🔵 Bán cao hơn","🟢 Đúng giá sàn TMĐT")))</f>
        <v/>
      </c>
      <c r="Q869" s="3" t="n"/>
      <c r="R869" s="4" t="n"/>
      <c r="S869" s="4" t="n"/>
    </row>
    <row r="870">
      <c r="A870" s="3" t="n">
        <v>869</v>
      </c>
      <c r="B870" s="3" t="inlineStr">
        <is>
          <t>KH005</t>
        </is>
      </c>
      <c r="C870" s="4" t="inlineStr">
        <is>
          <t>ThinkSafe HCM</t>
        </is>
      </c>
      <c r="D870" s="3" t="inlineStr">
        <is>
          <t>HCM</t>
        </is>
      </c>
      <c r="E870" s="3" t="inlineStr">
        <is>
          <t>XUÂN TRANG</t>
        </is>
      </c>
      <c r="F870" s="3" t="inlineStr">
        <is>
          <t>Shopee</t>
        </is>
      </c>
      <c r="G870" s="3" t="inlineStr">
        <is>
          <t>KND150</t>
        </is>
      </c>
      <c r="H870" s="4" t="inlineStr">
        <is>
          <t>Kìm cắt chân mạch đa năng KND150</t>
        </is>
      </c>
      <c r="I870" s="3" t="inlineStr">
        <is>
          <t>Cái</t>
        </is>
      </c>
      <c r="J870" s="5" t="n">
        <v>64000</v>
      </c>
      <c r="K870" s="5" t="n">
        <v>76000</v>
      </c>
      <c r="L870" s="6" t="n">
        <v>93000</v>
      </c>
      <c r="M870" s="5" t="n"/>
      <c r="N870" s="5">
        <f>IF(AND(ISNUMBER(M870),ISNUMBER(L870)),M870-L870,"")</f>
        <v/>
      </c>
      <c r="O870" s="7">
        <f>IF(AND(ISNUMBER(M870),ISNUMBER(L870),L870&gt;0),(M870-L870)/L870,"")</f>
        <v/>
      </c>
      <c r="P870" s="3">
        <f>IF(O870="","",IF(O870&lt;-0.02,"🔴 Bán phá giá sàn",IF(O870&gt;0.05,"🔵 Bán cao hơn","🟢 Đúng giá sàn TMĐT")))</f>
        <v/>
      </c>
      <c r="Q870" s="3" t="n"/>
      <c r="R870" s="4" t="n"/>
      <c r="S870" s="4" t="n"/>
    </row>
    <row r="871">
      <c r="A871" s="3" t="n">
        <v>870</v>
      </c>
      <c r="B871" s="3" t="inlineStr">
        <is>
          <t>KH005</t>
        </is>
      </c>
      <c r="C871" s="4" t="inlineStr">
        <is>
          <t>ThinkSafe HCM</t>
        </is>
      </c>
      <c r="D871" s="3" t="inlineStr">
        <is>
          <t>HCM</t>
        </is>
      </c>
      <c r="E871" s="3" t="inlineStr">
        <is>
          <t>XUÂN TRANG</t>
        </is>
      </c>
      <c r="F871" s="3" t="inlineStr">
        <is>
          <t>Shopee</t>
        </is>
      </c>
      <c r="G871" s="3" t="inlineStr">
        <is>
          <t>KC3-09</t>
        </is>
      </c>
      <c r="H871" s="4" t="inlineStr">
        <is>
          <t>Kìm cắt đa năng KC3-09</t>
        </is>
      </c>
      <c r="I871" s="3" t="inlineStr">
        <is>
          <t>Cái</t>
        </is>
      </c>
      <c r="J871" s="5" t="n">
        <v>269000</v>
      </c>
      <c r="K871" s="5" t="n">
        <v>317000</v>
      </c>
      <c r="L871" s="6" t="n">
        <v>390000</v>
      </c>
      <c r="M871" s="5" t="n"/>
      <c r="N871" s="5">
        <f>IF(AND(ISNUMBER(M871),ISNUMBER(L871)),M871-L871,"")</f>
        <v/>
      </c>
      <c r="O871" s="7">
        <f>IF(AND(ISNUMBER(M871),ISNUMBER(L871),L871&gt;0),(M871-L871)/L871,"")</f>
        <v/>
      </c>
      <c r="P871" s="3">
        <f>IF(O871="","",IF(O871&lt;-0.02,"🔴 Bán phá giá sàn",IF(O871&gt;0.05,"🔵 Bán cao hơn","🟢 Đúng giá sàn TMĐT")))</f>
        <v/>
      </c>
      <c r="Q871" s="3" t="n"/>
      <c r="R871" s="4" t="n"/>
      <c r="S871" s="4" t="n"/>
    </row>
    <row r="872">
      <c r="A872" s="3" t="n">
        <v>871</v>
      </c>
      <c r="B872" s="3" t="inlineStr">
        <is>
          <t>KH005</t>
        </is>
      </c>
      <c r="C872" s="4" t="inlineStr">
        <is>
          <t>ThinkSafe HCM</t>
        </is>
      </c>
      <c r="D872" s="3" t="inlineStr">
        <is>
          <t>HCM</t>
        </is>
      </c>
      <c r="E872" s="3" t="inlineStr">
        <is>
          <t>XUÂN TRANG</t>
        </is>
      </c>
      <c r="F872" s="3" t="inlineStr">
        <is>
          <t>Shopee</t>
        </is>
      </c>
      <c r="G872" s="3" t="inlineStr">
        <is>
          <t>KND200</t>
        </is>
      </c>
      <c r="H872" s="4" t="inlineStr">
        <is>
          <t>Kìm cắt tuốt đa năng 5 in1 KND200</t>
        </is>
      </c>
      <c r="I872" s="3" t="inlineStr">
        <is>
          <t>Cái</t>
        </is>
      </c>
      <c r="J872" s="5" t="n">
        <v>72000</v>
      </c>
      <c r="K872" s="5" t="n">
        <v>85000</v>
      </c>
      <c r="L872" s="6" t="n">
        <v>104000</v>
      </c>
      <c r="M872" s="5" t="n"/>
      <c r="N872" s="5">
        <f>IF(AND(ISNUMBER(M872),ISNUMBER(L872)),M872-L872,"")</f>
        <v/>
      </c>
      <c r="O872" s="7">
        <f>IF(AND(ISNUMBER(M872),ISNUMBER(L872),L872&gt;0),(M872-L872)/L872,"")</f>
        <v/>
      </c>
      <c r="P872" s="3">
        <f>IF(O872="","",IF(O872&lt;-0.02,"🔴 Bán phá giá sàn",IF(O872&gt;0.05,"🔵 Bán cao hơn","🟢 Đúng giá sàn TMĐT")))</f>
        <v/>
      </c>
      <c r="Q872" s="3" t="n"/>
      <c r="R872" s="4" t="n"/>
      <c r="S872" s="4" t="n"/>
    </row>
    <row r="873">
      <c r="A873" s="3" t="n">
        <v>872</v>
      </c>
      <c r="B873" s="3" t="inlineStr">
        <is>
          <t>KH005</t>
        </is>
      </c>
      <c r="C873" s="4" t="inlineStr">
        <is>
          <t>ThinkSafe HCM</t>
        </is>
      </c>
      <c r="D873" s="3" t="inlineStr">
        <is>
          <t>HCM</t>
        </is>
      </c>
      <c r="E873" s="3" t="inlineStr">
        <is>
          <t>XUÂN TRANG</t>
        </is>
      </c>
      <c r="F873" s="3" t="inlineStr">
        <is>
          <t>Shopee</t>
        </is>
      </c>
      <c r="G873" s="3" t="inlineStr">
        <is>
          <t>KCL-200</t>
        </is>
      </c>
      <c r="H873" s="4" t="inlineStr">
        <is>
          <t>Kìm cộng lực mini KCL-200</t>
        </is>
      </c>
      <c r="I873" s="3" t="inlineStr">
        <is>
          <t>Cái</t>
        </is>
      </c>
      <c r="J873" s="5" t="n">
        <v>269000</v>
      </c>
      <c r="K873" s="5" t="n">
        <v>317000</v>
      </c>
      <c r="L873" s="6" t="n">
        <v>390000</v>
      </c>
      <c r="M873" s="5" t="n"/>
      <c r="N873" s="5">
        <f>IF(AND(ISNUMBER(M873),ISNUMBER(L873)),M873-L873,"")</f>
        <v/>
      </c>
      <c r="O873" s="7">
        <f>IF(AND(ISNUMBER(M873),ISNUMBER(L873),L873&gt;0),(M873-L873)/L873,"")</f>
        <v/>
      </c>
      <c r="P873" s="3">
        <f>IF(O873="","",IF(O873&lt;-0.02,"🔴 Bán phá giá sàn",IF(O873&gt;0.05,"🔵 Bán cao hơn","🟢 Đúng giá sàn TMĐT")))</f>
        <v/>
      </c>
      <c r="Q873" s="3" t="n"/>
      <c r="R873" s="4" t="n"/>
      <c r="S873" s="4" t="n"/>
    </row>
    <row r="874">
      <c r="A874" s="3" t="n">
        <v>873</v>
      </c>
      <c r="B874" s="3" t="inlineStr">
        <is>
          <t>KH005</t>
        </is>
      </c>
      <c r="C874" s="4" t="inlineStr">
        <is>
          <t>ThinkSafe HCM</t>
        </is>
      </c>
      <c r="D874" s="3" t="inlineStr">
        <is>
          <t>HCM</t>
        </is>
      </c>
      <c r="E874" s="3" t="inlineStr">
        <is>
          <t>XUÂN TRANG</t>
        </is>
      </c>
      <c r="F874" s="3" t="inlineStr">
        <is>
          <t>Shopee</t>
        </is>
      </c>
      <c r="G874" s="3" t="inlineStr">
        <is>
          <t>KCL-200</t>
        </is>
      </c>
      <c r="H874" s="4" t="inlineStr">
        <is>
          <t>Kìm cộng lực mini KCL-200 pro</t>
        </is>
      </c>
      <c r="I874" s="3" t="inlineStr">
        <is>
          <t>Cái</t>
        </is>
      </c>
      <c r="J874" s="5" t="n">
        <v>269000</v>
      </c>
      <c r="K874" s="5" t="n">
        <v>317000</v>
      </c>
      <c r="L874" s="6" t="n">
        <v>390000</v>
      </c>
      <c r="M874" s="5" t="n"/>
      <c r="N874" s="5">
        <f>IF(AND(ISNUMBER(M874),ISNUMBER(L874)),M874-L874,"")</f>
        <v/>
      </c>
      <c r="O874" s="7">
        <f>IF(AND(ISNUMBER(M874),ISNUMBER(L874),L874&gt;0),(M874-L874)/L874,"")</f>
        <v/>
      </c>
      <c r="P874" s="3">
        <f>IF(O874="","",IF(O874&lt;-0.02,"🔴 Bán phá giá sàn",IF(O874&gt;0.05,"🔵 Bán cao hơn","🟢 Đúng giá sàn TMĐT")))</f>
        <v/>
      </c>
      <c r="Q874" s="3" t="n"/>
      <c r="R874" s="4" t="n"/>
      <c r="S874" s="4" t="n"/>
    </row>
    <row r="875">
      <c r="A875" s="3" t="n">
        <v>874</v>
      </c>
      <c r="B875" s="3" t="inlineStr">
        <is>
          <t>KH005</t>
        </is>
      </c>
      <c r="C875" s="4" t="inlineStr">
        <is>
          <t>ThinkSafe HCM</t>
        </is>
      </c>
      <c r="D875" s="3" t="inlineStr">
        <is>
          <t>HCM</t>
        </is>
      </c>
      <c r="E875" s="3" t="inlineStr">
        <is>
          <t>XUÂN TRANG</t>
        </is>
      </c>
      <c r="F875" s="3" t="inlineStr">
        <is>
          <t>Shopee</t>
        </is>
      </c>
      <c r="G875" s="3" t="inlineStr">
        <is>
          <t>KS1-250</t>
        </is>
      </c>
      <c r="H875" s="4" t="inlineStr">
        <is>
          <t>Kìm chết KS1-250</t>
        </is>
      </c>
      <c r="I875" s="3" t="inlineStr">
        <is>
          <t>Cái</t>
        </is>
      </c>
      <c r="J875" s="5" t="n">
        <v>132000</v>
      </c>
      <c r="K875" s="5" t="n">
        <v>156000</v>
      </c>
      <c r="L875" s="6" t="n">
        <v>191000</v>
      </c>
      <c r="M875" s="5" t="n"/>
      <c r="N875" s="5">
        <f>IF(AND(ISNUMBER(M875),ISNUMBER(L875)),M875-L875,"")</f>
        <v/>
      </c>
      <c r="O875" s="7">
        <f>IF(AND(ISNUMBER(M875),ISNUMBER(L875),L875&gt;0),(M875-L875)/L875,"")</f>
        <v/>
      </c>
      <c r="P875" s="3">
        <f>IF(O875="","",IF(O875&lt;-0.02,"🔴 Bán phá giá sàn",IF(O875&gt;0.05,"🔵 Bán cao hơn","🟢 Đúng giá sàn TMĐT")))</f>
        <v/>
      </c>
      <c r="Q875" s="3" t="n"/>
      <c r="R875" s="4" t="n"/>
      <c r="S875" s="4" t="n"/>
    </row>
    <row r="876">
      <c r="A876" s="3" t="n">
        <v>875</v>
      </c>
      <c r="B876" s="3" t="inlineStr">
        <is>
          <t>KH005</t>
        </is>
      </c>
      <c r="C876" s="4" t="inlineStr">
        <is>
          <t>ThinkSafe HCM</t>
        </is>
      </c>
      <c r="D876" s="3" t="inlineStr">
        <is>
          <t>HCM</t>
        </is>
      </c>
      <c r="E876" s="3" t="inlineStr">
        <is>
          <t>XUÂN TRANG</t>
        </is>
      </c>
      <c r="F876" s="3" t="inlineStr">
        <is>
          <t>Shopee</t>
        </is>
      </c>
      <c r="G876" s="3" t="inlineStr">
        <is>
          <t>KS2-250</t>
        </is>
      </c>
      <c r="H876" s="4" t="inlineStr">
        <is>
          <t>Kìm chết KS2-250</t>
        </is>
      </c>
      <c r="I876" s="3" t="inlineStr">
        <is>
          <t>Cái</t>
        </is>
      </c>
      <c r="J876" s="5" t="n">
        <v>149000</v>
      </c>
      <c r="K876" s="5" t="n">
        <v>176000</v>
      </c>
      <c r="L876" s="6" t="n">
        <v>216000</v>
      </c>
      <c r="M876" s="5" t="n"/>
      <c r="N876" s="5">
        <f>IF(AND(ISNUMBER(M876),ISNUMBER(L876)),M876-L876,"")</f>
        <v/>
      </c>
      <c r="O876" s="7">
        <f>IF(AND(ISNUMBER(M876),ISNUMBER(L876),L876&gt;0),(M876-L876)/L876,"")</f>
        <v/>
      </c>
      <c r="P876" s="3">
        <f>IF(O876="","",IF(O876&lt;-0.02,"🔴 Bán phá giá sàn",IF(O876&gt;0.05,"🔵 Bán cao hơn","🟢 Đúng giá sàn TMĐT")))</f>
        <v/>
      </c>
      <c r="Q876" s="3" t="n"/>
      <c r="R876" s="4" t="n"/>
      <c r="S876" s="4" t="n"/>
    </row>
    <row r="877">
      <c r="A877" s="3" t="n">
        <v>876</v>
      </c>
      <c r="B877" s="3" t="inlineStr">
        <is>
          <t>KH005</t>
        </is>
      </c>
      <c r="C877" s="4" t="inlineStr">
        <is>
          <t>ThinkSafe HCM</t>
        </is>
      </c>
      <c r="D877" s="3" t="inlineStr">
        <is>
          <t>HCM</t>
        </is>
      </c>
      <c r="E877" s="3" t="inlineStr">
        <is>
          <t>XUÂN TRANG</t>
        </is>
      </c>
      <c r="F877" s="3" t="inlineStr">
        <is>
          <t>Shopee</t>
        </is>
      </c>
      <c r="G877" s="3" t="inlineStr">
        <is>
          <t>KS4-260</t>
        </is>
      </c>
      <c r="H877" s="4" t="inlineStr">
        <is>
          <t>Kìm chết ngàm rộng 4 chế độ KS4-260</t>
        </is>
      </c>
      <c r="I877" s="3" t="inlineStr">
        <is>
          <t>Cái</t>
        </is>
      </c>
      <c r="J877" s="5" t="n">
        <v>270000</v>
      </c>
      <c r="K877" s="5" t="n">
        <v>319000</v>
      </c>
      <c r="L877" s="6" t="n">
        <v>392000</v>
      </c>
      <c r="M877" s="5" t="n"/>
      <c r="N877" s="5">
        <f>IF(AND(ISNUMBER(M877),ISNUMBER(L877)),M877-L877,"")</f>
        <v/>
      </c>
      <c r="O877" s="7">
        <f>IF(AND(ISNUMBER(M877),ISNUMBER(L877),L877&gt;0),(M877-L877)/L877,"")</f>
        <v/>
      </c>
      <c r="P877" s="3">
        <f>IF(O877="","",IF(O877&lt;-0.02,"🔴 Bán phá giá sàn",IF(O877&gt;0.05,"🔵 Bán cao hơn","🟢 Đúng giá sàn TMĐT")))</f>
        <v/>
      </c>
      <c r="Q877" s="3" t="n"/>
      <c r="R877" s="4" t="n"/>
      <c r="S877" s="4" t="n"/>
    </row>
    <row r="878">
      <c r="A878" s="3" t="n">
        <v>877</v>
      </c>
      <c r="B878" s="3" t="inlineStr">
        <is>
          <t>KH005</t>
        </is>
      </c>
      <c r="C878" s="4" t="inlineStr">
        <is>
          <t>ThinkSafe HCM</t>
        </is>
      </c>
      <c r="D878" s="3" t="inlineStr">
        <is>
          <t>HCM</t>
        </is>
      </c>
      <c r="E878" s="3" t="inlineStr">
        <is>
          <t>XUÂN TRANG</t>
        </is>
      </c>
      <c r="F878" s="3" t="inlineStr">
        <is>
          <t>Shopee</t>
        </is>
      </c>
      <c r="G878" s="3" t="inlineStr">
        <is>
          <t>KC1-09</t>
        </is>
      </c>
      <c r="H878" s="4" t="inlineStr">
        <is>
          <t>Kìm điện đa năng KC1-09</t>
        </is>
      </c>
      <c r="I878" s="3" t="inlineStr">
        <is>
          <t>Cái</t>
        </is>
      </c>
      <c r="J878" s="5" t="n">
        <v>127000</v>
      </c>
      <c r="K878" s="5" t="n">
        <v>150000</v>
      </c>
      <c r="L878" s="6" t="n">
        <v>184000</v>
      </c>
      <c r="M878" s="5" t="n"/>
      <c r="N878" s="5">
        <f>IF(AND(ISNUMBER(M878),ISNUMBER(L878)),M878-L878,"")</f>
        <v/>
      </c>
      <c r="O878" s="7">
        <f>IF(AND(ISNUMBER(M878),ISNUMBER(L878),L878&gt;0),(M878-L878)/L878,"")</f>
        <v/>
      </c>
      <c r="P878" s="3">
        <f>IF(O878="","",IF(O878&lt;-0.02,"🔴 Bán phá giá sàn",IF(O878&gt;0.05,"🔵 Bán cao hơn","🟢 Đúng giá sàn TMĐT")))</f>
        <v/>
      </c>
      <c r="Q878" s="3" t="n"/>
      <c r="R878" s="4" t="n"/>
      <c r="S878" s="4" t="n"/>
    </row>
    <row r="879">
      <c r="A879" s="3" t="n">
        <v>878</v>
      </c>
      <c r="B879" s="3" t="inlineStr">
        <is>
          <t>KH005</t>
        </is>
      </c>
      <c r="C879" s="4" t="inlineStr">
        <is>
          <t>ThinkSafe HCM</t>
        </is>
      </c>
      <c r="D879" s="3" t="inlineStr">
        <is>
          <t>HCM</t>
        </is>
      </c>
      <c r="E879" s="3" t="inlineStr">
        <is>
          <t>XUÂN TRANG</t>
        </is>
      </c>
      <c r="F879" s="3" t="inlineStr">
        <is>
          <t>Shopee</t>
        </is>
      </c>
      <c r="G879" s="3" t="inlineStr">
        <is>
          <t>KC1-06</t>
        </is>
      </c>
      <c r="H879" s="4" t="inlineStr">
        <is>
          <t>Kìm điện KC1-06</t>
        </is>
      </c>
      <c r="I879" s="3" t="inlineStr">
        <is>
          <t>Cái</t>
        </is>
      </c>
      <c r="J879" s="5" t="n">
        <v>269000</v>
      </c>
      <c r="K879" s="5" t="n">
        <v>317000</v>
      </c>
      <c r="L879" s="6" t="n">
        <v>390000</v>
      </c>
      <c r="M879" s="5" t="n"/>
      <c r="N879" s="5">
        <f>IF(AND(ISNUMBER(M879),ISNUMBER(L879)),M879-L879,"")</f>
        <v/>
      </c>
      <c r="O879" s="7">
        <f>IF(AND(ISNUMBER(M879),ISNUMBER(L879),L879&gt;0),(M879-L879)/L879,"")</f>
        <v/>
      </c>
      <c r="P879" s="3">
        <f>IF(O879="","",IF(O879&lt;-0.02,"🔴 Bán phá giá sàn",IF(O879&gt;0.05,"🔵 Bán cao hơn","🟢 Đúng giá sàn TMĐT")))</f>
        <v/>
      </c>
      <c r="Q879" s="3" t="n"/>
      <c r="R879" s="4" t="n"/>
      <c r="S879" s="4" t="n"/>
    </row>
    <row r="880">
      <c r="A880" s="3" t="n">
        <v>879</v>
      </c>
      <c r="B880" s="3" t="inlineStr">
        <is>
          <t>KH005</t>
        </is>
      </c>
      <c r="C880" s="4" t="inlineStr">
        <is>
          <t>ThinkSafe HCM</t>
        </is>
      </c>
      <c r="D880" s="3" t="inlineStr">
        <is>
          <t>HCM</t>
        </is>
      </c>
      <c r="E880" s="3" t="inlineStr">
        <is>
          <t>XUÂN TRANG</t>
        </is>
      </c>
      <c r="F880" s="3" t="inlineStr">
        <is>
          <t>Shopee</t>
        </is>
      </c>
      <c r="G880" s="3" t="inlineStr">
        <is>
          <t>800-1000A</t>
        </is>
      </c>
      <c r="H880" s="4" t="inlineStr">
        <is>
          <t>Kìm hàn  KCH-800  (800-1000A)</t>
        </is>
      </c>
      <c r="I880" s="3" t="inlineStr">
        <is>
          <t>Cái</t>
        </is>
      </c>
      <c r="J880" s="5" t="n">
        <v>269000</v>
      </c>
      <c r="K880" s="5" t="n">
        <v>317000</v>
      </c>
      <c r="L880" s="6" t="n">
        <v>390000</v>
      </c>
      <c r="M880" s="5" t="n"/>
      <c r="N880" s="5">
        <f>IF(AND(ISNUMBER(M880),ISNUMBER(L880)),M880-L880,"")</f>
        <v/>
      </c>
      <c r="O880" s="7">
        <f>IF(AND(ISNUMBER(M880),ISNUMBER(L880),L880&gt;0),(M880-L880)/L880,"")</f>
        <v/>
      </c>
      <c r="P880" s="3">
        <f>IF(O880="","",IF(O880&lt;-0.02,"🔴 Bán phá giá sàn",IF(O880&gt;0.05,"🔵 Bán cao hơn","🟢 Đúng giá sàn TMĐT")))</f>
        <v/>
      </c>
      <c r="Q880" s="3" t="n"/>
      <c r="R880" s="4" t="n"/>
      <c r="S880" s="4" t="n"/>
    </row>
    <row r="881">
      <c r="A881" s="3" t="n">
        <v>880</v>
      </c>
      <c r="B881" s="3" t="inlineStr">
        <is>
          <t>KH005</t>
        </is>
      </c>
      <c r="C881" s="4" t="inlineStr">
        <is>
          <t>ThinkSafe HCM</t>
        </is>
      </c>
      <c r="D881" s="3" t="inlineStr">
        <is>
          <t>HCM</t>
        </is>
      </c>
      <c r="E881" s="3" t="inlineStr">
        <is>
          <t>XUÂN TRANG</t>
        </is>
      </c>
      <c r="F881" s="3" t="inlineStr">
        <is>
          <t>Shopee</t>
        </is>
      </c>
      <c r="G881" s="3" t="inlineStr">
        <is>
          <t>KC2-09</t>
        </is>
      </c>
      <c r="H881" s="4" t="inlineStr">
        <is>
          <t>Kìm mỏ nhọn đa năng KC2-09</t>
        </is>
      </c>
      <c r="I881" s="3" t="inlineStr">
        <is>
          <t>Cái</t>
        </is>
      </c>
      <c r="J881" s="5" t="n">
        <v>127000</v>
      </c>
      <c r="K881" s="5" t="n">
        <v>150000</v>
      </c>
      <c r="L881" s="6" t="n">
        <v>184000</v>
      </c>
      <c r="M881" s="5" t="n"/>
      <c r="N881" s="5">
        <f>IF(AND(ISNUMBER(M881),ISNUMBER(L881)),M881-L881,"")</f>
        <v/>
      </c>
      <c r="O881" s="7">
        <f>IF(AND(ISNUMBER(M881),ISNUMBER(L881),L881&gt;0),(M881-L881)/L881,"")</f>
        <v/>
      </c>
      <c r="P881" s="3">
        <f>IF(O881="","",IF(O881&lt;-0.02,"🔴 Bán phá giá sàn",IF(O881&gt;0.05,"🔵 Bán cao hơn","🟢 Đúng giá sàn TMĐT")))</f>
        <v/>
      </c>
      <c r="Q881" s="3" t="n"/>
      <c r="R881" s="4" t="n"/>
      <c r="S881" s="4" t="n"/>
    </row>
    <row r="882">
      <c r="A882" s="3" t="n">
        <v>881</v>
      </c>
      <c r="B882" s="3" t="inlineStr">
        <is>
          <t>KH005</t>
        </is>
      </c>
      <c r="C882" s="4" t="inlineStr">
        <is>
          <t>ThinkSafe HCM</t>
        </is>
      </c>
      <c r="D882" s="3" t="inlineStr">
        <is>
          <t>HCM</t>
        </is>
      </c>
      <c r="E882" s="3" t="inlineStr">
        <is>
          <t>XUÂN TRANG</t>
        </is>
      </c>
      <c r="F882" s="3" t="inlineStr">
        <is>
          <t>Shopee</t>
        </is>
      </c>
      <c r="G882" s="3" t="inlineStr">
        <is>
          <t>KC4-250</t>
        </is>
      </c>
      <c r="H882" s="4" t="inlineStr">
        <is>
          <t>Kìm mỏ quạ KC4-250</t>
        </is>
      </c>
      <c r="I882" s="3" t="inlineStr">
        <is>
          <t>Cái</t>
        </is>
      </c>
      <c r="J882" s="5" t="n">
        <v>152000</v>
      </c>
      <c r="K882" s="5" t="n">
        <v>179000</v>
      </c>
      <c r="L882" s="6" t="n">
        <v>220000</v>
      </c>
      <c r="M882" s="5" t="n"/>
      <c r="N882" s="5">
        <f>IF(AND(ISNUMBER(M882),ISNUMBER(L882)),M882-L882,"")</f>
        <v/>
      </c>
      <c r="O882" s="7">
        <f>IF(AND(ISNUMBER(M882),ISNUMBER(L882),L882&gt;0),(M882-L882)/L882,"")</f>
        <v/>
      </c>
      <c r="P882" s="3">
        <f>IF(O882="","",IF(O882&lt;-0.02,"🔴 Bán phá giá sàn",IF(O882&gt;0.05,"🔵 Bán cao hơn","🟢 Đúng giá sàn TMĐT")))</f>
        <v/>
      </c>
      <c r="Q882" s="3" t="n"/>
      <c r="R882" s="4" t="n"/>
      <c r="S882" s="4" t="n"/>
    </row>
    <row r="883">
      <c r="A883" s="3" t="n">
        <v>882</v>
      </c>
      <c r="B883" s="3" t="inlineStr">
        <is>
          <t>KH005</t>
        </is>
      </c>
      <c r="C883" s="4" t="inlineStr">
        <is>
          <t>ThinkSafe HCM</t>
        </is>
      </c>
      <c r="D883" s="3" t="inlineStr">
        <is>
          <t>HCM</t>
        </is>
      </c>
      <c r="E883" s="3" t="inlineStr">
        <is>
          <t>XUÂN TRANG</t>
        </is>
      </c>
      <c r="F883" s="3" t="inlineStr">
        <is>
          <t>Shopee</t>
        </is>
      </c>
      <c r="G883" s="3" t="inlineStr">
        <is>
          <t>KC4-300</t>
        </is>
      </c>
      <c r="H883" s="4" t="inlineStr">
        <is>
          <t>Kìm mỏ quạ KC4-300</t>
        </is>
      </c>
      <c r="I883" s="3" t="inlineStr">
        <is>
          <t>Cái</t>
        </is>
      </c>
      <c r="J883" s="5" t="n">
        <v>193000</v>
      </c>
      <c r="K883" s="5" t="n">
        <v>228000</v>
      </c>
      <c r="L883" s="6" t="n">
        <v>280000</v>
      </c>
      <c r="M883" s="5" t="n"/>
      <c r="N883" s="5">
        <f>IF(AND(ISNUMBER(M883),ISNUMBER(L883)),M883-L883,"")</f>
        <v/>
      </c>
      <c r="O883" s="7">
        <f>IF(AND(ISNUMBER(M883),ISNUMBER(L883),L883&gt;0),(M883-L883)/L883,"")</f>
        <v/>
      </c>
      <c r="P883" s="3">
        <f>IF(O883="","",IF(O883&lt;-0.02,"🔴 Bán phá giá sàn",IF(O883&gt;0.05,"🔵 Bán cao hơn","🟢 Đúng giá sàn TMĐT")))</f>
        <v/>
      </c>
      <c r="Q883" s="3" t="n"/>
      <c r="R883" s="4" t="n"/>
      <c r="S883" s="4" t="n"/>
    </row>
    <row r="884">
      <c r="A884" s="3" t="n">
        <v>883</v>
      </c>
      <c r="B884" s="3" t="inlineStr">
        <is>
          <t>KH005</t>
        </is>
      </c>
      <c r="C884" s="4" t="inlineStr">
        <is>
          <t>ThinkSafe HCM</t>
        </is>
      </c>
      <c r="D884" s="3" t="inlineStr">
        <is>
          <t>HCM</t>
        </is>
      </c>
      <c r="E884" s="3" t="inlineStr">
        <is>
          <t>XUÂN TRANG</t>
        </is>
      </c>
      <c r="F884" s="3" t="inlineStr">
        <is>
          <t>Shopee</t>
        </is>
      </c>
      <c r="G884" s="3" t="inlineStr">
        <is>
          <t>KJ-230</t>
        </is>
      </c>
      <c r="H884" s="4" t="inlineStr">
        <is>
          <t>Kìm rút đinh công nghiệp KJ-230</t>
        </is>
      </c>
      <c r="I884" s="3" t="inlineStr">
        <is>
          <t>Cái</t>
        </is>
      </c>
      <c r="J884" s="5" t="n">
        <v>249000</v>
      </c>
      <c r="K884" s="5" t="n">
        <v>294000</v>
      </c>
      <c r="L884" s="6" t="n">
        <v>361000</v>
      </c>
      <c r="M884" s="5" t="n"/>
      <c r="N884" s="5">
        <f>IF(AND(ISNUMBER(M884),ISNUMBER(L884)),M884-L884,"")</f>
        <v/>
      </c>
      <c r="O884" s="7">
        <f>IF(AND(ISNUMBER(M884),ISNUMBER(L884),L884&gt;0),(M884-L884)/L884,"")</f>
        <v/>
      </c>
      <c r="P884" s="3">
        <f>IF(O884="","",IF(O884&lt;-0.02,"🔴 Bán phá giá sàn",IF(O884&gt;0.05,"🔵 Bán cao hơn","🟢 Đúng giá sàn TMĐT")))</f>
        <v/>
      </c>
      <c r="Q884" s="3" t="n"/>
      <c r="R884" s="4" t="n"/>
      <c r="S884" s="4" t="n"/>
    </row>
    <row r="885">
      <c r="A885" s="3" t="n">
        <v>884</v>
      </c>
      <c r="B885" s="3" t="inlineStr">
        <is>
          <t>KH005</t>
        </is>
      </c>
      <c r="C885" s="4" t="inlineStr">
        <is>
          <t>ThinkSafe HCM</t>
        </is>
      </c>
      <c r="D885" s="3" t="inlineStr">
        <is>
          <t>HCM</t>
        </is>
      </c>
      <c r="E885" s="3" t="inlineStr">
        <is>
          <t>XUÂN TRANG</t>
        </is>
      </c>
      <c r="F885" s="3" t="inlineStr">
        <is>
          <t>Shopee</t>
        </is>
      </c>
      <c r="G885" s="3" t="inlineStr">
        <is>
          <t>KJ-103</t>
        </is>
      </c>
      <c r="H885" s="4" t="inlineStr">
        <is>
          <t>Kìm rút đinh KJ-103</t>
        </is>
      </c>
      <c r="I885" s="3" t="inlineStr">
        <is>
          <t>Cái</t>
        </is>
      </c>
      <c r="J885" s="5" t="n">
        <v>94000</v>
      </c>
      <c r="K885" s="5" t="n">
        <v>111000</v>
      </c>
      <c r="L885" s="6" t="n">
        <v>136000</v>
      </c>
      <c r="M885" s="5" t="n"/>
      <c r="N885" s="5">
        <f>IF(AND(ISNUMBER(M885),ISNUMBER(L885)),M885-L885,"")</f>
        <v/>
      </c>
      <c r="O885" s="7">
        <f>IF(AND(ISNUMBER(M885),ISNUMBER(L885),L885&gt;0),(M885-L885)/L885,"")</f>
        <v/>
      </c>
      <c r="P885" s="3">
        <f>IF(O885="","",IF(O885&lt;-0.02,"🔴 Bán phá giá sàn",IF(O885&gt;0.05,"🔵 Bán cao hơn","🟢 Đúng giá sàn TMĐT")))</f>
        <v/>
      </c>
      <c r="Q885" s="3" t="n"/>
      <c r="R885" s="4" t="n"/>
      <c r="S885" s="4" t="n"/>
    </row>
    <row r="886">
      <c r="A886" s="3" t="n">
        <v>885</v>
      </c>
      <c r="B886" s="3" t="inlineStr">
        <is>
          <t>KH005</t>
        </is>
      </c>
      <c r="C886" s="4" t="inlineStr">
        <is>
          <t>ThinkSafe HCM</t>
        </is>
      </c>
      <c r="D886" s="3" t="inlineStr">
        <is>
          <t>HCM</t>
        </is>
      </c>
      <c r="E886" s="3" t="inlineStr">
        <is>
          <t>XUÂN TRANG</t>
        </is>
      </c>
      <c r="F886" s="3" t="inlineStr">
        <is>
          <t>Shopee</t>
        </is>
      </c>
      <c r="G886" s="3" t="inlineStr">
        <is>
          <t>KJ-105</t>
        </is>
      </c>
      <c r="H886" s="4" t="inlineStr">
        <is>
          <t>Kìm rút đinh rút KJ-105</t>
        </is>
      </c>
      <c r="I886" s="3" t="inlineStr">
        <is>
          <t>Cái</t>
        </is>
      </c>
      <c r="J886" s="5" t="n">
        <v>154000</v>
      </c>
      <c r="K886" s="5" t="n">
        <v>182000</v>
      </c>
      <c r="L886" s="6" t="n">
        <v>223000</v>
      </c>
      <c r="M886" s="5" t="n"/>
      <c r="N886" s="5">
        <f>IF(AND(ISNUMBER(M886),ISNUMBER(L886)),M886-L886,"")</f>
        <v/>
      </c>
      <c r="O886" s="7">
        <f>IF(AND(ISNUMBER(M886),ISNUMBER(L886),L886&gt;0),(M886-L886)/L886,"")</f>
        <v/>
      </c>
      <c r="P886" s="3">
        <f>IF(O886="","",IF(O886&lt;-0.02,"🔴 Bán phá giá sàn",IF(O886&gt;0.05,"🔵 Bán cao hơn","🟢 Đúng giá sàn TMĐT")))</f>
        <v/>
      </c>
      <c r="Q886" s="3" t="n"/>
      <c r="R886" s="4" t="n"/>
      <c r="S886" s="4" t="n"/>
    </row>
    <row r="887">
      <c r="A887" s="3" t="n">
        <v>886</v>
      </c>
      <c r="B887" s="3" t="inlineStr">
        <is>
          <t>KH005</t>
        </is>
      </c>
      <c r="C887" s="4" t="inlineStr">
        <is>
          <t>ThinkSafe HCM</t>
        </is>
      </c>
      <c r="D887" s="3" t="inlineStr">
        <is>
          <t>HCM</t>
        </is>
      </c>
      <c r="E887" s="3" t="inlineStr">
        <is>
          <t>XUÂN TRANG</t>
        </is>
      </c>
      <c r="F887" s="3" t="inlineStr">
        <is>
          <t>Shopee</t>
        </is>
      </c>
      <c r="G887" s="3" t="inlineStr">
        <is>
          <t>KND180</t>
        </is>
      </c>
      <c r="H887" s="4" t="inlineStr">
        <is>
          <t>Kìm tuốt dây điện đa năng KND180</t>
        </is>
      </c>
      <c r="I887" s="3" t="inlineStr">
        <is>
          <t>Cái</t>
        </is>
      </c>
      <c r="J887" s="5" t="n">
        <v>127000</v>
      </c>
      <c r="K887" s="5" t="n">
        <v>150000</v>
      </c>
      <c r="L887" s="6" t="n">
        <v>184000</v>
      </c>
      <c r="M887" s="5" t="n"/>
      <c r="N887" s="5">
        <f>IF(AND(ISNUMBER(M887),ISNUMBER(L887)),M887-L887,"")</f>
        <v/>
      </c>
      <c r="O887" s="7">
        <f>IF(AND(ISNUMBER(M887),ISNUMBER(L887),L887&gt;0),(M887-L887)/L887,"")</f>
        <v/>
      </c>
      <c r="P887" s="3">
        <f>IF(O887="","",IF(O887&lt;-0.02,"🔴 Bán phá giá sàn",IF(O887&gt;0.05,"🔵 Bán cao hơn","🟢 Đúng giá sàn TMĐT")))</f>
        <v/>
      </c>
      <c r="Q887" s="3" t="n"/>
      <c r="R887" s="4" t="n"/>
      <c r="S887" s="4" t="n"/>
    </row>
    <row r="888">
      <c r="A888" s="3" t="n">
        <v>887</v>
      </c>
      <c r="B888" s="3" t="inlineStr">
        <is>
          <t>KH005</t>
        </is>
      </c>
      <c r="C888" s="4" t="inlineStr">
        <is>
          <t>ThinkSafe HCM</t>
        </is>
      </c>
      <c r="D888" s="3" t="inlineStr">
        <is>
          <t>HCM</t>
        </is>
      </c>
      <c r="E888" s="3" t="inlineStr">
        <is>
          <t>XUÂN TRANG</t>
        </is>
      </c>
      <c r="F888" s="3" t="inlineStr">
        <is>
          <t>Shopee</t>
        </is>
      </c>
      <c r="G888" s="3" t="inlineStr">
        <is>
          <t>KND205</t>
        </is>
      </c>
      <c r="H888" s="4" t="inlineStr">
        <is>
          <t>Kìm tuốt dây điện đa năng KND205</t>
        </is>
      </c>
      <c r="I888" s="3" t="inlineStr">
        <is>
          <t>Cái</t>
        </is>
      </c>
      <c r="J888" s="5" t="n">
        <v>160000</v>
      </c>
      <c r="K888" s="5" t="n">
        <v>189000</v>
      </c>
      <c r="L888" s="6" t="n">
        <v>232000</v>
      </c>
      <c r="M888" s="5" t="n"/>
      <c r="N888" s="5">
        <f>IF(AND(ISNUMBER(M888),ISNUMBER(L888)),M888-L888,"")</f>
        <v/>
      </c>
      <c r="O888" s="7">
        <f>IF(AND(ISNUMBER(M888),ISNUMBER(L888),L888&gt;0),(M888-L888)/L888,"")</f>
        <v/>
      </c>
      <c r="P888" s="3">
        <f>IF(O888="","",IF(O888&lt;-0.02,"🔴 Bán phá giá sàn",IF(O888&gt;0.05,"🔵 Bán cao hơn","🟢 Đúng giá sàn TMĐT")))</f>
        <v/>
      </c>
      <c r="Q888" s="3" t="n"/>
      <c r="R888" s="4" t="n"/>
      <c r="S888" s="4" t="n"/>
    </row>
    <row r="889">
      <c r="A889" s="3" t="n">
        <v>888</v>
      </c>
      <c r="B889" s="3" t="inlineStr">
        <is>
          <t>KH005</t>
        </is>
      </c>
      <c r="C889" s="4" t="inlineStr">
        <is>
          <t>ThinkSafe HCM</t>
        </is>
      </c>
      <c r="D889" s="3" t="inlineStr">
        <is>
          <t>HCM</t>
        </is>
      </c>
      <c r="E889" s="3" t="inlineStr">
        <is>
          <t>XUÂN TRANG</t>
        </is>
      </c>
      <c r="F889" s="3" t="inlineStr">
        <is>
          <t>Shopee</t>
        </is>
      </c>
      <c r="G889" s="3" t="inlineStr"/>
      <c r="H889" s="4" t="inlineStr">
        <is>
          <t>Kìm thẳng phe trong KCA 180</t>
        </is>
      </c>
      <c r="I889" s="3" t="inlineStr">
        <is>
          <t>Cái</t>
        </is>
      </c>
      <c r="J889" s="5" t="n">
        <v>269000</v>
      </c>
      <c r="K889" s="5" t="n">
        <v>317000</v>
      </c>
      <c r="L889" s="6" t="n">
        <v>390000</v>
      </c>
      <c r="M889" s="5" t="n"/>
      <c r="N889" s="5">
        <f>IF(AND(ISNUMBER(M889),ISNUMBER(L889)),M889-L889,"")</f>
        <v/>
      </c>
      <c r="O889" s="7">
        <f>IF(AND(ISNUMBER(M889),ISNUMBER(L889),L889&gt;0),(M889-L889)/L889,"")</f>
        <v/>
      </c>
      <c r="P889" s="3">
        <f>IF(O889="","",IF(O889&lt;-0.02,"🔴 Bán phá giá sàn",IF(O889&gt;0.05,"🔵 Bán cao hơn","🟢 Đúng giá sàn TMĐT")))</f>
        <v/>
      </c>
      <c r="Q889" s="3" t="n"/>
      <c r="R889" s="4" t="n"/>
      <c r="S889" s="4" t="n"/>
    </row>
    <row r="890">
      <c r="A890" s="3" t="n">
        <v>889</v>
      </c>
      <c r="B890" s="3" t="inlineStr">
        <is>
          <t>KH005</t>
        </is>
      </c>
      <c r="C890" s="4" t="inlineStr">
        <is>
          <t>ThinkSafe HCM</t>
        </is>
      </c>
      <c r="D890" s="3" t="inlineStr">
        <is>
          <t>HCM</t>
        </is>
      </c>
      <c r="E890" s="3" t="inlineStr">
        <is>
          <t>XUÂN TRANG</t>
        </is>
      </c>
      <c r="F890" s="3" t="inlineStr">
        <is>
          <t>Shopee</t>
        </is>
      </c>
      <c r="G890" s="3" t="inlineStr">
        <is>
          <t>KBY3-030CO</t>
        </is>
      </c>
      <c r="H890" s="4" t="inlineStr">
        <is>
          <t>Khoan inox chuôi lục KBY3-030CO</t>
        </is>
      </c>
      <c r="I890" s="3" t="inlineStr">
        <is>
          <t>Vỉ</t>
        </is>
      </c>
      <c r="J890" s="5" t="n">
        <v>31000</v>
      </c>
      <c r="K890" s="5" t="n">
        <v>39000</v>
      </c>
      <c r="L890" s="6" t="n">
        <v>50000</v>
      </c>
      <c r="M890" s="5" t="n"/>
      <c r="N890" s="5">
        <f>IF(AND(ISNUMBER(M890),ISNUMBER(L890)),M890-L890,"")</f>
        <v/>
      </c>
      <c r="O890" s="7">
        <f>IF(AND(ISNUMBER(M890),ISNUMBER(L890),L890&gt;0),(M890-L890)/L890,"")</f>
        <v/>
      </c>
      <c r="P890" s="3">
        <f>IF(O890="","",IF(O890&lt;-0.02,"🔴 Bán phá giá sàn",IF(O890&gt;0.05,"🔵 Bán cao hơn","🟢 Đúng giá sàn TMĐT")))</f>
        <v/>
      </c>
      <c r="Q890" s="3" t="n"/>
      <c r="R890" s="4" t="n"/>
      <c r="S890" s="4" t="n"/>
    </row>
    <row r="891">
      <c r="A891" s="3" t="n">
        <v>890</v>
      </c>
      <c r="B891" s="3" t="inlineStr">
        <is>
          <t>KH005</t>
        </is>
      </c>
      <c r="C891" s="4" t="inlineStr">
        <is>
          <t>ThinkSafe HCM</t>
        </is>
      </c>
      <c r="D891" s="3" t="inlineStr">
        <is>
          <t>HCM</t>
        </is>
      </c>
      <c r="E891" s="3" t="inlineStr">
        <is>
          <t>XUÂN TRANG</t>
        </is>
      </c>
      <c r="F891" s="3" t="inlineStr">
        <is>
          <t>Shopee</t>
        </is>
      </c>
      <c r="G891" s="3" t="inlineStr">
        <is>
          <t>KBY3-042CO</t>
        </is>
      </c>
      <c r="H891" s="4" t="inlineStr">
        <is>
          <t>Khoan inox chuôi lục KBY3-042CO</t>
        </is>
      </c>
      <c r="I891" s="3" t="inlineStr">
        <is>
          <t>Vỉ</t>
        </is>
      </c>
      <c r="J891" s="5" t="n">
        <v>45000</v>
      </c>
      <c r="K891" s="5" t="n">
        <v>56000</v>
      </c>
      <c r="L891" s="6" t="n">
        <v>72000</v>
      </c>
      <c r="M891" s="5" t="n"/>
      <c r="N891" s="5">
        <f>IF(AND(ISNUMBER(M891),ISNUMBER(L891)),M891-L891,"")</f>
        <v/>
      </c>
      <c r="O891" s="7">
        <f>IF(AND(ISNUMBER(M891),ISNUMBER(L891),L891&gt;0),(M891-L891)/L891,"")</f>
        <v/>
      </c>
      <c r="P891" s="3">
        <f>IF(O891="","",IF(O891&lt;-0.02,"🔴 Bán phá giá sàn",IF(O891&gt;0.05,"🔵 Bán cao hơn","🟢 Đúng giá sàn TMĐT")))</f>
        <v/>
      </c>
      <c r="Q891" s="3" t="n"/>
      <c r="R891" s="4" t="n"/>
      <c r="S891" s="4" t="n"/>
    </row>
    <row r="892">
      <c r="A892" s="3" t="n">
        <v>891</v>
      </c>
      <c r="B892" s="3" t="inlineStr">
        <is>
          <t>KH005</t>
        </is>
      </c>
      <c r="C892" s="4" t="inlineStr">
        <is>
          <t>ThinkSafe HCM</t>
        </is>
      </c>
      <c r="D892" s="3" t="inlineStr">
        <is>
          <t>HCM</t>
        </is>
      </c>
      <c r="E892" s="3" t="inlineStr">
        <is>
          <t>XUÂN TRANG</t>
        </is>
      </c>
      <c r="F892" s="3" t="inlineStr">
        <is>
          <t>Shopee</t>
        </is>
      </c>
      <c r="G892" s="3" t="inlineStr">
        <is>
          <t>KBY3-055CO</t>
        </is>
      </c>
      <c r="H892" s="4" t="inlineStr">
        <is>
          <t>Khoan inox chuôi lục KBY3-055CO</t>
        </is>
      </c>
      <c r="I892" s="3" t="inlineStr">
        <is>
          <t>Vỉ</t>
        </is>
      </c>
      <c r="J892" s="5" t="n">
        <v>58000</v>
      </c>
      <c r="K892" s="5" t="n">
        <v>72000</v>
      </c>
      <c r="L892" s="6" t="n">
        <v>93000</v>
      </c>
      <c r="M892" s="5" t="n"/>
      <c r="N892" s="5">
        <f>IF(AND(ISNUMBER(M892),ISNUMBER(L892)),M892-L892,"")</f>
        <v/>
      </c>
      <c r="O892" s="7">
        <f>IF(AND(ISNUMBER(M892),ISNUMBER(L892),L892&gt;0),(M892-L892)/L892,"")</f>
        <v/>
      </c>
      <c r="P892" s="3">
        <f>IF(O892="","",IF(O892&lt;-0.02,"🔴 Bán phá giá sàn",IF(O892&gt;0.05,"🔵 Bán cao hơn","🟢 Đúng giá sàn TMĐT")))</f>
        <v/>
      </c>
      <c r="Q892" s="3" t="n"/>
      <c r="R892" s="4" t="n"/>
      <c r="S892" s="4" t="n"/>
    </row>
    <row r="893">
      <c r="A893" s="3" t="n">
        <v>892</v>
      </c>
      <c r="B893" s="3" t="inlineStr">
        <is>
          <t>KH005</t>
        </is>
      </c>
      <c r="C893" s="4" t="inlineStr">
        <is>
          <t>ThinkSafe HCM</t>
        </is>
      </c>
      <c r="D893" s="3" t="inlineStr">
        <is>
          <t>HCM</t>
        </is>
      </c>
      <c r="E893" s="3" t="inlineStr">
        <is>
          <t>XUÂN TRANG</t>
        </is>
      </c>
      <c r="F893" s="3" t="inlineStr">
        <is>
          <t>Shopee</t>
        </is>
      </c>
      <c r="G893" s="3" t="inlineStr">
        <is>
          <t>KBB-06MM</t>
        </is>
      </c>
      <c r="H893" s="4" t="inlineStr">
        <is>
          <t>Khoan Kính KingBlue KBB-06MM</t>
        </is>
      </c>
      <c r="I893" s="3" t="inlineStr">
        <is>
          <t>Cái</t>
        </is>
      </c>
      <c r="J893" s="5" t="n">
        <v>269000</v>
      </c>
      <c r="K893" s="5" t="n">
        <v>317000</v>
      </c>
      <c r="L893" s="6" t="n">
        <v>390000</v>
      </c>
      <c r="M893" s="5" t="n"/>
      <c r="N893" s="5">
        <f>IF(AND(ISNUMBER(M893),ISNUMBER(L893)),M893-L893,"")</f>
        <v/>
      </c>
      <c r="O893" s="7">
        <f>IF(AND(ISNUMBER(M893),ISNUMBER(L893),L893&gt;0),(M893-L893)/L893,"")</f>
        <v/>
      </c>
      <c r="P893" s="3">
        <f>IF(O893="","",IF(O893&lt;-0.02,"🔴 Bán phá giá sàn",IF(O893&gt;0.05,"🔵 Bán cao hơn","🟢 Đúng giá sàn TMĐT")))</f>
        <v/>
      </c>
      <c r="Q893" s="3" t="n"/>
      <c r="R893" s="4" t="n"/>
      <c r="S893" s="4" t="n"/>
    </row>
    <row r="894">
      <c r="A894" s="3" t="n">
        <v>893</v>
      </c>
      <c r="B894" s="3" t="inlineStr">
        <is>
          <t>KH005</t>
        </is>
      </c>
      <c r="C894" s="4" t="inlineStr">
        <is>
          <t>ThinkSafe HCM</t>
        </is>
      </c>
      <c r="D894" s="3" t="inlineStr">
        <is>
          <t>HCM</t>
        </is>
      </c>
      <c r="E894" s="3" t="inlineStr">
        <is>
          <t>XUÂN TRANG</t>
        </is>
      </c>
      <c r="F894" s="3" t="inlineStr">
        <is>
          <t>Shopee</t>
        </is>
      </c>
      <c r="G894" s="3" t="inlineStr">
        <is>
          <t>KKB-06MM</t>
        </is>
      </c>
      <c r="H894" s="4" t="inlineStr">
        <is>
          <t>Khoan Kính KingBlue KKB-06MM</t>
        </is>
      </c>
      <c r="I894" s="3" t="inlineStr">
        <is>
          <t>Cái</t>
        </is>
      </c>
      <c r="J894" s="5" t="n">
        <v>269000</v>
      </c>
      <c r="K894" s="5" t="n">
        <v>317000</v>
      </c>
      <c r="L894" s="6" t="n">
        <v>390000</v>
      </c>
      <c r="M894" s="5" t="n"/>
      <c r="N894" s="5">
        <f>IF(AND(ISNUMBER(M894),ISNUMBER(L894)),M894-L894,"")</f>
        <v/>
      </c>
      <c r="O894" s="7">
        <f>IF(AND(ISNUMBER(M894),ISNUMBER(L894),L894&gt;0),(M894-L894)/L894,"")</f>
        <v/>
      </c>
      <c r="P894" s="3">
        <f>IF(O894="","",IF(O894&lt;-0.02,"🔴 Bán phá giá sàn",IF(O894&gt;0.05,"🔵 Bán cao hơn","🟢 Đúng giá sàn TMĐT")))</f>
        <v/>
      </c>
      <c r="Q894" s="3" t="n"/>
      <c r="R894" s="4" t="n"/>
      <c r="S894" s="4" t="n"/>
    </row>
    <row r="895">
      <c r="A895" s="3" t="n">
        <v>894</v>
      </c>
      <c r="B895" s="3" t="inlineStr">
        <is>
          <t>KH005</t>
        </is>
      </c>
      <c r="C895" s="4" t="inlineStr">
        <is>
          <t>ThinkSafe HCM</t>
        </is>
      </c>
      <c r="D895" s="3" t="inlineStr">
        <is>
          <t>HCM</t>
        </is>
      </c>
      <c r="E895" s="3" t="inlineStr">
        <is>
          <t>XUÂN TRANG</t>
        </is>
      </c>
      <c r="F895" s="3" t="inlineStr">
        <is>
          <t>Shopee</t>
        </is>
      </c>
      <c r="G895" s="3" t="inlineStr">
        <is>
          <t>KKB-08MM</t>
        </is>
      </c>
      <c r="H895" s="4" t="inlineStr">
        <is>
          <t>Khoan Kính KingBlue KKB-08MM</t>
        </is>
      </c>
      <c r="I895" s="3" t="inlineStr">
        <is>
          <t>Cái</t>
        </is>
      </c>
      <c r="J895" s="5" t="n">
        <v>269000</v>
      </c>
      <c r="K895" s="5" t="n">
        <v>317000</v>
      </c>
      <c r="L895" s="6" t="n">
        <v>390000</v>
      </c>
      <c r="M895" s="5" t="n"/>
      <c r="N895" s="5">
        <f>IF(AND(ISNUMBER(M895),ISNUMBER(L895)),M895-L895,"")</f>
        <v/>
      </c>
      <c r="O895" s="7">
        <f>IF(AND(ISNUMBER(M895),ISNUMBER(L895),L895&gt;0),(M895-L895)/L895,"")</f>
        <v/>
      </c>
      <c r="P895" s="3">
        <f>IF(O895="","",IF(O895&lt;-0.02,"🔴 Bán phá giá sàn",IF(O895&gt;0.05,"🔵 Bán cao hơn","🟢 Đúng giá sàn TMĐT")))</f>
        <v/>
      </c>
      <c r="Q895" s="3" t="n"/>
      <c r="R895" s="4" t="n"/>
      <c r="S895" s="4" t="n"/>
    </row>
    <row r="896">
      <c r="A896" s="3" t="n">
        <v>895</v>
      </c>
      <c r="B896" s="3" t="inlineStr">
        <is>
          <t>KH005</t>
        </is>
      </c>
      <c r="C896" s="4" t="inlineStr">
        <is>
          <t>ThinkSafe HCM</t>
        </is>
      </c>
      <c r="D896" s="3" t="inlineStr">
        <is>
          <t>HCM</t>
        </is>
      </c>
      <c r="E896" s="3" t="inlineStr">
        <is>
          <t>XUÂN TRANG</t>
        </is>
      </c>
      <c r="F896" s="3" t="inlineStr">
        <is>
          <t>Shopee</t>
        </is>
      </c>
      <c r="G896" s="3" t="inlineStr">
        <is>
          <t>KKB-10MM</t>
        </is>
      </c>
      <c r="H896" s="4" t="inlineStr">
        <is>
          <t>Khoan Kính KingBlue KKB-10MM</t>
        </is>
      </c>
      <c r="I896" s="3" t="inlineStr">
        <is>
          <t>Cái</t>
        </is>
      </c>
      <c r="J896" s="5" t="n">
        <v>269000</v>
      </c>
      <c r="K896" s="5" t="n">
        <v>317000</v>
      </c>
      <c r="L896" s="6" t="n">
        <v>390000</v>
      </c>
      <c r="M896" s="5" t="n"/>
      <c r="N896" s="5">
        <f>IF(AND(ISNUMBER(M896),ISNUMBER(L896)),M896-L896,"")</f>
        <v/>
      </c>
      <c r="O896" s="7">
        <f>IF(AND(ISNUMBER(M896),ISNUMBER(L896),L896&gt;0),(M896-L896)/L896,"")</f>
        <v/>
      </c>
      <c r="P896" s="3">
        <f>IF(O896="","",IF(O896&lt;-0.02,"🔴 Bán phá giá sàn",IF(O896&gt;0.05,"🔵 Bán cao hơn","🟢 Đúng giá sàn TMĐT")))</f>
        <v/>
      </c>
      <c r="Q896" s="3" t="n"/>
      <c r="R896" s="4" t="n"/>
      <c r="S896" s="4" t="n"/>
    </row>
    <row r="897">
      <c r="A897" s="3" t="n">
        <v>896</v>
      </c>
      <c r="B897" s="3" t="inlineStr">
        <is>
          <t>KH005</t>
        </is>
      </c>
      <c r="C897" s="4" t="inlineStr">
        <is>
          <t>ThinkSafe HCM</t>
        </is>
      </c>
      <c r="D897" s="3" t="inlineStr">
        <is>
          <t>HCM</t>
        </is>
      </c>
      <c r="E897" s="3" t="inlineStr">
        <is>
          <t>XUÂN TRANG</t>
        </is>
      </c>
      <c r="F897" s="3" t="inlineStr">
        <is>
          <t>Shopee</t>
        </is>
      </c>
      <c r="G897" s="3" t="inlineStr">
        <is>
          <t>KRLK-27*370</t>
        </is>
      </c>
      <c r="H897" s="4" t="inlineStr">
        <is>
          <t>Khoan rút lõi bê tông nước + khô KRLK-27*370</t>
        </is>
      </c>
      <c r="I897" s="3" t="inlineStr">
        <is>
          <t>Cái</t>
        </is>
      </c>
      <c r="J897" s="5" t="n">
        <v>145000</v>
      </c>
      <c r="K897" s="5" t="n">
        <v>174000</v>
      </c>
      <c r="L897" s="6" t="n">
        <v>218000</v>
      </c>
      <c r="M897" s="5" t="n"/>
      <c r="N897" s="5">
        <f>IF(AND(ISNUMBER(M897),ISNUMBER(L897)),M897-L897,"")</f>
        <v/>
      </c>
      <c r="O897" s="7">
        <f>IF(AND(ISNUMBER(M897),ISNUMBER(L897),L897&gt;0),(M897-L897)/L897,"")</f>
        <v/>
      </c>
      <c r="P897" s="3">
        <f>IF(O897="","",IF(O897&lt;-0.02,"🔴 Bán phá giá sàn",IF(O897&gt;0.05,"🔵 Bán cao hơn","🟢 Đúng giá sàn TMĐT")))</f>
        <v/>
      </c>
      <c r="Q897" s="3" t="n"/>
      <c r="R897" s="4" t="n"/>
      <c r="S897" s="4" t="n"/>
    </row>
    <row r="898">
      <c r="A898" s="3" t="n">
        <v>897</v>
      </c>
      <c r="B898" s="3" t="inlineStr">
        <is>
          <t>KH005</t>
        </is>
      </c>
      <c r="C898" s="4" t="inlineStr">
        <is>
          <t>ThinkSafe HCM</t>
        </is>
      </c>
      <c r="D898" s="3" t="inlineStr">
        <is>
          <t>HCM</t>
        </is>
      </c>
      <c r="E898" s="3" t="inlineStr">
        <is>
          <t>XUÂN TRANG</t>
        </is>
      </c>
      <c r="F898" s="3" t="inlineStr">
        <is>
          <t>Shopee</t>
        </is>
      </c>
      <c r="G898" s="3" t="inlineStr">
        <is>
          <t>KRLK-32*370</t>
        </is>
      </c>
      <c r="H898" s="4" t="inlineStr">
        <is>
          <t>Khoan rút lõi bê tông nước + khô KRLK-32*370</t>
        </is>
      </c>
      <c r="I898" s="3" t="inlineStr">
        <is>
          <t>Cái</t>
        </is>
      </c>
      <c r="J898" s="5" t="n">
        <v>154000</v>
      </c>
      <c r="K898" s="5" t="n">
        <v>185000</v>
      </c>
      <c r="L898" s="6" t="n">
        <v>231000</v>
      </c>
      <c r="M898" s="5" t="n"/>
      <c r="N898" s="5">
        <f>IF(AND(ISNUMBER(M898),ISNUMBER(L898)),M898-L898,"")</f>
        <v/>
      </c>
      <c r="O898" s="7">
        <f>IF(AND(ISNUMBER(M898),ISNUMBER(L898),L898&gt;0),(M898-L898)/L898,"")</f>
        <v/>
      </c>
      <c r="P898" s="3">
        <f>IF(O898="","",IF(O898&lt;-0.02,"🔴 Bán phá giá sàn",IF(O898&gt;0.05,"🔵 Bán cao hơn","🟢 Đúng giá sàn TMĐT")))</f>
        <v/>
      </c>
      <c r="Q898" s="3" t="n"/>
      <c r="R898" s="4" t="n"/>
      <c r="S898" s="4" t="n"/>
    </row>
    <row r="899">
      <c r="A899" s="3" t="n">
        <v>898</v>
      </c>
      <c r="B899" s="3" t="inlineStr">
        <is>
          <t>KH005</t>
        </is>
      </c>
      <c r="C899" s="4" t="inlineStr">
        <is>
          <t>ThinkSafe HCM</t>
        </is>
      </c>
      <c r="D899" s="3" t="inlineStr">
        <is>
          <t>HCM</t>
        </is>
      </c>
      <c r="E899" s="3" t="inlineStr">
        <is>
          <t>XUÂN TRANG</t>
        </is>
      </c>
      <c r="F899" s="3" t="inlineStr">
        <is>
          <t>Shopee</t>
        </is>
      </c>
      <c r="G899" s="3" t="inlineStr">
        <is>
          <t>KRLK-36*370</t>
        </is>
      </c>
      <c r="H899" s="4" t="inlineStr">
        <is>
          <t>Khoan rút lõi bê tông nước + khô KRLK-36*370</t>
        </is>
      </c>
      <c r="I899" s="3" t="inlineStr">
        <is>
          <t>Cái</t>
        </is>
      </c>
      <c r="J899" s="5" t="n">
        <v>173000</v>
      </c>
      <c r="K899" s="5" t="n">
        <v>208000</v>
      </c>
      <c r="L899" s="6" t="n">
        <v>260000</v>
      </c>
      <c r="M899" s="5" t="n"/>
      <c r="N899" s="5">
        <f>IF(AND(ISNUMBER(M899),ISNUMBER(L899)),M899-L899,"")</f>
        <v/>
      </c>
      <c r="O899" s="7">
        <f>IF(AND(ISNUMBER(M899),ISNUMBER(L899),L899&gt;0),(M899-L899)/L899,"")</f>
        <v/>
      </c>
      <c r="P899" s="3">
        <f>IF(O899="","",IF(O899&lt;-0.02,"🔴 Bán phá giá sàn",IF(O899&gt;0.05,"🔵 Bán cao hơn","🟢 Đúng giá sàn TMĐT")))</f>
        <v/>
      </c>
      <c r="Q899" s="3" t="n"/>
      <c r="R899" s="4" t="n"/>
      <c r="S899" s="4" t="n"/>
    </row>
    <row r="900">
      <c r="A900" s="3" t="n">
        <v>899</v>
      </c>
      <c r="B900" s="3" t="inlineStr">
        <is>
          <t>KH005</t>
        </is>
      </c>
      <c r="C900" s="4" t="inlineStr">
        <is>
          <t>ThinkSafe HCM</t>
        </is>
      </c>
      <c r="D900" s="3" t="inlineStr">
        <is>
          <t>HCM</t>
        </is>
      </c>
      <c r="E900" s="3" t="inlineStr">
        <is>
          <t>XUÂN TRANG</t>
        </is>
      </c>
      <c r="F900" s="3" t="inlineStr">
        <is>
          <t>Shopee</t>
        </is>
      </c>
      <c r="G900" s="3" t="inlineStr">
        <is>
          <t>KRLK-40*370</t>
        </is>
      </c>
      <c r="H900" s="4" t="inlineStr">
        <is>
          <t>Khoan rút lõi bê tông nước + khô KRLK-40*370</t>
        </is>
      </c>
      <c r="I900" s="3" t="inlineStr">
        <is>
          <t>Cái</t>
        </is>
      </c>
      <c r="J900" s="5" t="n">
        <v>193000</v>
      </c>
      <c r="K900" s="5" t="n">
        <v>232000</v>
      </c>
      <c r="L900" s="6" t="n">
        <v>290000</v>
      </c>
      <c r="M900" s="5" t="n"/>
      <c r="N900" s="5">
        <f>IF(AND(ISNUMBER(M900),ISNUMBER(L900)),M900-L900,"")</f>
        <v/>
      </c>
      <c r="O900" s="7">
        <f>IF(AND(ISNUMBER(M900),ISNUMBER(L900),L900&gt;0),(M900-L900)/L900,"")</f>
        <v/>
      </c>
      <c r="P900" s="3">
        <f>IF(O900="","",IF(O900&lt;-0.02,"🔴 Bán phá giá sàn",IF(O900&gt;0.05,"🔵 Bán cao hơn","🟢 Đúng giá sàn TMĐT")))</f>
        <v/>
      </c>
      <c r="Q900" s="3" t="n"/>
      <c r="R900" s="4" t="n"/>
      <c r="S900" s="4" t="n"/>
    </row>
    <row r="901">
      <c r="A901" s="3" t="n">
        <v>900</v>
      </c>
      <c r="B901" s="3" t="inlineStr">
        <is>
          <t>KH005</t>
        </is>
      </c>
      <c r="C901" s="4" t="inlineStr">
        <is>
          <t>ThinkSafe HCM</t>
        </is>
      </c>
      <c r="D901" s="3" t="inlineStr">
        <is>
          <t>HCM</t>
        </is>
      </c>
      <c r="E901" s="3" t="inlineStr">
        <is>
          <t>XUÂN TRANG</t>
        </is>
      </c>
      <c r="F901" s="3" t="inlineStr">
        <is>
          <t>Shopee</t>
        </is>
      </c>
      <c r="G901" s="3" t="inlineStr">
        <is>
          <t>KRLK-44*370</t>
        </is>
      </c>
      <c r="H901" s="4" t="inlineStr">
        <is>
          <t>Khoan rút lõi bê tông nước + khô KRLK-44*370</t>
        </is>
      </c>
      <c r="I901" s="3" t="inlineStr">
        <is>
          <t>Cái</t>
        </is>
      </c>
      <c r="J901" s="5" t="n">
        <v>212000</v>
      </c>
      <c r="K901" s="5" t="n">
        <v>254000</v>
      </c>
      <c r="L901" s="6" t="n">
        <v>318000</v>
      </c>
      <c r="M901" s="5" t="n"/>
      <c r="N901" s="5">
        <f>IF(AND(ISNUMBER(M901),ISNUMBER(L901)),M901-L901,"")</f>
        <v/>
      </c>
      <c r="O901" s="7">
        <f>IF(AND(ISNUMBER(M901),ISNUMBER(L901),L901&gt;0),(M901-L901)/L901,"")</f>
        <v/>
      </c>
      <c r="P901" s="3">
        <f>IF(O901="","",IF(O901&lt;-0.02,"🔴 Bán phá giá sàn",IF(O901&gt;0.05,"🔵 Bán cao hơn","🟢 Đúng giá sàn TMĐT")))</f>
        <v/>
      </c>
      <c r="Q901" s="3" t="n"/>
      <c r="R901" s="4" t="n"/>
      <c r="S901" s="4" t="n"/>
    </row>
    <row r="902">
      <c r="A902" s="3" t="n">
        <v>901</v>
      </c>
      <c r="B902" s="3" t="inlineStr">
        <is>
          <t>KH005</t>
        </is>
      </c>
      <c r="C902" s="4" t="inlineStr">
        <is>
          <t>ThinkSafe HCM</t>
        </is>
      </c>
      <c r="D902" s="3" t="inlineStr">
        <is>
          <t>HCM</t>
        </is>
      </c>
      <c r="E902" s="3" t="inlineStr">
        <is>
          <t>XUÂN TRANG</t>
        </is>
      </c>
      <c r="F902" s="3" t="inlineStr">
        <is>
          <t>Shopee</t>
        </is>
      </c>
      <c r="G902" s="3" t="inlineStr">
        <is>
          <t>KRLK-51*370</t>
        </is>
      </c>
      <c r="H902" s="4" t="inlineStr">
        <is>
          <t>Khoan rút lõi bê tông nước + khô KRLK-51*370</t>
        </is>
      </c>
      <c r="I902" s="3" t="inlineStr">
        <is>
          <t>Cái</t>
        </is>
      </c>
      <c r="J902" s="5" t="n">
        <v>231000</v>
      </c>
      <c r="K902" s="5" t="n">
        <v>277000</v>
      </c>
      <c r="L902" s="6" t="n">
        <v>347000</v>
      </c>
      <c r="M902" s="5" t="n"/>
      <c r="N902" s="5">
        <f>IF(AND(ISNUMBER(M902),ISNUMBER(L902)),M902-L902,"")</f>
        <v/>
      </c>
      <c r="O902" s="7">
        <f>IF(AND(ISNUMBER(M902),ISNUMBER(L902),L902&gt;0),(M902-L902)/L902,"")</f>
        <v/>
      </c>
      <c r="P902" s="3">
        <f>IF(O902="","",IF(O902&lt;-0.02,"🔴 Bán phá giá sàn",IF(O902&gt;0.05,"🔵 Bán cao hơn","🟢 Đúng giá sàn TMĐT")))</f>
        <v/>
      </c>
      <c r="Q902" s="3" t="n"/>
      <c r="R902" s="4" t="n"/>
      <c r="S902" s="4" t="n"/>
    </row>
    <row r="903">
      <c r="A903" s="3" t="n">
        <v>902</v>
      </c>
      <c r="B903" s="3" t="inlineStr">
        <is>
          <t>KH005</t>
        </is>
      </c>
      <c r="C903" s="4" t="inlineStr">
        <is>
          <t>ThinkSafe HCM</t>
        </is>
      </c>
      <c r="D903" s="3" t="inlineStr">
        <is>
          <t>HCM</t>
        </is>
      </c>
      <c r="E903" s="3" t="inlineStr">
        <is>
          <t>XUÂN TRANG</t>
        </is>
      </c>
      <c r="F903" s="3" t="inlineStr">
        <is>
          <t>Shopee</t>
        </is>
      </c>
      <c r="G903" s="3" t="inlineStr">
        <is>
          <t>KRLK-56*370</t>
        </is>
      </c>
      <c r="H903" s="4" t="inlineStr">
        <is>
          <t>Khoan rút lõi bê tông nước + khô KRLK-56*370</t>
        </is>
      </c>
      <c r="I903" s="3" t="inlineStr">
        <is>
          <t>Cái</t>
        </is>
      </c>
      <c r="J903" s="5" t="n">
        <v>244000</v>
      </c>
      <c r="K903" s="5" t="n">
        <v>293000</v>
      </c>
      <c r="L903" s="6" t="n">
        <v>366000</v>
      </c>
      <c r="M903" s="5" t="n"/>
      <c r="N903" s="5">
        <f>IF(AND(ISNUMBER(M903),ISNUMBER(L903)),M903-L903,"")</f>
        <v/>
      </c>
      <c r="O903" s="7">
        <f>IF(AND(ISNUMBER(M903),ISNUMBER(L903),L903&gt;0),(M903-L903)/L903,"")</f>
        <v/>
      </c>
      <c r="P903" s="3">
        <f>IF(O903="","",IF(O903&lt;-0.02,"🔴 Bán phá giá sàn",IF(O903&gt;0.05,"🔵 Bán cao hơn","🟢 Đúng giá sàn TMĐT")))</f>
        <v/>
      </c>
      <c r="Q903" s="3" t="n"/>
      <c r="R903" s="4" t="n"/>
      <c r="S903" s="4" t="n"/>
    </row>
    <row r="904">
      <c r="A904" s="3" t="n">
        <v>903</v>
      </c>
      <c r="B904" s="3" t="inlineStr">
        <is>
          <t>KH005</t>
        </is>
      </c>
      <c r="C904" s="4" t="inlineStr">
        <is>
          <t>ThinkSafe HCM</t>
        </is>
      </c>
      <c r="D904" s="3" t="inlineStr">
        <is>
          <t>HCM</t>
        </is>
      </c>
      <c r="E904" s="3" t="inlineStr">
        <is>
          <t>XUÂN TRANG</t>
        </is>
      </c>
      <c r="F904" s="3" t="inlineStr">
        <is>
          <t>Shopee</t>
        </is>
      </c>
      <c r="G904" s="3" t="inlineStr">
        <is>
          <t>KRLK-63*370</t>
        </is>
      </c>
      <c r="H904" s="4" t="inlineStr">
        <is>
          <t>Khoan rút lõi bê tông nước + khô KRLK-63*370</t>
        </is>
      </c>
      <c r="I904" s="3" t="inlineStr">
        <is>
          <t>Cái</t>
        </is>
      </c>
      <c r="J904" s="5" t="n">
        <v>282000</v>
      </c>
      <c r="K904" s="5" t="n">
        <v>338000</v>
      </c>
      <c r="L904" s="6" t="n">
        <v>423000</v>
      </c>
      <c r="M904" s="5" t="n"/>
      <c r="N904" s="5">
        <f>IF(AND(ISNUMBER(M904),ISNUMBER(L904)),M904-L904,"")</f>
        <v/>
      </c>
      <c r="O904" s="7">
        <f>IF(AND(ISNUMBER(M904),ISNUMBER(L904),L904&gt;0),(M904-L904)/L904,"")</f>
        <v/>
      </c>
      <c r="P904" s="3">
        <f>IF(O904="","",IF(O904&lt;-0.02,"🔴 Bán phá giá sàn",IF(O904&gt;0.05,"🔵 Bán cao hơn","🟢 Đúng giá sàn TMĐT")))</f>
        <v/>
      </c>
      <c r="Q904" s="3" t="n"/>
      <c r="R904" s="4" t="n"/>
      <c r="S904" s="4" t="n"/>
    </row>
    <row r="905">
      <c r="A905" s="3" t="n">
        <v>904</v>
      </c>
      <c r="B905" s="3" t="inlineStr">
        <is>
          <t>KH005</t>
        </is>
      </c>
      <c r="C905" s="4" t="inlineStr">
        <is>
          <t>ThinkSafe HCM</t>
        </is>
      </c>
      <c r="D905" s="3" t="inlineStr">
        <is>
          <t>HCM</t>
        </is>
      </c>
      <c r="E905" s="3" t="inlineStr">
        <is>
          <t>XUÂN TRANG</t>
        </is>
      </c>
      <c r="F905" s="3" t="inlineStr">
        <is>
          <t>Shopee</t>
        </is>
      </c>
      <c r="G905" s="3" t="inlineStr">
        <is>
          <t>F1-180DN</t>
        </is>
      </c>
      <c r="H905" s="4" t="inlineStr">
        <is>
          <t>Lưỡi cắt BlueBird F1-180DN (vàng)</t>
        </is>
      </c>
      <c r="I905" s="3" t="inlineStr">
        <is>
          <t>Cái</t>
        </is>
      </c>
      <c r="J905" s="5" t="n">
        <v>169000</v>
      </c>
      <c r="K905" s="5" t="n">
        <v>199000</v>
      </c>
      <c r="L905" s="6" t="n">
        <v>245000</v>
      </c>
      <c r="M905" s="5" t="n"/>
      <c r="N905" s="5">
        <f>IF(AND(ISNUMBER(M905),ISNUMBER(L905)),M905-L905,"")</f>
        <v/>
      </c>
      <c r="O905" s="7">
        <f>IF(AND(ISNUMBER(M905),ISNUMBER(L905),L905&gt;0),(M905-L905)/L905,"")</f>
        <v/>
      </c>
      <c r="P905" s="3">
        <f>IF(O905="","",IF(O905&lt;-0.02,"🔴 Bán phá giá sàn",IF(O905&gt;0.05,"🔵 Bán cao hơn","🟢 Đúng giá sàn TMĐT")))</f>
        <v/>
      </c>
      <c r="Q905" s="3" t="n"/>
      <c r="R905" s="4" t="n"/>
      <c r="S905" s="4" t="n"/>
    </row>
    <row r="906">
      <c r="A906" s="3" t="n">
        <v>905</v>
      </c>
      <c r="B906" s="3" t="inlineStr">
        <is>
          <t>KH005</t>
        </is>
      </c>
      <c r="C906" s="4" t="inlineStr">
        <is>
          <t>ThinkSafe HCM</t>
        </is>
      </c>
      <c r="D906" s="3" t="inlineStr">
        <is>
          <t>HCM</t>
        </is>
      </c>
      <c r="E906" s="3" t="inlineStr">
        <is>
          <t>XUÂN TRANG</t>
        </is>
      </c>
      <c r="F906" s="3" t="inlineStr">
        <is>
          <t>Shopee</t>
        </is>
      </c>
      <c r="G906" s="3" t="inlineStr">
        <is>
          <t>S2-125</t>
        </is>
      </c>
      <c r="H906" s="4" t="inlineStr">
        <is>
          <t>Lưỡi cắt KingBlue ĐN S2-125 (New)</t>
        </is>
      </c>
      <c r="I906" s="3" t="inlineStr">
        <is>
          <t>Cái</t>
        </is>
      </c>
      <c r="J906" s="5" t="n">
        <v>269000</v>
      </c>
      <c r="K906" s="5" t="n">
        <v>317000</v>
      </c>
      <c r="L906" s="6" t="n">
        <v>390000</v>
      </c>
      <c r="M906" s="5" t="n"/>
      <c r="N906" s="5">
        <f>IF(AND(ISNUMBER(M906),ISNUMBER(L906)),M906-L906,"")</f>
        <v/>
      </c>
      <c r="O906" s="7">
        <f>IF(AND(ISNUMBER(M906),ISNUMBER(L906),L906&gt;0),(M906-L906)/L906,"")</f>
        <v/>
      </c>
      <c r="P906" s="3">
        <f>IF(O906="","",IF(O906&lt;-0.02,"🔴 Bán phá giá sàn",IF(O906&gt;0.05,"🔵 Bán cao hơn","🟢 Đúng giá sàn TMĐT")))</f>
        <v/>
      </c>
      <c r="Q906" s="3" t="n"/>
      <c r="R906" s="4" t="n"/>
      <c r="S906" s="4" t="n"/>
    </row>
    <row r="907">
      <c r="A907" s="3" t="n">
        <v>906</v>
      </c>
      <c r="B907" s="3" t="inlineStr">
        <is>
          <t>KH005</t>
        </is>
      </c>
      <c r="C907" s="4" t="inlineStr">
        <is>
          <t>ThinkSafe HCM</t>
        </is>
      </c>
      <c r="D907" s="3" t="inlineStr">
        <is>
          <t>HCM</t>
        </is>
      </c>
      <c r="E907" s="3" t="inlineStr">
        <is>
          <t>XUÂN TRANG</t>
        </is>
      </c>
      <c r="F907" s="3" t="inlineStr">
        <is>
          <t>Shopee</t>
        </is>
      </c>
      <c r="G907" s="3" t="inlineStr">
        <is>
          <t>E3-105DN</t>
        </is>
      </c>
      <c r="H907" s="4" t="inlineStr">
        <is>
          <t>Lưỡi cắt KingBlue E3-105DN</t>
        </is>
      </c>
      <c r="I907" s="3" t="inlineStr">
        <is>
          <t>Cái</t>
        </is>
      </c>
      <c r="J907" s="5" t="n">
        <v>70000</v>
      </c>
      <c r="K907" s="5" t="n">
        <v>83000</v>
      </c>
      <c r="L907" s="6" t="n">
        <v>102000</v>
      </c>
      <c r="M907" s="5" t="n"/>
      <c r="N907" s="5">
        <f>IF(AND(ISNUMBER(M907),ISNUMBER(L907)),M907-L907,"")</f>
        <v/>
      </c>
      <c r="O907" s="7">
        <f>IF(AND(ISNUMBER(M907),ISNUMBER(L907),L907&gt;0),(M907-L907)/L907,"")</f>
        <v/>
      </c>
      <c r="P907" s="3">
        <f>IF(O907="","",IF(O907&lt;-0.02,"🔴 Bán phá giá sàn",IF(O907&gt;0.05,"🔵 Bán cao hơn","🟢 Đúng giá sàn TMĐT")))</f>
        <v/>
      </c>
      <c r="Q907" s="3" t="n"/>
      <c r="R907" s="4" t="n"/>
      <c r="S907" s="4" t="n"/>
    </row>
    <row r="908">
      <c r="A908" s="3" t="n">
        <v>907</v>
      </c>
      <c r="B908" s="3" t="inlineStr">
        <is>
          <t>KH005</t>
        </is>
      </c>
      <c r="C908" s="4" t="inlineStr">
        <is>
          <t>ThinkSafe HCM</t>
        </is>
      </c>
      <c r="D908" s="3" t="inlineStr">
        <is>
          <t>HCM</t>
        </is>
      </c>
      <c r="E908" s="3" t="inlineStr">
        <is>
          <t>XUÂN TRANG</t>
        </is>
      </c>
      <c r="F908" s="3" t="inlineStr">
        <is>
          <t>Shopee</t>
        </is>
      </c>
      <c r="G908" s="3" t="inlineStr">
        <is>
          <t>E3-125DN</t>
        </is>
      </c>
      <c r="H908" s="4" t="inlineStr">
        <is>
          <t>Lưỡi cắt KingBlue E3-125DN</t>
        </is>
      </c>
      <c r="I908" s="3" t="inlineStr">
        <is>
          <t>Cái</t>
        </is>
      </c>
      <c r="J908" s="5" t="n">
        <v>88000</v>
      </c>
      <c r="K908" s="5" t="n">
        <v>104000</v>
      </c>
      <c r="L908" s="6" t="n">
        <v>128000</v>
      </c>
      <c r="M908" s="5" t="n"/>
      <c r="N908" s="5">
        <f>IF(AND(ISNUMBER(M908),ISNUMBER(L908)),M908-L908,"")</f>
        <v/>
      </c>
      <c r="O908" s="7">
        <f>IF(AND(ISNUMBER(M908),ISNUMBER(L908),L908&gt;0),(M908-L908)/L908,"")</f>
        <v/>
      </c>
      <c r="P908" s="3">
        <f>IF(O908="","",IF(O908&lt;-0.02,"🔴 Bán phá giá sàn",IF(O908&gt;0.05,"🔵 Bán cao hơn","🟢 Đúng giá sàn TMĐT")))</f>
        <v/>
      </c>
      <c r="Q908" s="3" t="n"/>
      <c r="R908" s="4" t="n"/>
      <c r="S908" s="4" t="n"/>
    </row>
    <row r="909">
      <c r="A909" s="3" t="n">
        <v>908</v>
      </c>
      <c r="B909" s="3" t="inlineStr">
        <is>
          <t>KH005</t>
        </is>
      </c>
      <c r="C909" s="4" t="inlineStr">
        <is>
          <t>ThinkSafe HCM</t>
        </is>
      </c>
      <c r="D909" s="3" t="inlineStr">
        <is>
          <t>HCM</t>
        </is>
      </c>
      <c r="E909" s="3" t="inlineStr">
        <is>
          <t>XUÂN TRANG</t>
        </is>
      </c>
      <c r="F909" s="3" t="inlineStr">
        <is>
          <t>Shopee</t>
        </is>
      </c>
      <c r="G909" s="3" t="inlineStr">
        <is>
          <t>F1</t>
        </is>
      </c>
      <c r="H909" s="4" t="inlineStr">
        <is>
          <t>Lưỡi cắt Kingblue F1 110DN (vàng)</t>
        </is>
      </c>
      <c r="I909" s="3" t="inlineStr">
        <is>
          <t>Cái</t>
        </is>
      </c>
      <c r="J909" s="5" t="n">
        <v>92000</v>
      </c>
      <c r="K909" s="5" t="n">
        <v>108000</v>
      </c>
      <c r="L909" s="6" t="n">
        <v>133000</v>
      </c>
      <c r="M909" s="5" t="n"/>
      <c r="N909" s="5">
        <f>IF(AND(ISNUMBER(M909),ISNUMBER(L909)),M909-L909,"")</f>
        <v/>
      </c>
      <c r="O909" s="7">
        <f>IF(AND(ISNUMBER(M909),ISNUMBER(L909),L909&gt;0),(M909-L909)/L909,"")</f>
        <v/>
      </c>
      <c r="P909" s="3">
        <f>IF(O909="","",IF(O909&lt;-0.02,"🔴 Bán phá giá sàn",IF(O909&gt;0.05,"🔵 Bán cao hơn","🟢 Đúng giá sàn TMĐT")))</f>
        <v/>
      </c>
      <c r="Q909" s="3" t="n"/>
      <c r="R909" s="4" t="n"/>
      <c r="S909" s="4" t="n"/>
    </row>
    <row r="910">
      <c r="A910" s="3" t="n">
        <v>909</v>
      </c>
      <c r="B910" s="3" t="inlineStr">
        <is>
          <t>KH005</t>
        </is>
      </c>
      <c r="C910" s="4" t="inlineStr">
        <is>
          <t>ThinkSafe HCM</t>
        </is>
      </c>
      <c r="D910" s="3" t="inlineStr">
        <is>
          <t>HCM</t>
        </is>
      </c>
      <c r="E910" s="3" t="inlineStr">
        <is>
          <t>XUÂN TRANG</t>
        </is>
      </c>
      <c r="F910" s="3" t="inlineStr">
        <is>
          <t>Shopee</t>
        </is>
      </c>
      <c r="G910" s="3" t="inlineStr">
        <is>
          <t>F1</t>
        </is>
      </c>
      <c r="H910" s="4" t="inlineStr">
        <is>
          <t>Lưỡi cắt Kingblue F1 150DN (vàng)</t>
        </is>
      </c>
      <c r="I910" s="3" t="inlineStr">
        <is>
          <t>Cái</t>
        </is>
      </c>
      <c r="J910" s="5" t="n">
        <v>92000</v>
      </c>
      <c r="K910" s="5" t="n">
        <v>108000</v>
      </c>
      <c r="L910" s="6" t="n">
        <v>133000</v>
      </c>
      <c r="M910" s="5" t="n"/>
      <c r="N910" s="5">
        <f>IF(AND(ISNUMBER(M910),ISNUMBER(L910)),M910-L910,"")</f>
        <v/>
      </c>
      <c r="O910" s="7">
        <f>IF(AND(ISNUMBER(M910),ISNUMBER(L910),L910&gt;0),(M910-L910)/L910,"")</f>
        <v/>
      </c>
      <c r="P910" s="3">
        <f>IF(O910="","",IF(O910&lt;-0.02,"🔴 Bán phá giá sàn",IF(O910&gt;0.05,"🔵 Bán cao hơn","🟢 Đúng giá sàn TMĐT")))</f>
        <v/>
      </c>
      <c r="Q910" s="3" t="n"/>
      <c r="R910" s="4" t="n"/>
      <c r="S910" s="4" t="n"/>
    </row>
    <row r="911">
      <c r="A911" s="3" t="n">
        <v>910</v>
      </c>
      <c r="B911" s="3" t="inlineStr">
        <is>
          <t>KH005</t>
        </is>
      </c>
      <c r="C911" s="4" t="inlineStr">
        <is>
          <t>ThinkSafe HCM</t>
        </is>
      </c>
      <c r="D911" s="3" t="inlineStr">
        <is>
          <t>HCM</t>
        </is>
      </c>
      <c r="E911" s="3" t="inlineStr">
        <is>
          <t>XUÂN TRANG</t>
        </is>
      </c>
      <c r="F911" s="3" t="inlineStr">
        <is>
          <t>Shopee</t>
        </is>
      </c>
      <c r="G911" s="3" t="inlineStr">
        <is>
          <t>F1-125DN</t>
        </is>
      </c>
      <c r="H911" s="4" t="inlineStr">
        <is>
          <t>Lưỡi cắt KingBlue F1-125DN (Vàng)</t>
        </is>
      </c>
      <c r="I911" s="3" t="inlineStr">
        <is>
          <t>Cái</t>
        </is>
      </c>
      <c r="J911" s="5" t="n">
        <v>107000</v>
      </c>
      <c r="K911" s="5" t="n">
        <v>126000</v>
      </c>
      <c r="L911" s="6" t="n">
        <v>155000</v>
      </c>
      <c r="M911" s="5" t="n"/>
      <c r="N911" s="5">
        <f>IF(AND(ISNUMBER(M911),ISNUMBER(L911)),M911-L911,"")</f>
        <v/>
      </c>
      <c r="O911" s="7">
        <f>IF(AND(ISNUMBER(M911),ISNUMBER(L911),L911&gt;0),(M911-L911)/L911,"")</f>
        <v/>
      </c>
      <c r="P911" s="3">
        <f>IF(O911="","",IF(O911&lt;-0.02,"🔴 Bán phá giá sàn",IF(O911&gt;0.05,"🔵 Bán cao hơn","🟢 Đúng giá sàn TMĐT")))</f>
        <v/>
      </c>
      <c r="Q911" s="3" t="n"/>
      <c r="R911" s="4" t="n"/>
      <c r="S911" s="4" t="n"/>
    </row>
    <row r="912">
      <c r="A912" s="3" t="n">
        <v>911</v>
      </c>
      <c r="B912" s="3" t="inlineStr">
        <is>
          <t>KH005</t>
        </is>
      </c>
      <c r="C912" s="4" t="inlineStr">
        <is>
          <t>ThinkSafe HCM</t>
        </is>
      </c>
      <c r="D912" s="3" t="inlineStr">
        <is>
          <t>HCM</t>
        </is>
      </c>
      <c r="E912" s="3" t="inlineStr">
        <is>
          <t>XUÂN TRANG</t>
        </is>
      </c>
      <c r="F912" s="3" t="inlineStr">
        <is>
          <t>Shopee</t>
        </is>
      </c>
      <c r="G912" s="3" t="inlineStr">
        <is>
          <t>S1-105DN</t>
        </is>
      </c>
      <c r="H912" s="4" t="inlineStr">
        <is>
          <t>Lưỡi cắt KingBlue S1-105DN</t>
        </is>
      </c>
      <c r="I912" s="3" t="inlineStr">
        <is>
          <t>Cái</t>
        </is>
      </c>
      <c r="J912" s="5" t="n">
        <v>60000</v>
      </c>
      <c r="K912" s="5" t="n">
        <v>71000</v>
      </c>
      <c r="L912" s="6" t="n">
        <v>87000</v>
      </c>
      <c r="M912" s="5" t="n"/>
      <c r="N912" s="5">
        <f>IF(AND(ISNUMBER(M912),ISNUMBER(L912)),M912-L912,"")</f>
        <v/>
      </c>
      <c r="O912" s="7">
        <f>IF(AND(ISNUMBER(M912),ISNUMBER(L912),L912&gt;0),(M912-L912)/L912,"")</f>
        <v/>
      </c>
      <c r="P912" s="3">
        <f>IF(O912="","",IF(O912&lt;-0.02,"🔴 Bán phá giá sàn",IF(O912&gt;0.05,"🔵 Bán cao hơn","🟢 Đúng giá sàn TMĐT")))</f>
        <v/>
      </c>
      <c r="Q912" s="3" t="n"/>
      <c r="R912" s="4" t="n"/>
      <c r="S912" s="4" t="n"/>
    </row>
    <row r="913">
      <c r="A913" s="3" t="n">
        <v>912</v>
      </c>
      <c r="B913" s="3" t="inlineStr">
        <is>
          <t>KH005</t>
        </is>
      </c>
      <c r="C913" s="4" t="inlineStr">
        <is>
          <t>ThinkSafe HCM</t>
        </is>
      </c>
      <c r="D913" s="3" t="inlineStr">
        <is>
          <t>HCM</t>
        </is>
      </c>
      <c r="E913" s="3" t="inlineStr">
        <is>
          <t>XUÂN TRANG</t>
        </is>
      </c>
      <c r="F913" s="3" t="inlineStr">
        <is>
          <t>Shopee</t>
        </is>
      </c>
      <c r="G913" s="3" t="inlineStr">
        <is>
          <t>S1-125DN</t>
        </is>
      </c>
      <c r="H913" s="4" t="inlineStr">
        <is>
          <t>Lưỡi cắt KingBlue S1-125DN</t>
        </is>
      </c>
      <c r="I913" s="3" t="inlineStr">
        <is>
          <t>Cái</t>
        </is>
      </c>
      <c r="J913" s="5" t="n">
        <v>80000</v>
      </c>
      <c r="K913" s="5" t="n">
        <v>94000</v>
      </c>
      <c r="L913" s="6" t="n">
        <v>116000</v>
      </c>
      <c r="M913" s="5" t="n"/>
      <c r="N913" s="5">
        <f>IF(AND(ISNUMBER(M913),ISNUMBER(L913)),M913-L913,"")</f>
        <v/>
      </c>
      <c r="O913" s="7">
        <f>IF(AND(ISNUMBER(M913),ISNUMBER(L913),L913&gt;0),(M913-L913)/L913,"")</f>
        <v/>
      </c>
      <c r="P913" s="3">
        <f>IF(O913="","",IF(O913&lt;-0.02,"🔴 Bán phá giá sàn",IF(O913&gt;0.05,"🔵 Bán cao hơn","🟢 Đúng giá sàn TMĐT")))</f>
        <v/>
      </c>
      <c r="Q913" s="3" t="n"/>
      <c r="R913" s="4" t="n"/>
      <c r="S913" s="4" t="n"/>
    </row>
    <row r="914">
      <c r="A914" s="3" t="n">
        <v>913</v>
      </c>
      <c r="B914" s="3" t="inlineStr">
        <is>
          <t>KH005</t>
        </is>
      </c>
      <c r="C914" s="4" t="inlineStr">
        <is>
          <t>ThinkSafe HCM</t>
        </is>
      </c>
      <c r="D914" s="3" t="inlineStr">
        <is>
          <t>HCM</t>
        </is>
      </c>
      <c r="E914" s="3" t="inlineStr">
        <is>
          <t>XUÂN TRANG</t>
        </is>
      </c>
      <c r="F914" s="3" t="inlineStr">
        <is>
          <t>Shopee</t>
        </is>
      </c>
      <c r="G914" s="3" t="inlineStr">
        <is>
          <t>S2</t>
        </is>
      </c>
      <c r="H914" s="4" t="inlineStr">
        <is>
          <t>Lưỡi cắt KingBlue S2 105DN</t>
        </is>
      </c>
      <c r="I914" s="3" t="inlineStr">
        <is>
          <t>Cái</t>
        </is>
      </c>
      <c r="J914" s="5" t="n">
        <v>51000</v>
      </c>
      <c r="K914" s="5" t="n">
        <v>60000</v>
      </c>
      <c r="L914" s="6" t="n">
        <v>74000</v>
      </c>
      <c r="M914" s="5" t="n"/>
      <c r="N914" s="5">
        <f>IF(AND(ISNUMBER(M914),ISNUMBER(L914)),M914-L914,"")</f>
        <v/>
      </c>
      <c r="O914" s="7">
        <f>IF(AND(ISNUMBER(M914),ISNUMBER(L914),L914&gt;0),(M914-L914)/L914,"")</f>
        <v/>
      </c>
      <c r="P914" s="3">
        <f>IF(O914="","",IF(O914&lt;-0.02,"🔴 Bán phá giá sàn",IF(O914&gt;0.05,"🔵 Bán cao hơn","🟢 Đúng giá sàn TMĐT")))</f>
        <v/>
      </c>
      <c r="Q914" s="3" t="n"/>
      <c r="R914" s="4" t="n"/>
      <c r="S914" s="4" t="n"/>
    </row>
    <row r="915">
      <c r="A915" s="3" t="n">
        <v>914</v>
      </c>
      <c r="B915" s="3" t="inlineStr">
        <is>
          <t>KH005</t>
        </is>
      </c>
      <c r="C915" s="4" t="inlineStr">
        <is>
          <t>ThinkSafe HCM</t>
        </is>
      </c>
      <c r="D915" s="3" t="inlineStr">
        <is>
          <t>HCM</t>
        </is>
      </c>
      <c r="E915" s="3" t="inlineStr">
        <is>
          <t>XUÂN TRANG</t>
        </is>
      </c>
      <c r="F915" s="3" t="inlineStr">
        <is>
          <t>Shopee</t>
        </is>
      </c>
      <c r="G915" s="3" t="inlineStr">
        <is>
          <t>S3</t>
        </is>
      </c>
      <c r="H915" s="4" t="inlineStr">
        <is>
          <t>Lưỡi cắt KingBlue S3 105DN (xanh dương) (NEW)</t>
        </is>
      </c>
      <c r="I915" s="3" t="inlineStr">
        <is>
          <t>Cái</t>
        </is>
      </c>
      <c r="J915" s="5" t="n">
        <v>263000</v>
      </c>
      <c r="K915" s="5" t="n">
        <v>310000</v>
      </c>
      <c r="L915" s="6" t="n">
        <v>381000</v>
      </c>
      <c r="M915" s="5" t="n"/>
      <c r="N915" s="5">
        <f>IF(AND(ISNUMBER(M915),ISNUMBER(L915)),M915-L915,"")</f>
        <v/>
      </c>
      <c r="O915" s="7">
        <f>IF(AND(ISNUMBER(M915),ISNUMBER(L915),L915&gt;0),(M915-L915)/L915,"")</f>
        <v/>
      </c>
      <c r="P915" s="3">
        <f>IF(O915="","",IF(O915&lt;-0.02,"🔴 Bán phá giá sàn",IF(O915&gt;0.05,"🔵 Bán cao hơn","🟢 Đúng giá sàn TMĐT")))</f>
        <v/>
      </c>
      <c r="Q915" s="3" t="n"/>
      <c r="R915" s="4" t="n"/>
      <c r="S915" s="4" t="n"/>
    </row>
    <row r="916">
      <c r="A916" s="3" t="n">
        <v>915</v>
      </c>
      <c r="B916" s="3" t="inlineStr">
        <is>
          <t>KH005</t>
        </is>
      </c>
      <c r="C916" s="4" t="inlineStr">
        <is>
          <t>ThinkSafe HCM</t>
        </is>
      </c>
      <c r="D916" s="3" t="inlineStr">
        <is>
          <t>HCM</t>
        </is>
      </c>
      <c r="E916" s="3" t="inlineStr">
        <is>
          <t>XUÂN TRANG</t>
        </is>
      </c>
      <c r="F916" s="3" t="inlineStr">
        <is>
          <t>Shopee</t>
        </is>
      </c>
      <c r="G916" s="3" t="inlineStr">
        <is>
          <t>S4-105DN</t>
        </is>
      </c>
      <c r="H916" s="4" t="inlineStr">
        <is>
          <t>Lưỡi cắt KingBlue S4-105DN</t>
        </is>
      </c>
      <c r="I916" s="3" t="inlineStr">
        <is>
          <t>Cái</t>
        </is>
      </c>
      <c r="J916" s="5" t="n">
        <v>125000</v>
      </c>
      <c r="K916" s="5" t="n">
        <v>147000</v>
      </c>
      <c r="L916" s="6" t="n">
        <v>181000</v>
      </c>
      <c r="M916" s="5" t="n"/>
      <c r="N916" s="5">
        <f>IF(AND(ISNUMBER(M916),ISNUMBER(L916)),M916-L916,"")</f>
        <v/>
      </c>
      <c r="O916" s="7">
        <f>IF(AND(ISNUMBER(M916),ISNUMBER(L916),L916&gt;0),(M916-L916)/L916,"")</f>
        <v/>
      </c>
      <c r="P916" s="3">
        <f>IF(O916="","",IF(O916&lt;-0.02,"🔴 Bán phá giá sàn",IF(O916&gt;0.05,"🔵 Bán cao hơn","🟢 Đúng giá sàn TMĐT")))</f>
        <v/>
      </c>
      <c r="Q916" s="3" t="n"/>
      <c r="R916" s="4" t="n"/>
      <c r="S916" s="4" t="n"/>
    </row>
    <row r="917">
      <c r="A917" s="3" t="n">
        <v>916</v>
      </c>
      <c r="B917" s="3" t="inlineStr">
        <is>
          <t>KH005</t>
        </is>
      </c>
      <c r="C917" s="4" t="inlineStr">
        <is>
          <t>ThinkSafe HCM</t>
        </is>
      </c>
      <c r="D917" s="3" t="inlineStr">
        <is>
          <t>HCM</t>
        </is>
      </c>
      <c r="E917" s="3" t="inlineStr">
        <is>
          <t>XUÂN TRANG</t>
        </is>
      </c>
      <c r="F917" s="3" t="inlineStr">
        <is>
          <t>Shopee</t>
        </is>
      </c>
      <c r="G917" s="3" t="inlineStr">
        <is>
          <t>S4-125DN</t>
        </is>
      </c>
      <c r="H917" s="4" t="inlineStr">
        <is>
          <t>Lưỡi cắt KingBlue S4-125DN</t>
        </is>
      </c>
      <c r="I917" s="3" t="inlineStr">
        <is>
          <t>Cái</t>
        </is>
      </c>
      <c r="J917" s="5" t="n">
        <v>150000</v>
      </c>
      <c r="K917" s="5" t="n">
        <v>177000</v>
      </c>
      <c r="L917" s="6" t="n">
        <v>218000</v>
      </c>
      <c r="M917" s="5" t="n"/>
      <c r="N917" s="5">
        <f>IF(AND(ISNUMBER(M917),ISNUMBER(L917)),M917-L917,"")</f>
        <v/>
      </c>
      <c r="O917" s="7">
        <f>IF(AND(ISNUMBER(M917),ISNUMBER(L917),L917&gt;0),(M917-L917)/L917,"")</f>
        <v/>
      </c>
      <c r="P917" s="3">
        <f>IF(O917="","",IF(O917&lt;-0.02,"🔴 Bán phá giá sàn",IF(O917&gt;0.05,"🔵 Bán cao hơn","🟢 Đúng giá sàn TMĐT")))</f>
        <v/>
      </c>
      <c r="Q917" s="3" t="n"/>
      <c r="R917" s="4" t="n"/>
      <c r="S917" s="4" t="n"/>
    </row>
    <row r="918">
      <c r="A918" s="3" t="n">
        <v>917</v>
      </c>
      <c r="B918" s="3" t="inlineStr">
        <is>
          <t>KH005</t>
        </is>
      </c>
      <c r="C918" s="4" t="inlineStr">
        <is>
          <t>ThinkSafe HCM</t>
        </is>
      </c>
      <c r="D918" s="3" t="inlineStr">
        <is>
          <t>HCM</t>
        </is>
      </c>
      <c r="E918" s="3" t="inlineStr">
        <is>
          <t>XUÂN TRANG</t>
        </is>
      </c>
      <c r="F918" s="3" t="inlineStr">
        <is>
          <t>Shopee</t>
        </is>
      </c>
      <c r="G918" s="3" t="inlineStr">
        <is>
          <t>T1-114L</t>
        </is>
      </c>
      <c r="H918" s="4" t="inlineStr">
        <is>
          <t>Lưỡi cắt Kingblue T1-114L</t>
        </is>
      </c>
      <c r="I918" s="3" t="inlineStr">
        <is>
          <t>Cái</t>
        </is>
      </c>
      <c r="J918" s="5" t="n">
        <v>61000</v>
      </c>
      <c r="K918" s="5" t="n">
        <v>72000</v>
      </c>
      <c r="L918" s="6" t="n">
        <v>89000</v>
      </c>
      <c r="M918" s="5" t="n"/>
      <c r="N918" s="5">
        <f>IF(AND(ISNUMBER(M918),ISNUMBER(L918)),M918-L918,"")</f>
        <v/>
      </c>
      <c r="O918" s="7">
        <f>IF(AND(ISNUMBER(M918),ISNUMBER(L918),L918&gt;0),(M918-L918)/L918,"")</f>
        <v/>
      </c>
      <c r="P918" s="3">
        <f>IF(O918="","",IF(O918&lt;-0.02,"🔴 Bán phá giá sàn",IF(O918&gt;0.05,"🔵 Bán cao hơn","🟢 Đúng giá sàn TMĐT")))</f>
        <v/>
      </c>
      <c r="Q918" s="3" t="n"/>
      <c r="R918" s="4" t="n"/>
      <c r="S918" s="4" t="n"/>
    </row>
    <row r="919">
      <c r="A919" s="3" t="n">
        <v>918</v>
      </c>
      <c r="B919" s="3" t="inlineStr">
        <is>
          <t>KH005</t>
        </is>
      </c>
      <c r="C919" s="4" t="inlineStr">
        <is>
          <t>ThinkSafe HCM</t>
        </is>
      </c>
      <c r="D919" s="3" t="inlineStr">
        <is>
          <t>HCM</t>
        </is>
      </c>
      <c r="E919" s="3" t="inlineStr">
        <is>
          <t>XUÂN TRANG</t>
        </is>
      </c>
      <c r="F919" s="3" t="inlineStr">
        <is>
          <t>Shopee</t>
        </is>
      </c>
      <c r="G919" s="3" t="inlineStr">
        <is>
          <t>T1-114R</t>
        </is>
      </c>
      <c r="H919" s="4" t="inlineStr">
        <is>
          <t>Lưỡi cắt Kingblue T1-114R</t>
        </is>
      </c>
      <c r="I919" s="3" t="inlineStr">
        <is>
          <t>Cái</t>
        </is>
      </c>
      <c r="J919" s="5" t="n">
        <v>61000</v>
      </c>
      <c r="K919" s="5" t="n">
        <v>72000</v>
      </c>
      <c r="L919" s="6" t="n">
        <v>89000</v>
      </c>
      <c r="M919" s="5" t="n"/>
      <c r="N919" s="5">
        <f>IF(AND(ISNUMBER(M919),ISNUMBER(L919)),M919-L919,"")</f>
        <v/>
      </c>
      <c r="O919" s="7">
        <f>IF(AND(ISNUMBER(M919),ISNUMBER(L919),L919&gt;0),(M919-L919)/L919,"")</f>
        <v/>
      </c>
      <c r="P919" s="3">
        <f>IF(O919="","",IF(O919&lt;-0.02,"🔴 Bán phá giá sàn",IF(O919&gt;0.05,"🔵 Bán cao hơn","🟢 Đúng giá sàn TMĐT")))</f>
        <v/>
      </c>
      <c r="Q919" s="3" t="n"/>
      <c r="R919" s="4" t="n"/>
      <c r="S919" s="4" t="n"/>
    </row>
    <row r="920">
      <c r="A920" s="3" t="n">
        <v>919</v>
      </c>
      <c r="B920" s="3" t="inlineStr">
        <is>
          <t>KH005</t>
        </is>
      </c>
      <c r="C920" s="4" t="inlineStr">
        <is>
          <t>ThinkSafe HCM</t>
        </is>
      </c>
      <c r="D920" s="3" t="inlineStr">
        <is>
          <t>HCM</t>
        </is>
      </c>
      <c r="E920" s="3" t="inlineStr">
        <is>
          <t>XUÂN TRANG</t>
        </is>
      </c>
      <c r="F920" s="3" t="inlineStr">
        <is>
          <t>Shopee</t>
        </is>
      </c>
      <c r="G920" s="3" t="inlineStr">
        <is>
          <t>V1</t>
        </is>
      </c>
      <c r="H920" s="4" t="inlineStr">
        <is>
          <t>Lưỡi cắt KingBlue V1 110ĐN</t>
        </is>
      </c>
      <c r="I920" s="3" t="inlineStr">
        <is>
          <t>Cái</t>
        </is>
      </c>
      <c r="J920" s="5" t="n">
        <v>59000</v>
      </c>
      <c r="K920" s="5" t="n">
        <v>70000</v>
      </c>
      <c r="L920" s="6" t="n">
        <v>86000</v>
      </c>
      <c r="M920" s="5" t="n"/>
      <c r="N920" s="5">
        <f>IF(AND(ISNUMBER(M920),ISNUMBER(L920)),M920-L920,"")</f>
        <v/>
      </c>
      <c r="O920" s="7">
        <f>IF(AND(ISNUMBER(M920),ISNUMBER(L920),L920&gt;0),(M920-L920)/L920,"")</f>
        <v/>
      </c>
      <c r="P920" s="3">
        <f>IF(O920="","",IF(O920&lt;-0.02,"🔴 Bán phá giá sàn",IF(O920&gt;0.05,"🔵 Bán cao hơn","🟢 Đúng giá sàn TMĐT")))</f>
        <v/>
      </c>
      <c r="Q920" s="3" t="n"/>
      <c r="R920" s="4" t="n"/>
      <c r="S920" s="4" t="n"/>
    </row>
    <row r="921">
      <c r="A921" s="3" t="n">
        <v>920</v>
      </c>
      <c r="B921" s="3" t="inlineStr">
        <is>
          <t>KH005</t>
        </is>
      </c>
      <c r="C921" s="4" t="inlineStr">
        <is>
          <t>ThinkSafe HCM</t>
        </is>
      </c>
      <c r="D921" s="3" t="inlineStr">
        <is>
          <t>HCM</t>
        </is>
      </c>
      <c r="E921" s="3" t="inlineStr">
        <is>
          <t>XUÂN TRANG</t>
        </is>
      </c>
      <c r="F921" s="3" t="inlineStr">
        <is>
          <t>Shopee</t>
        </is>
      </c>
      <c r="G921" s="3" t="inlineStr">
        <is>
          <t>V2-110DN</t>
        </is>
      </c>
      <c r="H921" s="4" t="inlineStr">
        <is>
          <t>Lưỡi cắt Kingblue V2-110DN (NEW)</t>
        </is>
      </c>
      <c r="I921" s="3" t="inlineStr">
        <is>
          <t>Cái</t>
        </is>
      </c>
      <c r="J921" s="5" t="n">
        <v>269000</v>
      </c>
      <c r="K921" s="5" t="n">
        <v>317000</v>
      </c>
      <c r="L921" s="6" t="n">
        <v>390000</v>
      </c>
      <c r="M921" s="5" t="n"/>
      <c r="N921" s="5">
        <f>IF(AND(ISNUMBER(M921),ISNUMBER(L921)),M921-L921,"")</f>
        <v/>
      </c>
      <c r="O921" s="7">
        <f>IF(AND(ISNUMBER(M921),ISNUMBER(L921),L921&gt;0),(M921-L921)/L921,"")</f>
        <v/>
      </c>
      <c r="P921" s="3">
        <f>IF(O921="","",IF(O921&lt;-0.02,"🔴 Bán phá giá sàn",IF(O921&gt;0.05,"🔵 Bán cao hơn","🟢 Đúng giá sàn TMĐT")))</f>
        <v/>
      </c>
      <c r="Q921" s="3" t="n"/>
      <c r="R921" s="4" t="n"/>
      <c r="S921" s="4" t="n"/>
    </row>
    <row r="922">
      <c r="A922" s="3" t="n">
        <v>921</v>
      </c>
      <c r="B922" s="3" t="inlineStr">
        <is>
          <t>KH005</t>
        </is>
      </c>
      <c r="C922" s="4" t="inlineStr">
        <is>
          <t>ThinkSafe HCM</t>
        </is>
      </c>
      <c r="D922" s="3" t="inlineStr">
        <is>
          <t>HCM</t>
        </is>
      </c>
      <c r="E922" s="3" t="inlineStr">
        <is>
          <t>XUÂN TRANG</t>
        </is>
      </c>
      <c r="F922" s="3" t="inlineStr">
        <is>
          <t>Shopee</t>
        </is>
      </c>
      <c r="G922" s="3" t="inlineStr">
        <is>
          <t>V3-110DN</t>
        </is>
      </c>
      <c r="H922" s="4" t="inlineStr">
        <is>
          <t>Lưỡi cắt KingBlue V3-110DN (NEW)</t>
        </is>
      </c>
      <c r="I922" s="3" t="inlineStr">
        <is>
          <t>Cái</t>
        </is>
      </c>
      <c r="J922" s="5" t="n">
        <v>269000</v>
      </c>
      <c r="K922" s="5" t="n">
        <v>317000</v>
      </c>
      <c r="L922" s="6" t="n">
        <v>390000</v>
      </c>
      <c r="M922" s="5" t="n"/>
      <c r="N922" s="5">
        <f>IF(AND(ISNUMBER(M922),ISNUMBER(L922)),M922-L922,"")</f>
        <v/>
      </c>
      <c r="O922" s="7">
        <f>IF(AND(ISNUMBER(M922),ISNUMBER(L922),L922&gt;0),(M922-L922)/L922,"")</f>
        <v/>
      </c>
      <c r="P922" s="3">
        <f>IF(O922="","",IF(O922&lt;-0.02,"🔴 Bán phá giá sàn",IF(O922&gt;0.05,"🔵 Bán cao hơn","🟢 Đúng giá sàn TMĐT")))</f>
        <v/>
      </c>
      <c r="Q922" s="3" t="n"/>
      <c r="R922" s="4" t="n"/>
      <c r="S922" s="4" t="n"/>
    </row>
    <row r="923">
      <c r="A923" s="3" t="n">
        <v>922</v>
      </c>
      <c r="B923" s="3" t="inlineStr">
        <is>
          <t>KH005</t>
        </is>
      </c>
      <c r="C923" s="4" t="inlineStr">
        <is>
          <t>ThinkSafe HCM</t>
        </is>
      </c>
      <c r="D923" s="3" t="inlineStr">
        <is>
          <t>HCM</t>
        </is>
      </c>
      <c r="E923" s="3" t="inlineStr">
        <is>
          <t>XUÂN TRANG</t>
        </is>
      </c>
      <c r="F923" s="3" t="inlineStr">
        <is>
          <t>Shopee</t>
        </is>
      </c>
      <c r="G923" s="3" t="inlineStr">
        <is>
          <t>V3-125ĐN</t>
        </is>
      </c>
      <c r="H923" s="4" t="inlineStr">
        <is>
          <t>Lưỡi cắt KingBlue V3-125ĐN</t>
        </is>
      </c>
      <c r="I923" s="3" t="inlineStr">
        <is>
          <t>Cái</t>
        </is>
      </c>
      <c r="J923" s="5" t="n">
        <v>269000</v>
      </c>
      <c r="K923" s="5" t="n">
        <v>317000</v>
      </c>
      <c r="L923" s="6" t="n">
        <v>390000</v>
      </c>
      <c r="M923" s="5" t="n"/>
      <c r="N923" s="5">
        <f>IF(AND(ISNUMBER(M923),ISNUMBER(L923)),M923-L923,"")</f>
        <v/>
      </c>
      <c r="O923" s="7">
        <f>IF(AND(ISNUMBER(M923),ISNUMBER(L923),L923&gt;0),(M923-L923)/L923,"")</f>
        <v/>
      </c>
      <c r="P923" s="3">
        <f>IF(O923="","",IF(O923&lt;-0.02,"🔴 Bán phá giá sàn",IF(O923&gt;0.05,"🔵 Bán cao hơn","🟢 Đúng giá sàn TMĐT")))</f>
        <v/>
      </c>
      <c r="Q923" s="3" t="n"/>
      <c r="R923" s="4" t="n"/>
      <c r="S923" s="4" t="n"/>
    </row>
    <row r="924">
      <c r="A924" s="3" t="n">
        <v>923</v>
      </c>
      <c r="B924" s="3" t="inlineStr">
        <is>
          <t>KH005</t>
        </is>
      </c>
      <c r="C924" s="4" t="inlineStr">
        <is>
          <t>ThinkSafe HCM</t>
        </is>
      </c>
      <c r="D924" s="3" t="inlineStr">
        <is>
          <t>HCM</t>
        </is>
      </c>
      <c r="E924" s="3" t="inlineStr">
        <is>
          <t>XUÂN TRANG</t>
        </is>
      </c>
      <c r="F924" s="3" t="inlineStr">
        <is>
          <t>Shopee</t>
        </is>
      </c>
      <c r="G924" s="3" t="inlineStr">
        <is>
          <t>V3-150ĐN</t>
        </is>
      </c>
      <c r="H924" s="4" t="inlineStr">
        <is>
          <t>Lưỡi cắt KingBlue V3-150ĐN</t>
        </is>
      </c>
      <c r="I924" s="3" t="inlineStr">
        <is>
          <t>Cái</t>
        </is>
      </c>
      <c r="J924" s="5" t="n">
        <v>269000</v>
      </c>
      <c r="K924" s="5" t="n">
        <v>317000</v>
      </c>
      <c r="L924" s="6" t="n">
        <v>390000</v>
      </c>
      <c r="M924" s="5" t="n"/>
      <c r="N924" s="5">
        <f>IF(AND(ISNUMBER(M924),ISNUMBER(L924)),M924-L924,"")</f>
        <v/>
      </c>
      <c r="O924" s="7">
        <f>IF(AND(ISNUMBER(M924),ISNUMBER(L924),L924&gt;0),(M924-L924)/L924,"")</f>
        <v/>
      </c>
      <c r="P924" s="3">
        <f>IF(O924="","",IF(O924&lt;-0.02,"🔴 Bán phá giá sàn",IF(O924&gt;0.05,"🔵 Bán cao hơn","🟢 Đúng giá sàn TMĐT")))</f>
        <v/>
      </c>
      <c r="Q924" s="3" t="n"/>
      <c r="R924" s="4" t="n"/>
      <c r="S924" s="4" t="n"/>
    </row>
    <row r="925">
      <c r="A925" s="3" t="n">
        <v>924</v>
      </c>
      <c r="B925" s="3" t="inlineStr">
        <is>
          <t>KH005</t>
        </is>
      </c>
      <c r="C925" s="4" t="inlineStr">
        <is>
          <t>ThinkSafe HCM</t>
        </is>
      </c>
      <c r="D925" s="3" t="inlineStr">
        <is>
          <t>HCM</t>
        </is>
      </c>
      <c r="E925" s="3" t="inlineStr">
        <is>
          <t>XUÂN TRANG</t>
        </is>
      </c>
      <c r="F925" s="3" t="inlineStr">
        <is>
          <t>Shopee</t>
        </is>
      </c>
      <c r="G925" s="3" t="inlineStr">
        <is>
          <t>V3-180ĐN</t>
        </is>
      </c>
      <c r="H925" s="4" t="inlineStr">
        <is>
          <t>Lưỡi cắt KingBlue V3-180ĐN</t>
        </is>
      </c>
      <c r="I925" s="3" t="inlineStr">
        <is>
          <t>Cái</t>
        </is>
      </c>
      <c r="J925" s="5" t="n">
        <v>269000</v>
      </c>
      <c r="K925" s="5" t="n">
        <v>317000</v>
      </c>
      <c r="L925" s="6" t="n">
        <v>390000</v>
      </c>
      <c r="M925" s="5" t="n"/>
      <c r="N925" s="5">
        <f>IF(AND(ISNUMBER(M925),ISNUMBER(L925)),M925-L925,"")</f>
        <v/>
      </c>
      <c r="O925" s="7">
        <f>IF(AND(ISNUMBER(M925),ISNUMBER(L925),L925&gt;0),(M925-L925)/L925,"")</f>
        <v/>
      </c>
      <c r="P925" s="3">
        <f>IF(O925="","",IF(O925&lt;-0.02,"🔴 Bán phá giá sàn",IF(O925&gt;0.05,"🔵 Bán cao hơn","🟢 Đúng giá sàn TMĐT")))</f>
        <v/>
      </c>
      <c r="Q925" s="3" t="n"/>
      <c r="R925" s="4" t="n"/>
      <c r="S925" s="4" t="n"/>
    </row>
    <row r="926">
      <c r="A926" s="3" t="n">
        <v>925</v>
      </c>
      <c r="B926" s="3" t="inlineStr">
        <is>
          <t>KH005</t>
        </is>
      </c>
      <c r="C926" s="4" t="inlineStr">
        <is>
          <t>ThinkSafe HCM</t>
        </is>
      </c>
      <c r="D926" s="3" t="inlineStr">
        <is>
          <t>HCM</t>
        </is>
      </c>
      <c r="E926" s="3" t="inlineStr">
        <is>
          <t>XUÂN TRANG</t>
        </is>
      </c>
      <c r="F926" s="3" t="inlineStr">
        <is>
          <t>Shopee</t>
        </is>
      </c>
      <c r="G926" s="3" t="inlineStr">
        <is>
          <t>V3-230ĐN</t>
        </is>
      </c>
      <c r="H926" s="4" t="inlineStr">
        <is>
          <t>Lưỡi cắt KingBlue V3-230ĐN</t>
        </is>
      </c>
      <c r="I926" s="3" t="inlineStr">
        <is>
          <t>Cái</t>
        </is>
      </c>
      <c r="J926" s="5" t="n">
        <v>269000</v>
      </c>
      <c r="K926" s="5" t="n">
        <v>317000</v>
      </c>
      <c r="L926" s="6" t="n">
        <v>390000</v>
      </c>
      <c r="M926" s="5" t="n"/>
      <c r="N926" s="5">
        <f>IF(AND(ISNUMBER(M926),ISNUMBER(L926)),M926-L926,"")</f>
        <v/>
      </c>
      <c r="O926" s="7">
        <f>IF(AND(ISNUMBER(M926),ISNUMBER(L926),L926&gt;0),(M926-L926)/L926,"")</f>
        <v/>
      </c>
      <c r="P926" s="3">
        <f>IF(O926="","",IF(O926&lt;-0.02,"🔴 Bán phá giá sàn",IF(O926&gt;0.05,"🔵 Bán cao hơn","🟢 Đúng giá sàn TMĐT")))</f>
        <v/>
      </c>
      <c r="Q926" s="3" t="n"/>
      <c r="R926" s="4" t="n"/>
      <c r="S926" s="4" t="n"/>
    </row>
    <row r="927">
      <c r="A927" s="3" t="n">
        <v>926</v>
      </c>
      <c r="B927" s="3" t="inlineStr">
        <is>
          <t>KH005</t>
        </is>
      </c>
      <c r="C927" s="4" t="inlineStr">
        <is>
          <t>ThinkSafe HCM</t>
        </is>
      </c>
      <c r="D927" s="3" t="inlineStr">
        <is>
          <t>HCM</t>
        </is>
      </c>
      <c r="E927" s="3" t="inlineStr">
        <is>
          <t>XUÂN TRANG</t>
        </is>
      </c>
      <c r="F927" s="3" t="inlineStr">
        <is>
          <t>Shopee</t>
        </is>
      </c>
      <c r="G927" s="3" t="inlineStr">
        <is>
          <t>K1-150*20*32T</t>
        </is>
      </c>
      <c r="H927" s="4" t="inlineStr">
        <is>
          <t>Lưỡi cưa hợp kim KingBlue K1-150*20*32T</t>
        </is>
      </c>
      <c r="I927" s="3" t="inlineStr">
        <is>
          <t>Cái</t>
        </is>
      </c>
      <c r="J927" s="5" t="n">
        <v>273000</v>
      </c>
      <c r="K927" s="5" t="n">
        <v>322000</v>
      </c>
      <c r="L927" s="6" t="n">
        <v>396000</v>
      </c>
      <c r="M927" s="5" t="n"/>
      <c r="N927" s="5">
        <f>IF(AND(ISNUMBER(M927),ISNUMBER(L927)),M927-L927,"")</f>
        <v/>
      </c>
      <c r="O927" s="7">
        <f>IF(AND(ISNUMBER(M927),ISNUMBER(L927),L927&gt;0),(M927-L927)/L927,"")</f>
        <v/>
      </c>
      <c r="P927" s="3">
        <f>IF(O927="","",IF(O927&lt;-0.02,"🔴 Bán phá giá sàn",IF(O927&gt;0.05,"🔵 Bán cao hơn","🟢 Đúng giá sàn TMĐT")))</f>
        <v/>
      </c>
      <c r="Q927" s="3" t="n"/>
      <c r="R927" s="4" t="n"/>
      <c r="S927" s="4" t="n"/>
    </row>
    <row r="928">
      <c r="A928" s="3" t="n">
        <v>927</v>
      </c>
      <c r="B928" s="3" t="inlineStr">
        <is>
          <t>KH005</t>
        </is>
      </c>
      <c r="C928" s="4" t="inlineStr">
        <is>
          <t>ThinkSafe HCM</t>
        </is>
      </c>
      <c r="D928" s="3" t="inlineStr">
        <is>
          <t>HCM</t>
        </is>
      </c>
      <c r="E928" s="3" t="inlineStr">
        <is>
          <t>XUÂN TRANG</t>
        </is>
      </c>
      <c r="F928" s="3" t="inlineStr">
        <is>
          <t>Shopee</t>
        </is>
      </c>
      <c r="G928" s="3" t="inlineStr">
        <is>
          <t>K1-185x32T</t>
        </is>
      </c>
      <c r="H928" s="4" t="inlineStr">
        <is>
          <t>Lưỡi cưa kim loại KingBlue K1-185x32T (Cưa sắt)</t>
        </is>
      </c>
      <c r="I928" s="3" t="inlineStr">
        <is>
          <t>Cái</t>
        </is>
      </c>
      <c r="J928" s="5" t="n">
        <v>273000</v>
      </c>
      <c r="K928" s="5" t="n">
        <v>322000</v>
      </c>
      <c r="L928" s="6" t="n">
        <v>396000</v>
      </c>
      <c r="M928" s="5" t="n"/>
      <c r="N928" s="5">
        <f>IF(AND(ISNUMBER(M928),ISNUMBER(L928)),M928-L928,"")</f>
        <v/>
      </c>
      <c r="O928" s="7">
        <f>IF(AND(ISNUMBER(M928),ISNUMBER(L928),L928&gt;0),(M928-L928)/L928,"")</f>
        <v/>
      </c>
      <c r="P928" s="3">
        <f>IF(O928="","",IF(O928&lt;-0.02,"🔴 Bán phá giá sàn",IF(O928&gt;0.05,"🔵 Bán cao hơn","🟢 Đúng giá sàn TMĐT")))</f>
        <v/>
      </c>
      <c r="Q928" s="3" t="n"/>
      <c r="R928" s="4" t="n"/>
      <c r="S928" s="4" t="n"/>
    </row>
    <row r="929">
      <c r="A929" s="3" t="n">
        <v>928</v>
      </c>
      <c r="B929" s="3" t="inlineStr">
        <is>
          <t>KH005</t>
        </is>
      </c>
      <c r="C929" s="4" t="inlineStr">
        <is>
          <t>ThinkSafe HCM</t>
        </is>
      </c>
      <c r="D929" s="3" t="inlineStr">
        <is>
          <t>HCM</t>
        </is>
      </c>
      <c r="E929" s="3" t="inlineStr">
        <is>
          <t>XUÂN TRANG</t>
        </is>
      </c>
      <c r="F929" s="3" t="inlineStr">
        <is>
          <t>Shopee</t>
        </is>
      </c>
      <c r="G929" s="3" t="inlineStr">
        <is>
          <t>KB-LE350</t>
        </is>
      </c>
      <c r="H929" s="4" t="inlineStr">
        <is>
          <t>Lưỡi Cưa KingBlue KB-LE350</t>
        </is>
      </c>
      <c r="I929" s="3" t="inlineStr">
        <is>
          <t>Cái</t>
        </is>
      </c>
      <c r="J929" s="5" t="n">
        <v>158000</v>
      </c>
      <c r="K929" s="5" t="n">
        <v>186000</v>
      </c>
      <c r="L929" s="6" t="n">
        <v>229000</v>
      </c>
      <c r="M929" s="5" t="n"/>
      <c r="N929" s="5">
        <f>IF(AND(ISNUMBER(M929),ISNUMBER(L929)),M929-L929,"")</f>
        <v/>
      </c>
      <c r="O929" s="7">
        <f>IF(AND(ISNUMBER(M929),ISNUMBER(L929),L929&gt;0),(M929-L929)/L929,"")</f>
        <v/>
      </c>
      <c r="P929" s="3">
        <f>IF(O929="","",IF(O929&lt;-0.02,"🔴 Bán phá giá sàn",IF(O929&gt;0.05,"🔵 Bán cao hơn","🟢 Đúng giá sàn TMĐT")))</f>
        <v/>
      </c>
      <c r="Q929" s="3" t="n"/>
      <c r="R929" s="4" t="n"/>
      <c r="S929" s="4" t="n"/>
    </row>
    <row r="930">
      <c r="A930" s="3" t="n">
        <v>929</v>
      </c>
      <c r="B930" s="3" t="inlineStr">
        <is>
          <t>KH005</t>
        </is>
      </c>
      <c r="C930" s="4" t="inlineStr">
        <is>
          <t>ThinkSafe HCM</t>
        </is>
      </c>
      <c r="D930" s="3" t="inlineStr">
        <is>
          <t>HCM</t>
        </is>
      </c>
      <c r="E930" s="3" t="inlineStr">
        <is>
          <t>XUÂN TRANG</t>
        </is>
      </c>
      <c r="F930" s="3" t="inlineStr">
        <is>
          <t>Shopee</t>
        </is>
      </c>
      <c r="G930" s="3" t="inlineStr">
        <is>
          <t>X1-110x40T</t>
        </is>
      </c>
      <c r="H930" s="4" t="inlineStr">
        <is>
          <t>Lưỡi cưa KingBlue X1-110x40T (Cưa gỗ)</t>
        </is>
      </c>
      <c r="I930" s="3" t="inlineStr">
        <is>
          <t>Cái</t>
        </is>
      </c>
      <c r="J930" s="5" t="n">
        <v>91000</v>
      </c>
      <c r="K930" s="5" t="n">
        <v>107000</v>
      </c>
      <c r="L930" s="6" t="n">
        <v>132000</v>
      </c>
      <c r="M930" s="5" t="n"/>
      <c r="N930" s="5">
        <f>IF(AND(ISNUMBER(M930),ISNUMBER(L930)),M930-L930,"")</f>
        <v/>
      </c>
      <c r="O930" s="7">
        <f>IF(AND(ISNUMBER(M930),ISNUMBER(L930),L930&gt;0),(M930-L930)/L930,"")</f>
        <v/>
      </c>
      <c r="P930" s="3">
        <f>IF(O930="","",IF(O930&lt;-0.02,"🔴 Bán phá giá sàn",IF(O930&gt;0.05,"🔵 Bán cao hơn","🟢 Đúng giá sàn TMĐT")))</f>
        <v/>
      </c>
      <c r="Q930" s="3" t="n"/>
      <c r="R930" s="4" t="n"/>
      <c r="S930" s="4" t="n"/>
    </row>
    <row r="931">
      <c r="A931" s="3" t="n">
        <v>930</v>
      </c>
      <c r="B931" s="3" t="inlineStr">
        <is>
          <t>KH005</t>
        </is>
      </c>
      <c r="C931" s="4" t="inlineStr">
        <is>
          <t>ThinkSafe HCM</t>
        </is>
      </c>
      <c r="D931" s="3" t="inlineStr">
        <is>
          <t>HCM</t>
        </is>
      </c>
      <c r="E931" s="3" t="inlineStr">
        <is>
          <t>XUÂN TRANG</t>
        </is>
      </c>
      <c r="F931" s="3" t="inlineStr">
        <is>
          <t>Shopee</t>
        </is>
      </c>
      <c r="G931" s="3" t="inlineStr">
        <is>
          <t>XS-110x30T</t>
        </is>
      </c>
      <c r="H931" s="4" t="inlineStr">
        <is>
          <t>Lưỡi cưa Kingblue XS-110x30T (Cưa gỗ)-NEW</t>
        </is>
      </c>
      <c r="I931" s="3" t="inlineStr">
        <is>
          <t>Cái</t>
        </is>
      </c>
      <c r="J931" s="5" t="n">
        <v>72000</v>
      </c>
      <c r="K931" s="5" t="n">
        <v>85000</v>
      </c>
      <c r="L931" s="6" t="n">
        <v>104000</v>
      </c>
      <c r="M931" s="5" t="n"/>
      <c r="N931" s="5">
        <f>IF(AND(ISNUMBER(M931),ISNUMBER(L931)),M931-L931,"")</f>
        <v/>
      </c>
      <c r="O931" s="7">
        <f>IF(AND(ISNUMBER(M931),ISNUMBER(L931),L931&gt;0),(M931-L931)/L931,"")</f>
        <v/>
      </c>
      <c r="P931" s="3">
        <f>IF(O931="","",IF(O931&lt;-0.02,"🔴 Bán phá giá sàn",IF(O931&gt;0.05,"🔵 Bán cao hơn","🟢 Đúng giá sàn TMĐT")))</f>
        <v/>
      </c>
      <c r="Q931" s="3" t="n"/>
      <c r="R931" s="4" t="n"/>
      <c r="S931" s="4" t="n"/>
    </row>
    <row r="932">
      <c r="A932" s="3" t="n">
        <v>931</v>
      </c>
      <c r="B932" s="3" t="inlineStr">
        <is>
          <t>KH005</t>
        </is>
      </c>
      <c r="C932" s="4" t="inlineStr">
        <is>
          <t>ThinkSafe HCM</t>
        </is>
      </c>
      <c r="D932" s="3" t="inlineStr">
        <is>
          <t>HCM</t>
        </is>
      </c>
      <c r="E932" s="3" t="inlineStr">
        <is>
          <t>XUÂN TRANG</t>
        </is>
      </c>
      <c r="F932" s="3" t="inlineStr">
        <is>
          <t>Shopee</t>
        </is>
      </c>
      <c r="G932" s="3" t="inlineStr">
        <is>
          <t>JH-06</t>
        </is>
      </c>
      <c r="H932" s="4" t="inlineStr">
        <is>
          <t>Lưỡi dao rọc cáp đa năng JH-06</t>
        </is>
      </c>
      <c r="I932" s="3" t="inlineStr">
        <is>
          <t>Vỉ</t>
        </is>
      </c>
      <c r="J932" s="5" t="n">
        <v>22000</v>
      </c>
      <c r="K932" s="5" t="n">
        <v>26000</v>
      </c>
      <c r="L932" s="6" t="n">
        <v>32000</v>
      </c>
      <c r="M932" s="5" t="n"/>
      <c r="N932" s="5">
        <f>IF(AND(ISNUMBER(M932),ISNUMBER(L932)),M932-L932,"")</f>
        <v/>
      </c>
      <c r="O932" s="7">
        <f>IF(AND(ISNUMBER(M932),ISNUMBER(L932),L932&gt;0),(M932-L932)/L932,"")</f>
        <v/>
      </c>
      <c r="P932" s="3">
        <f>IF(O932="","",IF(O932&lt;-0.02,"🔴 Bán phá giá sàn",IF(O932&gt;0.05,"🔵 Bán cao hơn","🟢 Đúng giá sàn TMĐT")))</f>
        <v/>
      </c>
      <c r="Q932" s="3" t="n"/>
      <c r="R932" s="4" t="n"/>
      <c r="S932" s="4" t="n"/>
    </row>
    <row r="933">
      <c r="A933" s="3" t="n">
        <v>932</v>
      </c>
      <c r="B933" s="3" t="inlineStr">
        <is>
          <t>KH005</t>
        </is>
      </c>
      <c r="C933" s="4" t="inlineStr">
        <is>
          <t>ThinkSafe HCM</t>
        </is>
      </c>
      <c r="D933" s="3" t="inlineStr">
        <is>
          <t>HCM</t>
        </is>
      </c>
      <c r="E933" s="3" t="inlineStr">
        <is>
          <t>XUÂN TRANG</t>
        </is>
      </c>
      <c r="F933" s="3" t="inlineStr">
        <is>
          <t>Shopee</t>
        </is>
      </c>
      <c r="G933" s="3" t="inlineStr">
        <is>
          <t>JH-59</t>
        </is>
      </c>
      <c r="H933" s="4" t="inlineStr">
        <is>
          <t>Lưỡi dao rọc giấy JH-59</t>
        </is>
      </c>
      <c r="I933" s="3" t="inlineStr">
        <is>
          <t>Vỉ</t>
        </is>
      </c>
      <c r="J933" s="5" t="n">
        <v>14600</v>
      </c>
      <c r="K933" s="5" t="n">
        <v>17000</v>
      </c>
      <c r="L933" s="6" t="n">
        <v>21000</v>
      </c>
      <c r="M933" s="5" t="n"/>
      <c r="N933" s="5">
        <f>IF(AND(ISNUMBER(M933),ISNUMBER(L933)),M933-L933,"")</f>
        <v/>
      </c>
      <c r="O933" s="7">
        <f>IF(AND(ISNUMBER(M933),ISNUMBER(L933),L933&gt;0),(M933-L933)/L933,"")</f>
        <v/>
      </c>
      <c r="P933" s="3">
        <f>IF(O933="","",IF(O933&lt;-0.02,"🔴 Bán phá giá sàn",IF(O933&gt;0.05,"🔵 Bán cao hơn","🟢 Đúng giá sàn TMĐT")))</f>
        <v/>
      </c>
      <c r="Q933" s="3" t="n"/>
      <c r="R933" s="4" t="n"/>
      <c r="S933" s="4" t="n"/>
    </row>
    <row r="934">
      <c r="A934" s="3" t="n">
        <v>933</v>
      </c>
      <c r="B934" s="3" t="inlineStr">
        <is>
          <t>KH005</t>
        </is>
      </c>
      <c r="C934" s="4" t="inlineStr">
        <is>
          <t>ThinkSafe HCM</t>
        </is>
      </c>
      <c r="D934" s="3" t="inlineStr">
        <is>
          <t>HCM</t>
        </is>
      </c>
      <c r="E934" s="3" t="inlineStr">
        <is>
          <t>XUÂN TRANG</t>
        </is>
      </c>
      <c r="F934" s="3" t="inlineStr">
        <is>
          <t>Shopee</t>
        </is>
      </c>
      <c r="G934" s="3" t="inlineStr">
        <is>
          <t>KB-02XS</t>
        </is>
      </c>
      <c r="H934" s="4" t="inlineStr">
        <is>
          <t>Máy cân bằng KB-02XS</t>
        </is>
      </c>
      <c r="I934" s="3" t="inlineStr">
        <is>
          <t>Cái</t>
        </is>
      </c>
      <c r="J934" s="5" t="n">
        <v>269000</v>
      </c>
      <c r="K934" s="5" t="n">
        <v>317000</v>
      </c>
      <c r="L934" s="6" t="n">
        <v>390000</v>
      </c>
      <c r="M934" s="5" t="n"/>
      <c r="N934" s="5">
        <f>IF(AND(ISNUMBER(M934),ISNUMBER(L934)),M934-L934,"")</f>
        <v/>
      </c>
      <c r="O934" s="7">
        <f>IF(AND(ISNUMBER(M934),ISNUMBER(L934),L934&gt;0),(M934-L934)/L934,"")</f>
        <v/>
      </c>
      <c r="P934" s="3">
        <f>IF(O934="","",IF(O934&lt;-0.02,"🔴 Bán phá giá sàn",IF(O934&gt;0.05,"🔵 Bán cao hơn","🟢 Đúng giá sàn TMĐT")))</f>
        <v/>
      </c>
      <c r="Q934" s="3" t="n"/>
      <c r="R934" s="4" t="n"/>
      <c r="S934" s="4" t="n"/>
    </row>
    <row r="935">
      <c r="A935" s="3" t="n">
        <v>934</v>
      </c>
      <c r="B935" s="3" t="inlineStr">
        <is>
          <t>KH005</t>
        </is>
      </c>
      <c r="C935" s="4" t="inlineStr">
        <is>
          <t>ThinkSafe HCM</t>
        </is>
      </c>
      <c r="D935" s="3" t="inlineStr">
        <is>
          <t>HCM</t>
        </is>
      </c>
      <c r="E935" s="3" t="inlineStr">
        <is>
          <t>XUÂN TRANG</t>
        </is>
      </c>
      <c r="F935" s="3" t="inlineStr">
        <is>
          <t>Shopee</t>
        </is>
      </c>
      <c r="G935" s="3" t="inlineStr">
        <is>
          <t>KB-05XS</t>
        </is>
      </c>
      <c r="H935" s="4" t="inlineStr">
        <is>
          <t>Máy cân bằng KB-05XS</t>
        </is>
      </c>
      <c r="I935" s="3" t="inlineStr">
        <is>
          <t>Cái</t>
        </is>
      </c>
      <c r="J935" s="5" t="n">
        <v>2090000</v>
      </c>
      <c r="K935" s="5" t="n">
        <v>2340000</v>
      </c>
      <c r="L935" s="6" t="n">
        <v>2720000</v>
      </c>
      <c r="M935" s="5" t="n"/>
      <c r="N935" s="5">
        <f>IF(AND(ISNUMBER(M935),ISNUMBER(L935)),M935-L935,"")</f>
        <v/>
      </c>
      <c r="O935" s="7">
        <f>IF(AND(ISNUMBER(M935),ISNUMBER(L935),L935&gt;0),(M935-L935)/L935,"")</f>
        <v/>
      </c>
      <c r="P935" s="3">
        <f>IF(O935="","",IF(O935&lt;-0.02,"🔴 Bán phá giá sàn",IF(O935&gt;0.05,"🔵 Bán cao hơn","🟢 Đúng giá sàn TMĐT")))</f>
        <v/>
      </c>
      <c r="Q935" s="3" t="n"/>
      <c r="R935" s="4" t="n"/>
      <c r="S935" s="4" t="n"/>
    </row>
    <row r="936">
      <c r="A936" s="3" t="n">
        <v>935</v>
      </c>
      <c r="B936" s="3" t="inlineStr">
        <is>
          <t>KH005</t>
        </is>
      </c>
      <c r="C936" s="4" t="inlineStr">
        <is>
          <t>ThinkSafe HCM</t>
        </is>
      </c>
      <c r="D936" s="3" t="inlineStr">
        <is>
          <t>HCM</t>
        </is>
      </c>
      <c r="E936" s="3" t="inlineStr">
        <is>
          <t>XUÂN TRANG</t>
        </is>
      </c>
      <c r="F936" s="3" t="inlineStr">
        <is>
          <t>Shopee</t>
        </is>
      </c>
      <c r="G936" s="3" t="inlineStr">
        <is>
          <t>KUC60</t>
        </is>
      </c>
      <c r="H936" s="4" t="inlineStr">
        <is>
          <t>Mỏ hàn thiếc KUC60</t>
        </is>
      </c>
      <c r="I936" s="3" t="inlineStr">
        <is>
          <t>Cái</t>
        </is>
      </c>
      <c r="J936" s="5" t="n">
        <v>132000</v>
      </c>
      <c r="K936" s="5" t="n">
        <v>156000</v>
      </c>
      <c r="L936" s="6" t="n">
        <v>191000</v>
      </c>
      <c r="M936" s="5" t="n"/>
      <c r="N936" s="5">
        <f>IF(AND(ISNUMBER(M936),ISNUMBER(L936)),M936-L936,"")</f>
        <v/>
      </c>
      <c r="O936" s="7">
        <f>IF(AND(ISNUMBER(M936),ISNUMBER(L936),L936&gt;0),(M936-L936)/L936,"")</f>
        <v/>
      </c>
      <c r="P936" s="3">
        <f>IF(O936="","",IF(O936&lt;-0.02,"🔴 Bán phá giá sàn",IF(O936&gt;0.05,"🔵 Bán cao hơn","🟢 Đúng giá sàn TMĐT")))</f>
        <v/>
      </c>
      <c r="Q936" s="3" t="n"/>
      <c r="R936" s="4" t="n"/>
      <c r="S936" s="4" t="n"/>
    </row>
    <row r="937">
      <c r="A937" s="3" t="n">
        <v>936</v>
      </c>
      <c r="B937" s="3" t="inlineStr">
        <is>
          <t>KH005</t>
        </is>
      </c>
      <c r="C937" s="4" t="inlineStr">
        <is>
          <t>ThinkSafe HCM</t>
        </is>
      </c>
      <c r="D937" s="3" t="inlineStr">
        <is>
          <t>HCM</t>
        </is>
      </c>
      <c r="E937" s="3" t="inlineStr">
        <is>
          <t>XUÂN TRANG</t>
        </is>
      </c>
      <c r="F937" s="3" t="inlineStr">
        <is>
          <t>Shopee</t>
        </is>
      </c>
      <c r="G937" s="3" t="inlineStr">
        <is>
          <t>KUC80</t>
        </is>
      </c>
      <c r="H937" s="4" t="inlineStr">
        <is>
          <t>Mỏ hàn thiếc KUC80</t>
        </is>
      </c>
      <c r="I937" s="3" t="inlineStr">
        <is>
          <t>Cái</t>
        </is>
      </c>
      <c r="J937" s="5" t="n">
        <v>154000</v>
      </c>
      <c r="K937" s="5" t="n">
        <v>182000</v>
      </c>
      <c r="L937" s="6" t="n">
        <v>223000</v>
      </c>
      <c r="M937" s="5" t="n"/>
      <c r="N937" s="5">
        <f>IF(AND(ISNUMBER(M937),ISNUMBER(L937)),M937-L937,"")</f>
        <v/>
      </c>
      <c r="O937" s="7">
        <f>IF(AND(ISNUMBER(M937),ISNUMBER(L937),L937&gt;0),(M937-L937)/L937,"")</f>
        <v/>
      </c>
      <c r="P937" s="3">
        <f>IF(O937="","",IF(O937&lt;-0.02,"🔴 Bán phá giá sàn",IF(O937&gt;0.05,"🔵 Bán cao hơn","🟢 Đúng giá sàn TMĐT")))</f>
        <v/>
      </c>
      <c r="Q937" s="3" t="n"/>
      <c r="R937" s="4" t="n"/>
      <c r="S937" s="4" t="n"/>
    </row>
    <row r="938">
      <c r="A938" s="3" t="n">
        <v>937</v>
      </c>
      <c r="B938" s="3" t="inlineStr">
        <is>
          <t>KH005</t>
        </is>
      </c>
      <c r="C938" s="4" t="inlineStr">
        <is>
          <t>ThinkSafe HCM</t>
        </is>
      </c>
      <c r="D938" s="3" t="inlineStr">
        <is>
          <t>HCM</t>
        </is>
      </c>
      <c r="E938" s="3" t="inlineStr">
        <is>
          <t>XUÂN TRANG</t>
        </is>
      </c>
      <c r="F938" s="3" t="inlineStr">
        <is>
          <t>Shopee</t>
        </is>
      </c>
      <c r="G938" s="3" t="inlineStr">
        <is>
          <t>KD1-200</t>
        </is>
      </c>
      <c r="H938" s="4" t="inlineStr">
        <is>
          <t>Mỏ lết KD1-200</t>
        </is>
      </c>
      <c r="I938" s="3" t="inlineStr">
        <is>
          <t>Cái</t>
        </is>
      </c>
      <c r="J938" s="5" t="n">
        <v>86000</v>
      </c>
      <c r="K938" s="5" t="n">
        <v>102000</v>
      </c>
      <c r="L938" s="6" t="n">
        <v>125000</v>
      </c>
      <c r="M938" s="5" t="n"/>
      <c r="N938" s="5">
        <f>IF(AND(ISNUMBER(M938),ISNUMBER(L938)),M938-L938,"")</f>
        <v/>
      </c>
      <c r="O938" s="7">
        <f>IF(AND(ISNUMBER(M938),ISNUMBER(L938),L938&gt;0),(M938-L938)/L938,"")</f>
        <v/>
      </c>
      <c r="P938" s="3">
        <f>IF(O938="","",IF(O938&lt;-0.02,"🔴 Bán phá giá sàn",IF(O938&gt;0.05,"🔵 Bán cao hơn","🟢 Đúng giá sàn TMĐT")))</f>
        <v/>
      </c>
      <c r="Q938" s="3" t="n"/>
      <c r="R938" s="4" t="n"/>
      <c r="S938" s="4" t="n"/>
    </row>
    <row r="939">
      <c r="A939" s="3" t="n">
        <v>938</v>
      </c>
      <c r="B939" s="3" t="inlineStr">
        <is>
          <t>KH005</t>
        </is>
      </c>
      <c r="C939" s="4" t="inlineStr">
        <is>
          <t>ThinkSafe HCM</t>
        </is>
      </c>
      <c r="D939" s="3" t="inlineStr">
        <is>
          <t>HCM</t>
        </is>
      </c>
      <c r="E939" s="3" t="inlineStr">
        <is>
          <t>XUÂN TRANG</t>
        </is>
      </c>
      <c r="F939" s="3" t="inlineStr">
        <is>
          <t>Shopee</t>
        </is>
      </c>
      <c r="G939" s="3" t="inlineStr">
        <is>
          <t>KD5-150</t>
        </is>
      </c>
      <c r="H939" s="4" t="inlineStr">
        <is>
          <t>Mỏ lết KD5-150</t>
        </is>
      </c>
      <c r="I939" s="3" t="inlineStr">
        <is>
          <t>Cái</t>
        </is>
      </c>
      <c r="J939" s="5" t="n">
        <v>149000</v>
      </c>
      <c r="K939" s="5" t="n">
        <v>176000</v>
      </c>
      <c r="L939" s="6" t="n">
        <v>216000</v>
      </c>
      <c r="M939" s="5" t="n"/>
      <c r="N939" s="5">
        <f>IF(AND(ISNUMBER(M939),ISNUMBER(L939)),M939-L939,"")</f>
        <v/>
      </c>
      <c r="O939" s="7">
        <f>IF(AND(ISNUMBER(M939),ISNUMBER(L939),L939&gt;0),(M939-L939)/L939,"")</f>
        <v/>
      </c>
      <c r="P939" s="3">
        <f>IF(O939="","",IF(O939&lt;-0.02,"🔴 Bán phá giá sàn",IF(O939&gt;0.05,"🔵 Bán cao hơn","🟢 Đúng giá sàn TMĐT")))</f>
        <v/>
      </c>
      <c r="Q939" s="3" t="n"/>
      <c r="R939" s="4" t="n"/>
      <c r="S939" s="4" t="n"/>
    </row>
    <row r="940">
      <c r="A940" s="3" t="n">
        <v>939</v>
      </c>
      <c r="B940" s="3" t="inlineStr">
        <is>
          <t>KH005</t>
        </is>
      </c>
      <c r="C940" s="4" t="inlineStr">
        <is>
          <t>ThinkSafe HCM</t>
        </is>
      </c>
      <c r="D940" s="3" t="inlineStr">
        <is>
          <t>HCM</t>
        </is>
      </c>
      <c r="E940" s="3" t="inlineStr">
        <is>
          <t>XUÂN TRANG</t>
        </is>
      </c>
      <c r="F940" s="3" t="inlineStr">
        <is>
          <t>Shopee</t>
        </is>
      </c>
      <c r="G940" s="3" t="inlineStr">
        <is>
          <t>KD5-200</t>
        </is>
      </c>
      <c r="H940" s="4" t="inlineStr">
        <is>
          <t>Mỏ lết KD5-200</t>
        </is>
      </c>
      <c r="I940" s="3" t="inlineStr">
        <is>
          <t>Cái</t>
        </is>
      </c>
      <c r="J940" s="5" t="n">
        <v>193000</v>
      </c>
      <c r="K940" s="5" t="n">
        <v>228000</v>
      </c>
      <c r="L940" s="6" t="n">
        <v>280000</v>
      </c>
      <c r="M940" s="5" t="n"/>
      <c r="N940" s="5">
        <f>IF(AND(ISNUMBER(M940),ISNUMBER(L940)),M940-L940,"")</f>
        <v/>
      </c>
      <c r="O940" s="7">
        <f>IF(AND(ISNUMBER(M940),ISNUMBER(L940),L940&gt;0),(M940-L940)/L940,"")</f>
        <v/>
      </c>
      <c r="P940" s="3">
        <f>IF(O940="","",IF(O940&lt;-0.02,"🔴 Bán phá giá sàn",IF(O940&gt;0.05,"🔵 Bán cao hơn","🟢 Đúng giá sàn TMĐT")))</f>
        <v/>
      </c>
      <c r="Q940" s="3" t="n"/>
      <c r="R940" s="4" t="n"/>
      <c r="S940" s="4" t="n"/>
    </row>
    <row r="941">
      <c r="A941" s="3" t="n">
        <v>940</v>
      </c>
      <c r="B941" s="3" t="inlineStr">
        <is>
          <t>KH005</t>
        </is>
      </c>
      <c r="C941" s="4" t="inlineStr">
        <is>
          <t>ThinkSafe HCM</t>
        </is>
      </c>
      <c r="D941" s="3" t="inlineStr">
        <is>
          <t>HCM</t>
        </is>
      </c>
      <c r="E941" s="3" t="inlineStr">
        <is>
          <t>XUÂN TRANG</t>
        </is>
      </c>
      <c r="F941" s="3" t="inlineStr">
        <is>
          <t>Shopee</t>
        </is>
      </c>
      <c r="G941" s="3" t="inlineStr">
        <is>
          <t>KD5-250</t>
        </is>
      </c>
      <c r="H941" s="4" t="inlineStr">
        <is>
          <t>Mỏ lết KD5-250</t>
        </is>
      </c>
      <c r="I941" s="3" t="inlineStr">
        <is>
          <t>Cái</t>
        </is>
      </c>
      <c r="J941" s="5" t="n">
        <v>292000</v>
      </c>
      <c r="K941" s="5" t="n">
        <v>344000</v>
      </c>
      <c r="L941" s="6" t="n">
        <v>423000</v>
      </c>
      <c r="M941" s="5" t="n"/>
      <c r="N941" s="5">
        <f>IF(AND(ISNUMBER(M941),ISNUMBER(L941)),M941-L941,"")</f>
        <v/>
      </c>
      <c r="O941" s="7">
        <f>IF(AND(ISNUMBER(M941),ISNUMBER(L941),L941&gt;0),(M941-L941)/L941,"")</f>
        <v/>
      </c>
      <c r="P941" s="3">
        <f>IF(O941="","",IF(O941&lt;-0.02,"🔴 Bán phá giá sàn",IF(O941&gt;0.05,"🔵 Bán cao hơn","🟢 Đúng giá sàn TMĐT")))</f>
        <v/>
      </c>
      <c r="Q941" s="3" t="n"/>
      <c r="R941" s="4" t="n"/>
      <c r="S941" s="4" t="n"/>
    </row>
    <row r="942">
      <c r="A942" s="3" t="n">
        <v>941</v>
      </c>
      <c r="B942" s="3" t="inlineStr">
        <is>
          <t>KH005</t>
        </is>
      </c>
      <c r="C942" s="4" t="inlineStr">
        <is>
          <t>ThinkSafe HCM</t>
        </is>
      </c>
      <c r="D942" s="3" t="inlineStr">
        <is>
          <t>HCM</t>
        </is>
      </c>
      <c r="E942" s="3" t="inlineStr">
        <is>
          <t>XUÂN TRANG</t>
        </is>
      </c>
      <c r="F942" s="3" t="inlineStr">
        <is>
          <t>Shopee</t>
        </is>
      </c>
      <c r="G942" s="3" t="inlineStr">
        <is>
          <t>KD5-300</t>
        </is>
      </c>
      <c r="H942" s="4" t="inlineStr">
        <is>
          <t>Mỏ lết KD5-300</t>
        </is>
      </c>
      <c r="I942" s="3" t="inlineStr">
        <is>
          <t>Cái</t>
        </is>
      </c>
      <c r="J942" s="5" t="n">
        <v>413000</v>
      </c>
      <c r="K942" s="5" t="n">
        <v>487000</v>
      </c>
      <c r="L942" s="6" t="n">
        <v>599000</v>
      </c>
      <c r="M942" s="5" t="n"/>
      <c r="N942" s="5">
        <f>IF(AND(ISNUMBER(M942),ISNUMBER(L942)),M942-L942,"")</f>
        <v/>
      </c>
      <c r="O942" s="7">
        <f>IF(AND(ISNUMBER(M942),ISNUMBER(L942),L942&gt;0),(M942-L942)/L942,"")</f>
        <v/>
      </c>
      <c r="P942" s="3">
        <f>IF(O942="","",IF(O942&lt;-0.02,"🔴 Bán phá giá sàn",IF(O942&gt;0.05,"🔵 Bán cao hơn","🟢 Đúng giá sàn TMĐT")))</f>
        <v/>
      </c>
      <c r="Q942" s="3" t="n"/>
      <c r="R942" s="4" t="n"/>
      <c r="S942" s="4" t="n"/>
    </row>
    <row r="943">
      <c r="A943" s="3" t="n">
        <v>942</v>
      </c>
      <c r="B943" s="3" t="inlineStr">
        <is>
          <t>KH005</t>
        </is>
      </c>
      <c r="C943" s="4" t="inlineStr">
        <is>
          <t>ThinkSafe HCM</t>
        </is>
      </c>
      <c r="D943" s="3" t="inlineStr">
        <is>
          <t>HCM</t>
        </is>
      </c>
      <c r="E943" s="3" t="inlineStr">
        <is>
          <t>XUÂN TRANG</t>
        </is>
      </c>
      <c r="F943" s="3" t="inlineStr">
        <is>
          <t>Shopee</t>
        </is>
      </c>
      <c r="G943" s="3" t="inlineStr">
        <is>
          <t>KW-300</t>
        </is>
      </c>
      <c r="H943" s="4" t="inlineStr">
        <is>
          <t>Mỏ lết răng KW-300</t>
        </is>
      </c>
      <c r="I943" s="3" t="inlineStr">
        <is>
          <t>Cái</t>
        </is>
      </c>
      <c r="J943" s="5" t="n">
        <v>141000</v>
      </c>
      <c r="K943" s="5" t="n">
        <v>167000</v>
      </c>
      <c r="L943" s="6" t="n">
        <v>205000</v>
      </c>
      <c r="M943" s="5" t="n"/>
      <c r="N943" s="5">
        <f>IF(AND(ISNUMBER(M943),ISNUMBER(L943)),M943-L943,"")</f>
        <v/>
      </c>
      <c r="O943" s="7">
        <f>IF(AND(ISNUMBER(M943),ISNUMBER(L943),L943&gt;0),(M943-L943)/L943,"")</f>
        <v/>
      </c>
      <c r="P943" s="3">
        <f>IF(O943="","",IF(O943&lt;-0.02,"🔴 Bán phá giá sàn",IF(O943&gt;0.05,"🔵 Bán cao hơn","🟢 Đúng giá sàn TMĐT")))</f>
        <v/>
      </c>
      <c r="Q943" s="3" t="n"/>
      <c r="R943" s="4" t="n"/>
      <c r="S943" s="4" t="n"/>
    </row>
    <row r="944">
      <c r="A944" s="3" t="n">
        <v>943</v>
      </c>
      <c r="B944" s="3" t="inlineStr">
        <is>
          <t>KH005</t>
        </is>
      </c>
      <c r="C944" s="4" t="inlineStr">
        <is>
          <t>ThinkSafe HCM</t>
        </is>
      </c>
      <c r="D944" s="3" t="inlineStr">
        <is>
          <t>HCM</t>
        </is>
      </c>
      <c r="E944" s="3" t="inlineStr">
        <is>
          <t>XUÂN TRANG</t>
        </is>
      </c>
      <c r="F944" s="3" t="inlineStr">
        <is>
          <t>Shopee</t>
        </is>
      </c>
      <c r="G944" s="3" t="inlineStr">
        <is>
          <t>KW-350</t>
        </is>
      </c>
      <c r="H944" s="4" t="inlineStr">
        <is>
          <t>Mỏ lết răng KW-350</t>
        </is>
      </c>
      <c r="I944" s="3" t="inlineStr">
        <is>
          <t>Cái</t>
        </is>
      </c>
      <c r="J944" s="5" t="n">
        <v>174000</v>
      </c>
      <c r="K944" s="5" t="n">
        <v>205000</v>
      </c>
      <c r="L944" s="6" t="n">
        <v>252000</v>
      </c>
      <c r="M944" s="5" t="n"/>
      <c r="N944" s="5">
        <f>IF(AND(ISNUMBER(M944),ISNUMBER(L944)),M944-L944,"")</f>
        <v/>
      </c>
      <c r="O944" s="7">
        <f>IF(AND(ISNUMBER(M944),ISNUMBER(L944),L944&gt;0),(M944-L944)/L944,"")</f>
        <v/>
      </c>
      <c r="P944" s="3">
        <f>IF(O944="","",IF(O944&lt;-0.02,"🔴 Bán phá giá sàn",IF(O944&gt;0.05,"🔵 Bán cao hơn","🟢 Đúng giá sàn TMĐT")))</f>
        <v/>
      </c>
      <c r="Q944" s="3" t="n"/>
      <c r="R944" s="4" t="n"/>
      <c r="S944" s="4" t="n"/>
    </row>
    <row r="945">
      <c r="A945" s="3" t="n">
        <v>944</v>
      </c>
      <c r="B945" s="3" t="inlineStr">
        <is>
          <t>KH005</t>
        </is>
      </c>
      <c r="C945" s="4" t="inlineStr">
        <is>
          <t>ThinkSafe HCM</t>
        </is>
      </c>
      <c r="D945" s="3" t="inlineStr">
        <is>
          <t>HCM</t>
        </is>
      </c>
      <c r="E945" s="3" t="inlineStr">
        <is>
          <t>XUÂN TRANG</t>
        </is>
      </c>
      <c r="F945" s="3" t="inlineStr">
        <is>
          <t>Shopee</t>
        </is>
      </c>
      <c r="G945" s="3" t="inlineStr">
        <is>
          <t>KW-450</t>
        </is>
      </c>
      <c r="H945" s="4" t="inlineStr">
        <is>
          <t>Mỏ lết răng KW-450</t>
        </is>
      </c>
      <c r="I945" s="3" t="inlineStr">
        <is>
          <t>Cái</t>
        </is>
      </c>
      <c r="J945" s="5" t="n">
        <v>248000</v>
      </c>
      <c r="K945" s="5" t="n">
        <v>293000</v>
      </c>
      <c r="L945" s="6" t="n">
        <v>360000</v>
      </c>
      <c r="M945" s="5" t="n"/>
      <c r="N945" s="5">
        <f>IF(AND(ISNUMBER(M945),ISNUMBER(L945)),M945-L945,"")</f>
        <v/>
      </c>
      <c r="O945" s="7">
        <f>IF(AND(ISNUMBER(M945),ISNUMBER(L945),L945&gt;0),(M945-L945)/L945,"")</f>
        <v/>
      </c>
      <c r="P945" s="3">
        <f>IF(O945="","",IF(O945&lt;-0.02,"🔴 Bán phá giá sàn",IF(O945&gt;0.05,"🔵 Bán cao hơn","🟢 Đúng giá sàn TMĐT")))</f>
        <v/>
      </c>
      <c r="Q945" s="3" t="n"/>
      <c r="R945" s="4" t="n"/>
      <c r="S945" s="4" t="n"/>
    </row>
    <row r="946">
      <c r="A946" s="3" t="n">
        <v>945</v>
      </c>
      <c r="B946" s="3" t="inlineStr">
        <is>
          <t>KH005</t>
        </is>
      </c>
      <c r="C946" s="4" t="inlineStr">
        <is>
          <t>ThinkSafe HCM</t>
        </is>
      </c>
      <c r="D946" s="3" t="inlineStr">
        <is>
          <t>HCM</t>
        </is>
      </c>
      <c r="E946" s="3" t="inlineStr">
        <is>
          <t>XUÂN TRANG</t>
        </is>
      </c>
      <c r="F946" s="3" t="inlineStr">
        <is>
          <t>Shopee</t>
        </is>
      </c>
      <c r="G946" s="3" t="inlineStr">
        <is>
          <t>KW-600</t>
        </is>
      </c>
      <c r="H946" s="4" t="inlineStr">
        <is>
          <t>Mỏ lết răng KW-600</t>
        </is>
      </c>
      <c r="I946" s="3" t="inlineStr">
        <is>
          <t>Cái</t>
        </is>
      </c>
      <c r="J946" s="5" t="n">
        <v>352000</v>
      </c>
      <c r="K946" s="5" t="n">
        <v>415000</v>
      </c>
      <c r="L946" s="6" t="n">
        <v>510000</v>
      </c>
      <c r="M946" s="5" t="n"/>
      <c r="N946" s="5">
        <f>IF(AND(ISNUMBER(M946),ISNUMBER(L946)),M946-L946,"")</f>
        <v/>
      </c>
      <c r="O946" s="7">
        <f>IF(AND(ISNUMBER(M946),ISNUMBER(L946),L946&gt;0),(M946-L946)/L946,"")</f>
        <v/>
      </c>
      <c r="P946" s="3">
        <f>IF(O946="","",IF(O946&lt;-0.02,"🔴 Bán phá giá sàn",IF(O946&gt;0.05,"🔵 Bán cao hơn","🟢 Đúng giá sàn TMĐT")))</f>
        <v/>
      </c>
      <c r="Q946" s="3" t="n"/>
      <c r="R946" s="4" t="n"/>
      <c r="S946" s="4" t="n"/>
    </row>
    <row r="947">
      <c r="A947" s="3" t="n">
        <v>946</v>
      </c>
      <c r="B947" s="3" t="inlineStr">
        <is>
          <t>KH005</t>
        </is>
      </c>
      <c r="C947" s="4" t="inlineStr">
        <is>
          <t>ThinkSafe HCM</t>
        </is>
      </c>
      <c r="D947" s="3" t="inlineStr">
        <is>
          <t>HCM</t>
        </is>
      </c>
      <c r="E947" s="3" t="inlineStr">
        <is>
          <t>XUÂN TRANG</t>
        </is>
      </c>
      <c r="F947" s="3" t="inlineStr">
        <is>
          <t>Shopee</t>
        </is>
      </c>
      <c r="G947" s="3" t="inlineStr">
        <is>
          <t>V100R</t>
        </is>
      </c>
      <c r="H947" s="4" t="inlineStr">
        <is>
          <t>Mũi bắn vít chống trượt KingBlue V100R</t>
        </is>
      </c>
      <c r="I947" s="3" t="inlineStr">
        <is>
          <t>Vỉ</t>
        </is>
      </c>
      <c r="J947" s="5" t="n">
        <v>29000</v>
      </c>
      <c r="K947" s="5" t="n">
        <v>37000</v>
      </c>
      <c r="L947" s="6" t="n">
        <v>48000</v>
      </c>
      <c r="M947" s="5" t="n"/>
      <c r="N947" s="5">
        <f>IF(AND(ISNUMBER(M947),ISNUMBER(L947)),M947-L947,"")</f>
        <v/>
      </c>
      <c r="O947" s="7">
        <f>IF(AND(ISNUMBER(M947),ISNUMBER(L947),L947&gt;0),(M947-L947)/L947,"")</f>
        <v/>
      </c>
      <c r="P947" s="3">
        <f>IF(O947="","",IF(O947&lt;-0.02,"🔴 Bán phá giá sàn",IF(O947&gt;0.05,"🔵 Bán cao hơn","🟢 Đúng giá sàn TMĐT")))</f>
        <v/>
      </c>
      <c r="Q947" s="3" t="n"/>
      <c r="R947" s="4" t="n"/>
      <c r="S947" s="4" t="n"/>
    </row>
    <row r="948">
      <c r="A948" s="3" t="n">
        <v>947</v>
      </c>
      <c r="B948" s="3" t="inlineStr">
        <is>
          <t>KH005</t>
        </is>
      </c>
      <c r="C948" s="4" t="inlineStr">
        <is>
          <t>ThinkSafe HCM</t>
        </is>
      </c>
      <c r="D948" s="3" t="inlineStr">
        <is>
          <t>HCM</t>
        </is>
      </c>
      <c r="E948" s="3" t="inlineStr">
        <is>
          <t>XUÂN TRANG</t>
        </is>
      </c>
      <c r="F948" s="3" t="inlineStr">
        <is>
          <t>Shopee</t>
        </is>
      </c>
      <c r="G948" s="3" t="inlineStr">
        <is>
          <t>V150R</t>
        </is>
      </c>
      <c r="H948" s="4" t="inlineStr">
        <is>
          <t>Mũi bắn vít chống trượt KingBlue V150R</t>
        </is>
      </c>
      <c r="I948" s="3" t="inlineStr">
        <is>
          <t>Vỉ</t>
        </is>
      </c>
      <c r="J948" s="5" t="n">
        <v>40000</v>
      </c>
      <c r="K948" s="5" t="n">
        <v>50000</v>
      </c>
      <c r="L948" s="6" t="n">
        <v>66000</v>
      </c>
      <c r="M948" s="5" t="n"/>
      <c r="N948" s="5">
        <f>IF(AND(ISNUMBER(M948),ISNUMBER(L948)),M948-L948,"")</f>
        <v/>
      </c>
      <c r="O948" s="7">
        <f>IF(AND(ISNUMBER(M948),ISNUMBER(L948),L948&gt;0),(M948-L948)/L948,"")</f>
        <v/>
      </c>
      <c r="P948" s="3">
        <f>IF(O948="","",IF(O948&lt;-0.02,"🔴 Bán phá giá sàn",IF(O948&gt;0.05,"🔵 Bán cao hơn","🟢 Đúng giá sàn TMĐT")))</f>
        <v/>
      </c>
      <c r="Q948" s="3" t="n"/>
      <c r="R948" s="4" t="n"/>
      <c r="S948" s="4" t="n"/>
    </row>
    <row r="949">
      <c r="A949" s="3" t="n">
        <v>948</v>
      </c>
      <c r="B949" s="3" t="inlineStr">
        <is>
          <t>KH005</t>
        </is>
      </c>
      <c r="C949" s="4" t="inlineStr">
        <is>
          <t>ThinkSafe HCM</t>
        </is>
      </c>
      <c r="D949" s="3" t="inlineStr">
        <is>
          <t>HCM</t>
        </is>
      </c>
      <c r="E949" s="3" t="inlineStr">
        <is>
          <t>XUÂN TRANG</t>
        </is>
      </c>
      <c r="F949" s="3" t="inlineStr">
        <is>
          <t>Shopee</t>
        </is>
      </c>
      <c r="G949" s="3" t="inlineStr">
        <is>
          <t>V65R</t>
        </is>
      </c>
      <c r="H949" s="4" t="inlineStr">
        <is>
          <t>Mũi bắn vít chống trượt KingBlue V65R</t>
        </is>
      </c>
      <c r="I949" s="3" t="inlineStr">
        <is>
          <t>Vỉ</t>
        </is>
      </c>
      <c r="J949" s="5" t="n">
        <v>20000</v>
      </c>
      <c r="K949" s="5" t="n">
        <v>25000</v>
      </c>
      <c r="L949" s="6" t="n">
        <v>33000</v>
      </c>
      <c r="M949" s="5" t="n"/>
      <c r="N949" s="5">
        <f>IF(AND(ISNUMBER(M949),ISNUMBER(L949)),M949-L949,"")</f>
        <v/>
      </c>
      <c r="O949" s="7">
        <f>IF(AND(ISNUMBER(M949),ISNUMBER(L949),L949&gt;0),(M949-L949)/L949,"")</f>
        <v/>
      </c>
      <c r="P949" s="3">
        <f>IF(O949="","",IF(O949&lt;-0.02,"🔴 Bán phá giá sàn",IF(O949&gt;0.05,"🔵 Bán cao hơn","🟢 Đúng giá sàn TMĐT")))</f>
        <v/>
      </c>
      <c r="Q949" s="3" t="n"/>
      <c r="R949" s="4" t="n"/>
      <c r="S949" s="4" t="n"/>
    </row>
    <row r="950">
      <c r="A950" s="3" t="n">
        <v>949</v>
      </c>
      <c r="B950" s="3" t="inlineStr">
        <is>
          <t>KH005</t>
        </is>
      </c>
      <c r="C950" s="4" t="inlineStr">
        <is>
          <t>ThinkSafe HCM</t>
        </is>
      </c>
      <c r="D950" s="3" t="inlineStr">
        <is>
          <t>HCM</t>
        </is>
      </c>
      <c r="E950" s="3" t="inlineStr">
        <is>
          <t>XUÂN TRANG</t>
        </is>
      </c>
      <c r="F950" s="3" t="inlineStr">
        <is>
          <t>Shopee</t>
        </is>
      </c>
      <c r="G950" s="3" t="inlineStr">
        <is>
          <t>V100S</t>
        </is>
      </c>
      <c r="H950" s="4" t="inlineStr">
        <is>
          <t>Mũi bắn vít PH2 V100S</t>
        </is>
      </c>
      <c r="I950" s="3" t="inlineStr">
        <is>
          <t>Vỉ</t>
        </is>
      </c>
      <c r="J950" s="5" t="n">
        <v>44000</v>
      </c>
      <c r="K950" s="5" t="n">
        <v>56000</v>
      </c>
      <c r="L950" s="6" t="n">
        <v>73000</v>
      </c>
      <c r="M950" s="5" t="n"/>
      <c r="N950" s="5">
        <f>IF(AND(ISNUMBER(M950),ISNUMBER(L950)),M950-L950,"")</f>
        <v/>
      </c>
      <c r="O950" s="7">
        <f>IF(AND(ISNUMBER(M950),ISNUMBER(L950),L950&gt;0),(M950-L950)/L950,"")</f>
        <v/>
      </c>
      <c r="P950" s="3">
        <f>IF(O950="","",IF(O950&lt;-0.02,"🔴 Bán phá giá sàn",IF(O950&gt;0.05,"🔵 Bán cao hơn","🟢 Đúng giá sàn TMĐT")))</f>
        <v/>
      </c>
      <c r="Q950" s="3" t="n"/>
      <c r="R950" s="4" t="n"/>
      <c r="S950" s="4" t="n"/>
    </row>
    <row r="951">
      <c r="A951" s="3" t="n">
        <v>950</v>
      </c>
      <c r="B951" s="3" t="inlineStr">
        <is>
          <t>KH005</t>
        </is>
      </c>
      <c r="C951" s="4" t="inlineStr">
        <is>
          <t>ThinkSafe HCM</t>
        </is>
      </c>
      <c r="D951" s="3" t="inlineStr">
        <is>
          <t>HCM</t>
        </is>
      </c>
      <c r="E951" s="3" t="inlineStr">
        <is>
          <t>XUÂN TRANG</t>
        </is>
      </c>
      <c r="F951" s="3" t="inlineStr">
        <is>
          <t>Shopee</t>
        </is>
      </c>
      <c r="G951" s="3" t="inlineStr">
        <is>
          <t>V50S</t>
        </is>
      </c>
      <c r="H951" s="4" t="inlineStr">
        <is>
          <t>Mũi bắn vít PH2 V50S</t>
        </is>
      </c>
      <c r="I951" s="3" t="inlineStr">
        <is>
          <t>Vỉ</t>
        </is>
      </c>
      <c r="J951" s="5" t="n">
        <v>28000</v>
      </c>
      <c r="K951" s="5" t="n">
        <v>36000</v>
      </c>
      <c r="L951" s="6" t="n">
        <v>48000</v>
      </c>
      <c r="M951" s="5" t="n"/>
      <c r="N951" s="5">
        <f>IF(AND(ISNUMBER(M951),ISNUMBER(L951)),M951-L951,"")</f>
        <v/>
      </c>
      <c r="O951" s="7">
        <f>IF(AND(ISNUMBER(M951),ISNUMBER(L951),L951&gt;0),(M951-L951)/L951,"")</f>
        <v/>
      </c>
      <c r="P951" s="3">
        <f>IF(O951="","",IF(O951&lt;-0.02,"🔴 Bán phá giá sàn",IF(O951&gt;0.05,"🔵 Bán cao hơn","🟢 Đúng giá sàn TMĐT")))</f>
        <v/>
      </c>
      <c r="Q951" s="3" t="n"/>
      <c r="R951" s="4" t="n"/>
      <c r="S951" s="4" t="n"/>
    </row>
    <row r="952">
      <c r="A952" s="3" t="n">
        <v>951</v>
      </c>
      <c r="B952" s="3" t="inlineStr">
        <is>
          <t>KH005</t>
        </is>
      </c>
      <c r="C952" s="4" t="inlineStr">
        <is>
          <t>ThinkSafe HCM</t>
        </is>
      </c>
      <c r="D952" s="3" t="inlineStr">
        <is>
          <t>HCM</t>
        </is>
      </c>
      <c r="E952" s="3" t="inlineStr">
        <is>
          <t>XUÂN TRANG</t>
        </is>
      </c>
      <c r="F952" s="3" t="inlineStr">
        <is>
          <t>Shopee</t>
        </is>
      </c>
      <c r="G952" s="3" t="inlineStr"/>
      <c r="H952" s="4" t="inlineStr">
        <is>
          <t>Mũi định tâm</t>
        </is>
      </c>
      <c r="I952" s="3" t="inlineStr">
        <is>
          <t>Cái</t>
        </is>
      </c>
      <c r="J952" s="5" t="n">
        <v>269000</v>
      </c>
      <c r="K952" s="5" t="n">
        <v>317000</v>
      </c>
      <c r="L952" s="6" t="n">
        <v>390000</v>
      </c>
      <c r="M952" s="5" t="n"/>
      <c r="N952" s="5">
        <f>IF(AND(ISNUMBER(M952),ISNUMBER(L952)),M952-L952,"")</f>
        <v/>
      </c>
      <c r="O952" s="7">
        <f>IF(AND(ISNUMBER(M952),ISNUMBER(L952),L952&gt;0),(M952-L952)/L952,"")</f>
        <v/>
      </c>
      <c r="P952" s="3">
        <f>IF(O952="","",IF(O952&lt;-0.02,"🔴 Bán phá giá sàn",IF(O952&gt;0.05,"🔵 Bán cao hơn","🟢 Đúng giá sàn TMĐT")))</f>
        <v/>
      </c>
      <c r="Q952" s="3" t="n"/>
      <c r="R952" s="4" t="n"/>
      <c r="S952" s="4" t="n"/>
    </row>
    <row r="953">
      <c r="A953" s="3" t="n">
        <v>952</v>
      </c>
      <c r="B953" s="3" t="inlineStr">
        <is>
          <t>KH005</t>
        </is>
      </c>
      <c r="C953" s="4" t="inlineStr">
        <is>
          <t>ThinkSafe HCM</t>
        </is>
      </c>
      <c r="D953" s="3" t="inlineStr">
        <is>
          <t>HCM</t>
        </is>
      </c>
      <c r="E953" s="3" t="inlineStr">
        <is>
          <t>XUÂN TRANG</t>
        </is>
      </c>
      <c r="F953" s="3" t="inlineStr">
        <is>
          <t>Shopee</t>
        </is>
      </c>
      <c r="G953" s="3" t="inlineStr"/>
      <c r="H953" s="4" t="inlineStr">
        <is>
          <t>Mũi định tâm chuôi dài</t>
        </is>
      </c>
      <c r="I953" s="3" t="inlineStr">
        <is>
          <t>Cái</t>
        </is>
      </c>
      <c r="J953" s="5" t="n">
        <v>269000</v>
      </c>
      <c r="K953" s="5" t="n">
        <v>317000</v>
      </c>
      <c r="L953" s="6" t="n">
        <v>390000</v>
      </c>
      <c r="M953" s="5" t="n"/>
      <c r="N953" s="5">
        <f>IF(AND(ISNUMBER(M953),ISNUMBER(L953)),M953-L953,"")</f>
        <v/>
      </c>
      <c r="O953" s="7">
        <f>IF(AND(ISNUMBER(M953),ISNUMBER(L953),L953&gt;0),(M953-L953)/L953,"")</f>
        <v/>
      </c>
      <c r="P953" s="3">
        <f>IF(O953="","",IF(O953&lt;-0.02,"🔴 Bán phá giá sàn",IF(O953&gt;0.05,"🔵 Bán cao hơn","🟢 Đúng giá sàn TMĐT")))</f>
        <v/>
      </c>
      <c r="Q953" s="3" t="n"/>
      <c r="R953" s="4" t="n"/>
      <c r="S953" s="4" t="n"/>
    </row>
    <row r="954">
      <c r="A954" s="3" t="n">
        <v>953</v>
      </c>
      <c r="B954" s="3" t="inlineStr">
        <is>
          <t>KH005</t>
        </is>
      </c>
      <c r="C954" s="4" t="inlineStr">
        <is>
          <t>ThinkSafe HCM</t>
        </is>
      </c>
      <c r="D954" s="3" t="inlineStr">
        <is>
          <t>HCM</t>
        </is>
      </c>
      <c r="E954" s="3" t="inlineStr">
        <is>
          <t>XUÂN TRANG</t>
        </is>
      </c>
      <c r="F954" s="3" t="inlineStr">
        <is>
          <t>Shopee</t>
        </is>
      </c>
      <c r="G954" s="3" t="inlineStr"/>
      <c r="H954" s="4" t="inlineStr">
        <is>
          <t>Mũi định tâm chuôi ngắn kẹp</t>
        </is>
      </c>
      <c r="I954" s="3" t="inlineStr">
        <is>
          <t>Cái</t>
        </is>
      </c>
      <c r="J954" s="5" t="n">
        <v>269000</v>
      </c>
      <c r="K954" s="5" t="n">
        <v>317000</v>
      </c>
      <c r="L954" s="6" t="n">
        <v>390000</v>
      </c>
      <c r="M954" s="5" t="n"/>
      <c r="N954" s="5">
        <f>IF(AND(ISNUMBER(M954),ISNUMBER(L954)),M954-L954,"")</f>
        <v/>
      </c>
      <c r="O954" s="7">
        <f>IF(AND(ISNUMBER(M954),ISNUMBER(L954),L954&gt;0),(M954-L954)/L954,"")</f>
        <v/>
      </c>
      <c r="P954" s="3">
        <f>IF(O954="","",IF(O954&lt;-0.02,"🔴 Bán phá giá sàn",IF(O954&gt;0.05,"🔵 Bán cao hơn","🟢 Đúng giá sàn TMĐT")))</f>
        <v/>
      </c>
      <c r="Q954" s="3" t="n"/>
      <c r="R954" s="4" t="n"/>
      <c r="S954" s="4" t="n"/>
    </row>
    <row r="955">
      <c r="A955" s="3" t="n">
        <v>954</v>
      </c>
      <c r="B955" s="3" t="inlineStr">
        <is>
          <t>KH005</t>
        </is>
      </c>
      <c r="C955" s="4" t="inlineStr">
        <is>
          <t>ThinkSafe HCM</t>
        </is>
      </c>
      <c r="D955" s="3" t="inlineStr">
        <is>
          <t>HCM</t>
        </is>
      </c>
      <c r="E955" s="3" t="inlineStr">
        <is>
          <t>XUÂN TRANG</t>
        </is>
      </c>
      <c r="F955" s="3" t="inlineStr">
        <is>
          <t>Shopee</t>
        </is>
      </c>
      <c r="G955" s="3" t="inlineStr"/>
      <c r="H955" s="4" t="inlineStr">
        <is>
          <t>Mũi đục bê tông KBVd-14*250*22</t>
        </is>
      </c>
      <c r="I955" s="3" t="inlineStr">
        <is>
          <t>Cái</t>
        </is>
      </c>
      <c r="J955" s="5" t="n">
        <v>269000</v>
      </c>
      <c r="K955" s="5" t="n">
        <v>317000</v>
      </c>
      <c r="L955" s="6" t="n">
        <v>390000</v>
      </c>
      <c r="M955" s="5" t="n"/>
      <c r="N955" s="5">
        <f>IF(AND(ISNUMBER(M955),ISNUMBER(L955)),M955-L955,"")</f>
        <v/>
      </c>
      <c r="O955" s="7">
        <f>IF(AND(ISNUMBER(M955),ISNUMBER(L955),L955&gt;0),(M955-L955)/L955,"")</f>
        <v/>
      </c>
      <c r="P955" s="3">
        <f>IF(O955="","",IF(O955&lt;-0.02,"🔴 Bán phá giá sàn",IF(O955&gt;0.05,"🔵 Bán cao hơn","🟢 Đúng giá sàn TMĐT")))</f>
        <v/>
      </c>
      <c r="Q955" s="3" t="n"/>
      <c r="R955" s="4" t="n"/>
      <c r="S955" s="4" t="n"/>
    </row>
    <row r="956">
      <c r="A956" s="3" t="n">
        <v>955</v>
      </c>
      <c r="B956" s="3" t="inlineStr">
        <is>
          <t>KH005</t>
        </is>
      </c>
      <c r="C956" s="4" t="inlineStr">
        <is>
          <t>ThinkSafe HCM</t>
        </is>
      </c>
      <c r="D956" s="3" t="inlineStr">
        <is>
          <t>HCM</t>
        </is>
      </c>
      <c r="E956" s="3" t="inlineStr">
        <is>
          <t>XUÂN TRANG</t>
        </is>
      </c>
      <c r="F956" s="3" t="inlineStr">
        <is>
          <t>Shopee</t>
        </is>
      </c>
      <c r="G956" s="3" t="inlineStr"/>
      <c r="H956" s="4" t="inlineStr">
        <is>
          <t>Mũi đục bê tông KBVd-17*280*25</t>
        </is>
      </c>
      <c r="I956" s="3" t="inlineStr">
        <is>
          <t>Cái</t>
        </is>
      </c>
      <c r="J956" s="5" t="n">
        <v>269000</v>
      </c>
      <c r="K956" s="5" t="n">
        <v>317000</v>
      </c>
      <c r="L956" s="6" t="n">
        <v>390000</v>
      </c>
      <c r="M956" s="5" t="n"/>
      <c r="N956" s="5">
        <f>IF(AND(ISNUMBER(M956),ISNUMBER(L956)),M956-L956,"")</f>
        <v/>
      </c>
      <c r="O956" s="7">
        <f>IF(AND(ISNUMBER(M956),ISNUMBER(L956),L956&gt;0),(M956-L956)/L956,"")</f>
        <v/>
      </c>
      <c r="P956" s="3">
        <f>IF(O956="","",IF(O956&lt;-0.02,"🔴 Bán phá giá sàn",IF(O956&gt;0.05,"🔵 Bán cao hơn","🟢 Đúng giá sàn TMĐT")))</f>
        <v/>
      </c>
      <c r="Q956" s="3" t="n"/>
      <c r="R956" s="4" t="n"/>
      <c r="S956" s="4" t="n"/>
    </row>
    <row r="957">
      <c r="A957" s="3" t="n">
        <v>956</v>
      </c>
      <c r="B957" s="3" t="inlineStr">
        <is>
          <t>KH005</t>
        </is>
      </c>
      <c r="C957" s="4" t="inlineStr">
        <is>
          <t>ThinkSafe HCM</t>
        </is>
      </c>
      <c r="D957" s="3" t="inlineStr">
        <is>
          <t>HCM</t>
        </is>
      </c>
      <c r="E957" s="3" t="inlineStr">
        <is>
          <t>XUÂN TRANG</t>
        </is>
      </c>
      <c r="F957" s="3" t="inlineStr">
        <is>
          <t>Shopee</t>
        </is>
      </c>
      <c r="G957" s="3" t="inlineStr"/>
      <c r="H957" s="4" t="inlineStr">
        <is>
          <t>Mũi đục bê tông KBVn-14*250</t>
        </is>
      </c>
      <c r="I957" s="3" t="inlineStr">
        <is>
          <t>Cái</t>
        </is>
      </c>
      <c r="J957" s="5" t="n">
        <v>269000</v>
      </c>
      <c r="K957" s="5" t="n">
        <v>317000</v>
      </c>
      <c r="L957" s="6" t="n">
        <v>390000</v>
      </c>
      <c r="M957" s="5" t="n"/>
      <c r="N957" s="5">
        <f>IF(AND(ISNUMBER(M957),ISNUMBER(L957)),M957-L957,"")</f>
        <v/>
      </c>
      <c r="O957" s="7">
        <f>IF(AND(ISNUMBER(M957),ISNUMBER(L957),L957&gt;0),(M957-L957)/L957,"")</f>
        <v/>
      </c>
      <c r="P957" s="3">
        <f>IF(O957="","",IF(O957&lt;-0.02,"🔴 Bán phá giá sàn",IF(O957&gt;0.05,"🔵 Bán cao hơn","🟢 Đúng giá sàn TMĐT")))</f>
        <v/>
      </c>
      <c r="Q957" s="3" t="n"/>
      <c r="R957" s="4" t="n"/>
      <c r="S957" s="4" t="n"/>
    </row>
    <row r="958">
      <c r="A958" s="3" t="n">
        <v>957</v>
      </c>
      <c r="B958" s="3" t="inlineStr">
        <is>
          <t>KH005</t>
        </is>
      </c>
      <c r="C958" s="4" t="inlineStr">
        <is>
          <t>ThinkSafe HCM</t>
        </is>
      </c>
      <c r="D958" s="3" t="inlineStr">
        <is>
          <t>HCM</t>
        </is>
      </c>
      <c r="E958" s="3" t="inlineStr">
        <is>
          <t>XUÂN TRANG</t>
        </is>
      </c>
      <c r="F958" s="3" t="inlineStr">
        <is>
          <t>Shopee</t>
        </is>
      </c>
      <c r="G958" s="3" t="inlineStr"/>
      <c r="H958" s="4" t="inlineStr">
        <is>
          <t>Mũi đục bê tông KBVn-17*280</t>
        </is>
      </c>
      <c r="I958" s="3" t="inlineStr">
        <is>
          <t>Cái</t>
        </is>
      </c>
      <c r="J958" s="5" t="n">
        <v>269000</v>
      </c>
      <c r="K958" s="5" t="n">
        <v>317000</v>
      </c>
      <c r="L958" s="6" t="n">
        <v>390000</v>
      </c>
      <c r="M958" s="5" t="n"/>
      <c r="N958" s="5">
        <f>IF(AND(ISNUMBER(M958),ISNUMBER(L958)),M958-L958,"")</f>
        <v/>
      </c>
      <c r="O958" s="7">
        <f>IF(AND(ISNUMBER(M958),ISNUMBER(L958),L958&gt;0),(M958-L958)/L958,"")</f>
        <v/>
      </c>
      <c r="P958" s="3">
        <f>IF(O958="","",IF(O958&lt;-0.02,"🔴 Bán phá giá sàn",IF(O958&gt;0.05,"🔵 Bán cao hơn","🟢 Đúng giá sàn TMĐT")))</f>
        <v/>
      </c>
      <c r="Q958" s="3" t="n"/>
      <c r="R958" s="4" t="n"/>
      <c r="S958" s="4" t="n"/>
    </row>
    <row r="959">
      <c r="A959" s="3" t="n">
        <v>958</v>
      </c>
      <c r="B959" s="3" t="inlineStr">
        <is>
          <t>KH005</t>
        </is>
      </c>
      <c r="C959" s="4" t="inlineStr">
        <is>
          <t>ThinkSafe HCM</t>
        </is>
      </c>
      <c r="D959" s="3" t="inlineStr">
        <is>
          <t>HCM</t>
        </is>
      </c>
      <c r="E959" s="3" t="inlineStr">
        <is>
          <t>XUÂN TRANG</t>
        </is>
      </c>
      <c r="F959" s="3" t="inlineStr">
        <is>
          <t>Shopee</t>
        </is>
      </c>
      <c r="G959" s="3" t="inlineStr">
        <is>
          <t>KBL2-06*160</t>
        </is>
      </c>
      <c r="H959" s="4" t="inlineStr">
        <is>
          <t>Mũi khoan bê tông gài 2 cạnh KBL2-06*160</t>
        </is>
      </c>
      <c r="I959" s="3" t="inlineStr">
        <is>
          <t>Cái</t>
        </is>
      </c>
      <c r="J959" s="5" t="n">
        <v>23000</v>
      </c>
      <c r="K959" s="5" t="n">
        <v>28000</v>
      </c>
      <c r="L959" s="6" t="n">
        <v>36000</v>
      </c>
      <c r="M959" s="5" t="n"/>
      <c r="N959" s="5">
        <f>IF(AND(ISNUMBER(M959),ISNUMBER(L959)),M959-L959,"")</f>
        <v/>
      </c>
      <c r="O959" s="7">
        <f>IF(AND(ISNUMBER(M959),ISNUMBER(L959),L959&gt;0),(M959-L959)/L959,"")</f>
        <v/>
      </c>
      <c r="P959" s="3">
        <f>IF(O959="","",IF(O959&lt;-0.02,"🔴 Bán phá giá sàn",IF(O959&gt;0.05,"🔵 Bán cao hơn","🟢 Đúng giá sàn TMĐT")))</f>
        <v/>
      </c>
      <c r="Q959" s="3" t="n"/>
      <c r="R959" s="4" t="n"/>
      <c r="S959" s="4" t="n"/>
    </row>
    <row r="960">
      <c r="A960" s="3" t="n">
        <v>959</v>
      </c>
      <c r="B960" s="3" t="inlineStr">
        <is>
          <t>KH005</t>
        </is>
      </c>
      <c r="C960" s="4" t="inlineStr">
        <is>
          <t>ThinkSafe HCM</t>
        </is>
      </c>
      <c r="D960" s="3" t="inlineStr">
        <is>
          <t>HCM</t>
        </is>
      </c>
      <c r="E960" s="3" t="inlineStr">
        <is>
          <t>XUÂN TRANG</t>
        </is>
      </c>
      <c r="F960" s="3" t="inlineStr">
        <is>
          <t>Shopee</t>
        </is>
      </c>
      <c r="G960" s="3" t="inlineStr">
        <is>
          <t>KBL2-08*160</t>
        </is>
      </c>
      <c r="H960" s="4" t="inlineStr">
        <is>
          <t>Mũi khoan bê tông gài 2 cạnh KBL2-08*160</t>
        </is>
      </c>
      <c r="I960" s="3" t="inlineStr">
        <is>
          <t>Cái</t>
        </is>
      </c>
      <c r="J960" s="5" t="n">
        <v>25000</v>
      </c>
      <c r="K960" s="5" t="n">
        <v>31000</v>
      </c>
      <c r="L960" s="6" t="n">
        <v>39000</v>
      </c>
      <c r="M960" s="5" t="n"/>
      <c r="N960" s="5">
        <f>IF(AND(ISNUMBER(M960),ISNUMBER(L960)),M960-L960,"")</f>
        <v/>
      </c>
      <c r="O960" s="7">
        <f>IF(AND(ISNUMBER(M960),ISNUMBER(L960),L960&gt;0),(M960-L960)/L960,"")</f>
        <v/>
      </c>
      <c r="P960" s="3">
        <f>IF(O960="","",IF(O960&lt;-0.02,"🔴 Bán phá giá sàn",IF(O960&gt;0.05,"🔵 Bán cao hơn","🟢 Đúng giá sàn TMĐT")))</f>
        <v/>
      </c>
      <c r="Q960" s="3" t="n"/>
      <c r="R960" s="4" t="n"/>
      <c r="S960" s="4" t="n"/>
    </row>
    <row r="961">
      <c r="A961" s="3" t="n">
        <v>960</v>
      </c>
      <c r="B961" s="3" t="inlineStr">
        <is>
          <t>KH005</t>
        </is>
      </c>
      <c r="C961" s="4" t="inlineStr">
        <is>
          <t>ThinkSafe HCM</t>
        </is>
      </c>
      <c r="D961" s="3" t="inlineStr">
        <is>
          <t>HCM</t>
        </is>
      </c>
      <c r="E961" s="3" t="inlineStr">
        <is>
          <t>XUÂN TRANG</t>
        </is>
      </c>
      <c r="F961" s="3" t="inlineStr">
        <is>
          <t>Shopee</t>
        </is>
      </c>
      <c r="G961" s="3" t="inlineStr">
        <is>
          <t>KBL2-3.2*110</t>
        </is>
      </c>
      <c r="H961" s="4" t="inlineStr">
        <is>
          <t>Mũi khoan bê tông không tắc kê KBL2-3.2*110</t>
        </is>
      </c>
      <c r="I961" s="3" t="inlineStr">
        <is>
          <t>Cái</t>
        </is>
      </c>
      <c r="J961" s="5" t="n">
        <v>23000</v>
      </c>
      <c r="K961" s="5" t="n">
        <v>29000</v>
      </c>
      <c r="L961" s="6" t="n">
        <v>38000</v>
      </c>
      <c r="M961" s="5" t="n"/>
      <c r="N961" s="5">
        <f>IF(AND(ISNUMBER(M961),ISNUMBER(L961)),M961-L961,"")</f>
        <v/>
      </c>
      <c r="O961" s="7">
        <f>IF(AND(ISNUMBER(M961),ISNUMBER(L961),L961&gt;0),(M961-L961)/L961,"")</f>
        <v/>
      </c>
      <c r="P961" s="3">
        <f>IF(O961="","",IF(O961&lt;-0.02,"🔴 Bán phá giá sàn",IF(O961&gt;0.05,"🔵 Bán cao hơn","🟢 Đúng giá sàn TMĐT")))</f>
        <v/>
      </c>
      <c r="Q961" s="3" t="n"/>
      <c r="R961" s="4" t="n"/>
      <c r="S961" s="4" t="n"/>
    </row>
    <row r="962">
      <c r="A962" s="3" t="n">
        <v>961</v>
      </c>
      <c r="B962" s="3" t="inlineStr">
        <is>
          <t>KH005</t>
        </is>
      </c>
      <c r="C962" s="4" t="inlineStr">
        <is>
          <t>ThinkSafe HCM</t>
        </is>
      </c>
      <c r="D962" s="3" t="inlineStr">
        <is>
          <t>HCM</t>
        </is>
      </c>
      <c r="E962" s="3" t="inlineStr">
        <is>
          <t>XUÂN TRANG</t>
        </is>
      </c>
      <c r="F962" s="3" t="inlineStr">
        <is>
          <t>Shopee</t>
        </is>
      </c>
      <c r="G962" s="3" t="inlineStr">
        <is>
          <t>KBL2-3.2*90</t>
        </is>
      </c>
      <c r="H962" s="4" t="inlineStr">
        <is>
          <t>Mũi khoan bê tông không tắc kê KBL2-3.2*90</t>
        </is>
      </c>
      <c r="I962" s="3" t="inlineStr">
        <is>
          <t>Cái</t>
        </is>
      </c>
      <c r="J962" s="5" t="n">
        <v>23000</v>
      </c>
      <c r="K962" s="5" t="n">
        <v>29000</v>
      </c>
      <c r="L962" s="6" t="n">
        <v>38000</v>
      </c>
      <c r="M962" s="5" t="n"/>
      <c r="N962" s="5">
        <f>IF(AND(ISNUMBER(M962),ISNUMBER(L962)),M962-L962,"")</f>
        <v/>
      </c>
      <c r="O962" s="7">
        <f>IF(AND(ISNUMBER(M962),ISNUMBER(L962),L962&gt;0),(M962-L962)/L962,"")</f>
        <v/>
      </c>
      <c r="P962" s="3">
        <f>IF(O962="","",IF(O962&lt;-0.02,"🔴 Bán phá giá sàn",IF(O962&gt;0.05,"🔵 Bán cao hơn","🟢 Đúng giá sàn TMĐT")))</f>
        <v/>
      </c>
      <c r="Q962" s="3" t="n"/>
      <c r="R962" s="4" t="n"/>
      <c r="S962" s="4" t="n"/>
    </row>
    <row r="963">
      <c r="A963" s="3" t="n">
        <v>962</v>
      </c>
      <c r="B963" s="3" t="inlineStr">
        <is>
          <t>KH005</t>
        </is>
      </c>
      <c r="C963" s="4" t="inlineStr">
        <is>
          <t>ThinkSafe HCM</t>
        </is>
      </c>
      <c r="D963" s="3" t="inlineStr">
        <is>
          <t>HCM</t>
        </is>
      </c>
      <c r="E963" s="3" t="inlineStr">
        <is>
          <t>XUÂN TRANG</t>
        </is>
      </c>
      <c r="F963" s="3" t="inlineStr">
        <is>
          <t>Shopee</t>
        </is>
      </c>
      <c r="G963" s="3" t="inlineStr">
        <is>
          <t>KBL2-3.5*110</t>
        </is>
      </c>
      <c r="H963" s="4" t="inlineStr">
        <is>
          <t>Mũi khoan bê tông không tắc kê KBL2-3.5*110</t>
        </is>
      </c>
      <c r="I963" s="3" t="inlineStr">
        <is>
          <t>Cái</t>
        </is>
      </c>
      <c r="J963" s="5" t="n">
        <v>23000</v>
      </c>
      <c r="K963" s="5" t="n">
        <v>29000</v>
      </c>
      <c r="L963" s="6" t="n">
        <v>38000</v>
      </c>
      <c r="M963" s="5" t="n"/>
      <c r="N963" s="5">
        <f>IF(AND(ISNUMBER(M963),ISNUMBER(L963)),M963-L963,"")</f>
        <v/>
      </c>
      <c r="O963" s="7">
        <f>IF(AND(ISNUMBER(M963),ISNUMBER(L963),L963&gt;0),(M963-L963)/L963,"")</f>
        <v/>
      </c>
      <c r="P963" s="3">
        <f>IF(O963="","",IF(O963&lt;-0.02,"🔴 Bán phá giá sàn",IF(O963&gt;0.05,"🔵 Bán cao hơn","🟢 Đúng giá sàn TMĐT")))</f>
        <v/>
      </c>
      <c r="Q963" s="3" t="n"/>
      <c r="R963" s="4" t="n"/>
      <c r="S963" s="4" t="n"/>
    </row>
    <row r="964">
      <c r="A964" s="3" t="n">
        <v>963</v>
      </c>
      <c r="B964" s="3" t="inlineStr">
        <is>
          <t>KH005</t>
        </is>
      </c>
      <c r="C964" s="4" t="inlineStr">
        <is>
          <t>ThinkSafe HCM</t>
        </is>
      </c>
      <c r="D964" s="3" t="inlineStr">
        <is>
          <t>HCM</t>
        </is>
      </c>
      <c r="E964" s="3" t="inlineStr">
        <is>
          <t>XUÂN TRANG</t>
        </is>
      </c>
      <c r="F964" s="3" t="inlineStr">
        <is>
          <t>Shopee</t>
        </is>
      </c>
      <c r="G964" s="3" t="inlineStr">
        <is>
          <t>KBL2-4.2*110</t>
        </is>
      </c>
      <c r="H964" s="4" t="inlineStr">
        <is>
          <t>Mũi khoan bê tông không tắc kê KBL2-4.2*110</t>
        </is>
      </c>
      <c r="I964" s="3" t="inlineStr">
        <is>
          <t>Cái</t>
        </is>
      </c>
      <c r="J964" s="5" t="n">
        <v>23000</v>
      </c>
      <c r="K964" s="5" t="n">
        <v>29000</v>
      </c>
      <c r="L964" s="6" t="n">
        <v>38000</v>
      </c>
      <c r="M964" s="5" t="n"/>
      <c r="N964" s="5">
        <f>IF(AND(ISNUMBER(M964),ISNUMBER(L964)),M964-L964,"")</f>
        <v/>
      </c>
      <c r="O964" s="7">
        <f>IF(AND(ISNUMBER(M964),ISNUMBER(L964),L964&gt;0),(M964-L964)/L964,"")</f>
        <v/>
      </c>
      <c r="P964" s="3">
        <f>IF(O964="","",IF(O964&lt;-0.02,"🔴 Bán phá giá sàn",IF(O964&gt;0.05,"🔵 Bán cao hơn","🟢 Đúng giá sàn TMĐT")))</f>
        <v/>
      </c>
      <c r="Q964" s="3" t="n"/>
      <c r="R964" s="4" t="n"/>
      <c r="S964" s="4" t="n"/>
    </row>
    <row r="965">
      <c r="A965" s="3" t="n">
        <v>964</v>
      </c>
      <c r="B965" s="3" t="inlineStr">
        <is>
          <t>KH005</t>
        </is>
      </c>
      <c r="C965" s="4" t="inlineStr">
        <is>
          <t>ThinkSafe HCM</t>
        </is>
      </c>
      <c r="D965" s="3" t="inlineStr">
        <is>
          <t>HCM</t>
        </is>
      </c>
      <c r="E965" s="3" t="inlineStr">
        <is>
          <t>XUÂN TRANG</t>
        </is>
      </c>
      <c r="F965" s="3" t="inlineStr">
        <is>
          <t>Shopee</t>
        </is>
      </c>
      <c r="G965" s="3" t="inlineStr">
        <is>
          <t>KBK-06</t>
        </is>
      </c>
      <c r="H965" s="4" t="inlineStr">
        <is>
          <t>Mũi khoan đá KBK-06</t>
        </is>
      </c>
      <c r="I965" s="3" t="inlineStr">
        <is>
          <t>Cái</t>
        </is>
      </c>
      <c r="J965" s="5" t="n">
        <v>22000</v>
      </c>
      <c r="K965" s="5" t="n">
        <v>27000</v>
      </c>
      <c r="L965" s="6" t="n">
        <v>35000</v>
      </c>
      <c r="M965" s="5" t="n"/>
      <c r="N965" s="5">
        <f>IF(AND(ISNUMBER(M965),ISNUMBER(L965)),M965-L965,"")</f>
        <v/>
      </c>
      <c r="O965" s="7">
        <f>IF(AND(ISNUMBER(M965),ISNUMBER(L965),L965&gt;0),(M965-L965)/L965,"")</f>
        <v/>
      </c>
      <c r="P965" s="3">
        <f>IF(O965="","",IF(O965&lt;-0.02,"🔴 Bán phá giá sàn",IF(O965&gt;0.05,"🔵 Bán cao hơn","🟢 Đúng giá sàn TMĐT")))</f>
        <v/>
      </c>
      <c r="Q965" s="3" t="n"/>
      <c r="R965" s="4" t="n"/>
      <c r="S965" s="4" t="n"/>
    </row>
    <row r="966">
      <c r="A966" s="3" t="n">
        <v>965</v>
      </c>
      <c r="B966" s="3" t="inlineStr">
        <is>
          <t>KH005</t>
        </is>
      </c>
      <c r="C966" s="4" t="inlineStr">
        <is>
          <t>ThinkSafe HCM</t>
        </is>
      </c>
      <c r="D966" s="3" t="inlineStr">
        <is>
          <t>HCM</t>
        </is>
      </c>
      <c r="E966" s="3" t="inlineStr">
        <is>
          <t>XUÂN TRANG</t>
        </is>
      </c>
      <c r="F966" s="3" t="inlineStr">
        <is>
          <t>Shopee</t>
        </is>
      </c>
      <c r="G966" s="3" t="inlineStr">
        <is>
          <t>KBK-08</t>
        </is>
      </c>
      <c r="H966" s="4" t="inlineStr">
        <is>
          <t>Mũi khoan đá KBK-08</t>
        </is>
      </c>
      <c r="I966" s="3" t="inlineStr">
        <is>
          <t>Cái</t>
        </is>
      </c>
      <c r="J966" s="5" t="n">
        <v>25000</v>
      </c>
      <c r="K966" s="5" t="n">
        <v>31000</v>
      </c>
      <c r="L966" s="6" t="n">
        <v>40000</v>
      </c>
      <c r="M966" s="5" t="n"/>
      <c r="N966" s="5">
        <f>IF(AND(ISNUMBER(M966),ISNUMBER(L966)),M966-L966,"")</f>
        <v/>
      </c>
      <c r="O966" s="7">
        <f>IF(AND(ISNUMBER(M966),ISNUMBER(L966),L966&gt;0),(M966-L966)/L966,"")</f>
        <v/>
      </c>
      <c r="P966" s="3">
        <f>IF(O966="","",IF(O966&lt;-0.02,"🔴 Bán phá giá sàn",IF(O966&gt;0.05,"🔵 Bán cao hơn","🟢 Đúng giá sàn TMĐT")))</f>
        <v/>
      </c>
      <c r="Q966" s="3" t="n"/>
      <c r="R966" s="4" t="n"/>
      <c r="S966" s="4" t="n"/>
    </row>
    <row r="967">
      <c r="A967" s="3" t="n">
        <v>966</v>
      </c>
      <c r="B967" s="3" t="inlineStr">
        <is>
          <t>KH005</t>
        </is>
      </c>
      <c r="C967" s="4" t="inlineStr">
        <is>
          <t>ThinkSafe HCM</t>
        </is>
      </c>
      <c r="D967" s="3" t="inlineStr">
        <is>
          <t>HCM</t>
        </is>
      </c>
      <c r="E967" s="3" t="inlineStr">
        <is>
          <t>XUÂN TRANG</t>
        </is>
      </c>
      <c r="F967" s="3" t="inlineStr">
        <is>
          <t>Shopee</t>
        </is>
      </c>
      <c r="G967" s="3" t="inlineStr">
        <is>
          <t>KBH2E-3*120</t>
        </is>
      </c>
      <c r="H967" s="4" t="inlineStr">
        <is>
          <t>Mũi khoan đa năng lục giác 2 cạnh KBH2E-3*120</t>
        </is>
      </c>
      <c r="I967" s="3" t="inlineStr">
        <is>
          <t>Cái</t>
        </is>
      </c>
      <c r="J967" s="5" t="n">
        <v>269000</v>
      </c>
      <c r="K967" s="5" t="n">
        <v>317000</v>
      </c>
      <c r="L967" s="6" t="n">
        <v>390000</v>
      </c>
      <c r="M967" s="5" t="n"/>
      <c r="N967" s="5">
        <f>IF(AND(ISNUMBER(M967),ISNUMBER(L967)),M967-L967,"")</f>
        <v/>
      </c>
      <c r="O967" s="7">
        <f>IF(AND(ISNUMBER(M967),ISNUMBER(L967),L967&gt;0),(M967-L967)/L967,"")</f>
        <v/>
      </c>
      <c r="P967" s="3">
        <f>IF(O967="","",IF(O967&lt;-0.02,"🔴 Bán phá giá sàn",IF(O967&gt;0.05,"🔵 Bán cao hơn","🟢 Đúng giá sàn TMĐT")))</f>
        <v/>
      </c>
      <c r="Q967" s="3" t="n"/>
      <c r="R967" s="4" t="n"/>
      <c r="S967" s="4" t="n"/>
    </row>
    <row r="968">
      <c r="A968" s="3" t="n">
        <v>967</v>
      </c>
      <c r="B968" s="3" t="inlineStr">
        <is>
          <t>KH005</t>
        </is>
      </c>
      <c r="C968" s="4" t="inlineStr">
        <is>
          <t>ThinkSafe HCM</t>
        </is>
      </c>
      <c r="D968" s="3" t="inlineStr">
        <is>
          <t>HCM</t>
        </is>
      </c>
      <c r="E968" s="3" t="inlineStr">
        <is>
          <t>XUÂN TRANG</t>
        </is>
      </c>
      <c r="F968" s="3" t="inlineStr">
        <is>
          <t>Shopee</t>
        </is>
      </c>
      <c r="G968" s="3" t="inlineStr">
        <is>
          <t>KBH2E-3.2*120</t>
        </is>
      </c>
      <c r="H968" s="4" t="inlineStr">
        <is>
          <t>Mũi khoan đa năng lục giác 2 cạnh KBH2E-3.2*120</t>
        </is>
      </c>
      <c r="I968" s="3" t="inlineStr">
        <is>
          <t>Cái</t>
        </is>
      </c>
      <c r="J968" s="5" t="n">
        <v>28000</v>
      </c>
      <c r="K968" s="5" t="n">
        <v>35000</v>
      </c>
      <c r="L968" s="6" t="n">
        <v>45000</v>
      </c>
      <c r="M968" s="5" t="n"/>
      <c r="N968" s="5">
        <f>IF(AND(ISNUMBER(M968),ISNUMBER(L968)),M968-L968,"")</f>
        <v/>
      </c>
      <c r="O968" s="7">
        <f>IF(AND(ISNUMBER(M968),ISNUMBER(L968),L968&gt;0),(M968-L968)/L968,"")</f>
        <v/>
      </c>
      <c r="P968" s="3">
        <f>IF(O968="","",IF(O968&lt;-0.02,"🔴 Bán phá giá sàn",IF(O968&gt;0.05,"🔵 Bán cao hơn","🟢 Đúng giá sàn TMĐT")))</f>
        <v/>
      </c>
      <c r="Q968" s="3" t="n"/>
      <c r="R968" s="4" t="n"/>
      <c r="S968" s="4" t="n"/>
    </row>
    <row r="969">
      <c r="A969" s="3" t="n">
        <v>968</v>
      </c>
      <c r="B969" s="3" t="inlineStr">
        <is>
          <t>KH005</t>
        </is>
      </c>
      <c r="C969" s="4" t="inlineStr">
        <is>
          <t>ThinkSafe HCM</t>
        </is>
      </c>
      <c r="D969" s="3" t="inlineStr">
        <is>
          <t>HCM</t>
        </is>
      </c>
      <c r="E969" s="3" t="inlineStr">
        <is>
          <t>XUÂN TRANG</t>
        </is>
      </c>
      <c r="F969" s="3" t="inlineStr">
        <is>
          <t>Shopee</t>
        </is>
      </c>
      <c r="G969" s="3" t="inlineStr">
        <is>
          <t>KBH2E-04*150</t>
        </is>
      </c>
      <c r="H969" s="4" t="inlineStr">
        <is>
          <t>Mũi khoan ĐN lục giác 2 cạnh KBH2E-04*150</t>
        </is>
      </c>
      <c r="I969" s="3" t="inlineStr">
        <is>
          <t>Cái</t>
        </is>
      </c>
      <c r="J969" s="5" t="n">
        <v>28000</v>
      </c>
      <c r="K969" s="5" t="n">
        <v>35000</v>
      </c>
      <c r="L969" s="6" t="n">
        <v>45000</v>
      </c>
      <c r="M969" s="5" t="n"/>
      <c r="N969" s="5">
        <f>IF(AND(ISNUMBER(M969),ISNUMBER(L969)),M969-L969,"")</f>
        <v/>
      </c>
      <c r="O969" s="7">
        <f>IF(AND(ISNUMBER(M969),ISNUMBER(L969),L969&gt;0),(M969-L969)/L969,"")</f>
        <v/>
      </c>
      <c r="P969" s="3">
        <f>IF(O969="","",IF(O969&lt;-0.02,"🔴 Bán phá giá sàn",IF(O969&gt;0.05,"🔵 Bán cao hơn","🟢 Đúng giá sàn TMĐT")))</f>
        <v/>
      </c>
      <c r="Q969" s="3" t="n"/>
      <c r="R969" s="4" t="n"/>
      <c r="S969" s="4" t="n"/>
    </row>
    <row r="970">
      <c r="A970" s="3" t="n">
        <v>969</v>
      </c>
      <c r="B970" s="3" t="inlineStr">
        <is>
          <t>KH005</t>
        </is>
      </c>
      <c r="C970" s="4" t="inlineStr">
        <is>
          <t>ThinkSafe HCM</t>
        </is>
      </c>
      <c r="D970" s="3" t="inlineStr">
        <is>
          <t>HCM</t>
        </is>
      </c>
      <c r="E970" s="3" t="inlineStr">
        <is>
          <t>XUÂN TRANG</t>
        </is>
      </c>
      <c r="F970" s="3" t="inlineStr">
        <is>
          <t>Shopee</t>
        </is>
      </c>
      <c r="G970" s="3" t="inlineStr">
        <is>
          <t>KBH2E-06*150</t>
        </is>
      </c>
      <c r="H970" s="4" t="inlineStr">
        <is>
          <t>Mũi khoan ĐN lục giác 2 cạnh KBH2E-06*150</t>
        </is>
      </c>
      <c r="I970" s="3" t="inlineStr">
        <is>
          <t>Cái</t>
        </is>
      </c>
      <c r="J970" s="5" t="n">
        <v>31000</v>
      </c>
      <c r="K970" s="5" t="n">
        <v>39000</v>
      </c>
      <c r="L970" s="6" t="n">
        <v>50000</v>
      </c>
      <c r="M970" s="5" t="n"/>
      <c r="N970" s="5">
        <f>IF(AND(ISNUMBER(M970),ISNUMBER(L970)),M970-L970,"")</f>
        <v/>
      </c>
      <c r="O970" s="7">
        <f>IF(AND(ISNUMBER(M970),ISNUMBER(L970),L970&gt;0),(M970-L970)/L970,"")</f>
        <v/>
      </c>
      <c r="P970" s="3">
        <f>IF(O970="","",IF(O970&lt;-0.02,"🔴 Bán phá giá sàn",IF(O970&gt;0.05,"🔵 Bán cao hơn","🟢 Đúng giá sàn TMĐT")))</f>
        <v/>
      </c>
      <c r="Q970" s="3" t="n"/>
      <c r="R970" s="4" t="n"/>
      <c r="S970" s="4" t="n"/>
    </row>
    <row r="971">
      <c r="A971" s="3" t="n">
        <v>970</v>
      </c>
      <c r="B971" s="3" t="inlineStr">
        <is>
          <t>KH005</t>
        </is>
      </c>
      <c r="C971" s="4" t="inlineStr">
        <is>
          <t>ThinkSafe HCM</t>
        </is>
      </c>
      <c r="D971" s="3" t="inlineStr">
        <is>
          <t>HCM</t>
        </is>
      </c>
      <c r="E971" s="3" t="inlineStr">
        <is>
          <t>XUÂN TRANG</t>
        </is>
      </c>
      <c r="F971" s="3" t="inlineStr">
        <is>
          <t>Shopee</t>
        </is>
      </c>
      <c r="G971" s="3" t="inlineStr">
        <is>
          <t>KBH2E-08*150</t>
        </is>
      </c>
      <c r="H971" s="4" t="inlineStr">
        <is>
          <t>Mũi khoan ĐN lục giác 2 cạnh KBH2E-08*150</t>
        </is>
      </c>
      <c r="I971" s="3" t="inlineStr">
        <is>
          <t>Cái</t>
        </is>
      </c>
      <c r="J971" s="5" t="n">
        <v>41000</v>
      </c>
      <c r="K971" s="5" t="n">
        <v>51000</v>
      </c>
      <c r="L971" s="6" t="n">
        <v>66000</v>
      </c>
      <c r="M971" s="5" t="n"/>
      <c r="N971" s="5">
        <f>IF(AND(ISNUMBER(M971),ISNUMBER(L971)),M971-L971,"")</f>
        <v/>
      </c>
      <c r="O971" s="7">
        <f>IF(AND(ISNUMBER(M971),ISNUMBER(L971),L971&gt;0),(M971-L971)/L971,"")</f>
        <v/>
      </c>
      <c r="P971" s="3">
        <f>IF(O971="","",IF(O971&lt;-0.02,"🔴 Bán phá giá sàn",IF(O971&gt;0.05,"🔵 Bán cao hơn","🟢 Đúng giá sàn TMĐT")))</f>
        <v/>
      </c>
      <c r="Q971" s="3" t="n"/>
      <c r="R971" s="4" t="n"/>
      <c r="S971" s="4" t="n"/>
    </row>
    <row r="972">
      <c r="A972" s="3" t="n">
        <v>971</v>
      </c>
      <c r="B972" s="3" t="inlineStr">
        <is>
          <t>KH005</t>
        </is>
      </c>
      <c r="C972" s="4" t="inlineStr">
        <is>
          <t>ThinkSafe HCM</t>
        </is>
      </c>
      <c r="D972" s="3" t="inlineStr">
        <is>
          <t>HCM</t>
        </is>
      </c>
      <c r="E972" s="3" t="inlineStr">
        <is>
          <t>XUÂN TRANG</t>
        </is>
      </c>
      <c r="F972" s="3" t="inlineStr">
        <is>
          <t>Shopee</t>
        </is>
      </c>
      <c r="G972" s="3" t="inlineStr">
        <is>
          <t>KBH2E-10*150</t>
        </is>
      </c>
      <c r="H972" s="4" t="inlineStr">
        <is>
          <t>Mũi khoan ĐN lục giác 2 cạnh KBH2E-10*150</t>
        </is>
      </c>
      <c r="I972" s="3" t="inlineStr">
        <is>
          <t>Cái</t>
        </is>
      </c>
      <c r="J972" s="5" t="n">
        <v>48000</v>
      </c>
      <c r="K972" s="5" t="n">
        <v>60000</v>
      </c>
      <c r="L972" s="6" t="n">
        <v>77000</v>
      </c>
      <c r="M972" s="5" t="n"/>
      <c r="N972" s="5">
        <f>IF(AND(ISNUMBER(M972),ISNUMBER(L972)),M972-L972,"")</f>
        <v/>
      </c>
      <c r="O972" s="7">
        <f>IF(AND(ISNUMBER(M972),ISNUMBER(L972),L972&gt;0),(M972-L972)/L972,"")</f>
        <v/>
      </c>
      <c r="P972" s="3">
        <f>IF(O972="","",IF(O972&lt;-0.02,"🔴 Bán phá giá sàn",IF(O972&gt;0.05,"🔵 Bán cao hơn","🟢 Đúng giá sàn TMĐT")))</f>
        <v/>
      </c>
      <c r="Q972" s="3" t="n"/>
      <c r="R972" s="4" t="n"/>
      <c r="S972" s="4" t="n"/>
    </row>
    <row r="973">
      <c r="A973" s="3" t="n">
        <v>972</v>
      </c>
      <c r="B973" s="3" t="inlineStr">
        <is>
          <t>KH005</t>
        </is>
      </c>
      <c r="C973" s="4" t="inlineStr">
        <is>
          <t>ThinkSafe HCM</t>
        </is>
      </c>
      <c r="D973" s="3" t="inlineStr">
        <is>
          <t>HCM</t>
        </is>
      </c>
      <c r="E973" s="3" t="inlineStr">
        <is>
          <t>XUÂN TRANG</t>
        </is>
      </c>
      <c r="F973" s="3" t="inlineStr">
        <is>
          <t>Shopee</t>
        </is>
      </c>
      <c r="G973" s="3" t="inlineStr">
        <is>
          <t>KBH2E-12*150</t>
        </is>
      </c>
      <c r="H973" s="4" t="inlineStr">
        <is>
          <t>Mũi khoan ĐN lục giác 2 cạnh KBH2E-12*150</t>
        </is>
      </c>
      <c r="I973" s="3" t="inlineStr">
        <is>
          <t>Cái</t>
        </is>
      </c>
      <c r="J973" s="5" t="n">
        <v>63000</v>
      </c>
      <c r="K973" s="5" t="n">
        <v>78000</v>
      </c>
      <c r="L973" s="6" t="n">
        <v>101000</v>
      </c>
      <c r="M973" s="5" t="n"/>
      <c r="N973" s="5">
        <f>IF(AND(ISNUMBER(M973),ISNUMBER(L973)),M973-L973,"")</f>
        <v/>
      </c>
      <c r="O973" s="7">
        <f>IF(AND(ISNUMBER(M973),ISNUMBER(L973),L973&gt;0),(M973-L973)/L973,"")</f>
        <v/>
      </c>
      <c r="P973" s="3">
        <f>IF(O973="","",IF(O973&lt;-0.02,"🔴 Bán phá giá sàn",IF(O973&gt;0.05,"🔵 Bán cao hơn","🟢 Đúng giá sàn TMĐT")))</f>
        <v/>
      </c>
      <c r="Q973" s="3" t="n"/>
      <c r="R973" s="4" t="n"/>
      <c r="S973" s="4" t="n"/>
    </row>
    <row r="974">
      <c r="A974" s="3" t="n">
        <v>973</v>
      </c>
      <c r="B974" s="3" t="inlineStr">
        <is>
          <t>KH005</t>
        </is>
      </c>
      <c r="C974" s="4" t="inlineStr">
        <is>
          <t>ThinkSafe HCM</t>
        </is>
      </c>
      <c r="D974" s="3" t="inlineStr">
        <is>
          <t>HCM</t>
        </is>
      </c>
      <c r="E974" s="3" t="inlineStr">
        <is>
          <t>XUÂN TRANG</t>
        </is>
      </c>
      <c r="F974" s="3" t="inlineStr">
        <is>
          <t>Shopee</t>
        </is>
      </c>
      <c r="G974" s="3" t="inlineStr">
        <is>
          <t>KBH2F-03*95</t>
        </is>
      </c>
      <c r="H974" s="4" t="inlineStr">
        <is>
          <t>Mũi khoan ĐN lục giác 2 cạnh KBH2F-03*95</t>
        </is>
      </c>
      <c r="I974" s="3" t="inlineStr">
        <is>
          <t>Cái</t>
        </is>
      </c>
      <c r="J974" s="5" t="n">
        <v>26000</v>
      </c>
      <c r="K974" s="5" t="n">
        <v>32000</v>
      </c>
      <c r="L974" s="6" t="n">
        <v>42000</v>
      </c>
      <c r="M974" s="5" t="n"/>
      <c r="N974" s="5">
        <f>IF(AND(ISNUMBER(M974),ISNUMBER(L974)),M974-L974,"")</f>
        <v/>
      </c>
      <c r="O974" s="7">
        <f>IF(AND(ISNUMBER(M974),ISNUMBER(L974),L974&gt;0),(M974-L974)/L974,"")</f>
        <v/>
      </c>
      <c r="P974" s="3">
        <f>IF(O974="","",IF(O974&lt;-0.02,"🔴 Bán phá giá sàn",IF(O974&gt;0.05,"🔵 Bán cao hơn","🟢 Đúng giá sàn TMĐT")))</f>
        <v/>
      </c>
      <c r="Q974" s="3" t="n"/>
      <c r="R974" s="4" t="n"/>
      <c r="S974" s="4" t="n"/>
    </row>
    <row r="975">
      <c r="A975" s="3" t="n">
        <v>974</v>
      </c>
      <c r="B975" s="3" t="inlineStr">
        <is>
          <t>KH005</t>
        </is>
      </c>
      <c r="C975" s="4" t="inlineStr">
        <is>
          <t>ThinkSafe HCM</t>
        </is>
      </c>
      <c r="D975" s="3" t="inlineStr">
        <is>
          <t>HCM</t>
        </is>
      </c>
      <c r="E975" s="3" t="inlineStr">
        <is>
          <t>XUÂN TRANG</t>
        </is>
      </c>
      <c r="F975" s="3" t="inlineStr">
        <is>
          <t>Shopee</t>
        </is>
      </c>
      <c r="G975" s="3" t="inlineStr">
        <is>
          <t>KBH2F-04*95</t>
        </is>
      </c>
      <c r="H975" s="4" t="inlineStr">
        <is>
          <t>Mũi khoan ĐN lục giác 2 cạnh KBH2F-04*95</t>
        </is>
      </c>
      <c r="I975" s="3" t="inlineStr">
        <is>
          <t>Cái</t>
        </is>
      </c>
      <c r="J975" s="5" t="n">
        <v>26000</v>
      </c>
      <c r="K975" s="5" t="n">
        <v>32000</v>
      </c>
      <c r="L975" s="6" t="n">
        <v>42000</v>
      </c>
      <c r="M975" s="5" t="n"/>
      <c r="N975" s="5">
        <f>IF(AND(ISNUMBER(M975),ISNUMBER(L975)),M975-L975,"")</f>
        <v/>
      </c>
      <c r="O975" s="7">
        <f>IF(AND(ISNUMBER(M975),ISNUMBER(L975),L975&gt;0),(M975-L975)/L975,"")</f>
        <v/>
      </c>
      <c r="P975" s="3">
        <f>IF(O975="","",IF(O975&lt;-0.02,"🔴 Bán phá giá sàn",IF(O975&gt;0.05,"🔵 Bán cao hơn","🟢 Đúng giá sàn TMĐT")))</f>
        <v/>
      </c>
      <c r="Q975" s="3" t="n"/>
      <c r="R975" s="4" t="n"/>
      <c r="S975" s="4" t="n"/>
    </row>
    <row r="976">
      <c r="A976" s="3" t="n">
        <v>975</v>
      </c>
      <c r="B976" s="3" t="inlineStr">
        <is>
          <t>KH005</t>
        </is>
      </c>
      <c r="C976" s="4" t="inlineStr">
        <is>
          <t>ThinkSafe HCM</t>
        </is>
      </c>
      <c r="D976" s="3" t="inlineStr">
        <is>
          <t>HCM</t>
        </is>
      </c>
      <c r="E976" s="3" t="inlineStr">
        <is>
          <t>XUÂN TRANG</t>
        </is>
      </c>
      <c r="F976" s="3" t="inlineStr">
        <is>
          <t>Shopee</t>
        </is>
      </c>
      <c r="G976" s="3" t="inlineStr">
        <is>
          <t>KBH2F-05*95</t>
        </is>
      </c>
      <c r="H976" s="4" t="inlineStr">
        <is>
          <t>Mũi khoan ĐN lục giác 2 cạnh KBH2F-05*95</t>
        </is>
      </c>
      <c r="I976" s="3" t="inlineStr">
        <is>
          <t>Cái</t>
        </is>
      </c>
      <c r="J976" s="5" t="n">
        <v>26000</v>
      </c>
      <c r="K976" s="5" t="n">
        <v>32000</v>
      </c>
      <c r="L976" s="6" t="n">
        <v>42000</v>
      </c>
      <c r="M976" s="5" t="n"/>
      <c r="N976" s="5">
        <f>IF(AND(ISNUMBER(M976),ISNUMBER(L976)),M976-L976,"")</f>
        <v/>
      </c>
      <c r="O976" s="7">
        <f>IF(AND(ISNUMBER(M976),ISNUMBER(L976),L976&gt;0),(M976-L976)/L976,"")</f>
        <v/>
      </c>
      <c r="P976" s="3">
        <f>IF(O976="","",IF(O976&lt;-0.02,"🔴 Bán phá giá sàn",IF(O976&gt;0.05,"🔵 Bán cao hơn","🟢 Đúng giá sàn TMĐT")))</f>
        <v/>
      </c>
      <c r="Q976" s="3" t="n"/>
      <c r="R976" s="4" t="n"/>
      <c r="S976" s="4" t="n"/>
    </row>
    <row r="977">
      <c r="A977" s="3" t="n">
        <v>976</v>
      </c>
      <c r="B977" s="3" t="inlineStr">
        <is>
          <t>KH005</t>
        </is>
      </c>
      <c r="C977" s="4" t="inlineStr">
        <is>
          <t>ThinkSafe HCM</t>
        </is>
      </c>
      <c r="D977" s="3" t="inlineStr">
        <is>
          <t>HCM</t>
        </is>
      </c>
      <c r="E977" s="3" t="inlineStr">
        <is>
          <t>XUÂN TRANG</t>
        </is>
      </c>
      <c r="F977" s="3" t="inlineStr">
        <is>
          <t>Shopee</t>
        </is>
      </c>
      <c r="G977" s="3" t="inlineStr">
        <is>
          <t>KBH2F-06*95</t>
        </is>
      </c>
      <c r="H977" s="4" t="inlineStr">
        <is>
          <t>Mũi khoan ĐN lục giác 2 cạnh KBH2F-06*95</t>
        </is>
      </c>
      <c r="I977" s="3" t="inlineStr">
        <is>
          <t>Cái</t>
        </is>
      </c>
      <c r="J977" s="5" t="n">
        <v>26000</v>
      </c>
      <c r="K977" s="5" t="n">
        <v>32000</v>
      </c>
      <c r="L977" s="6" t="n">
        <v>42000</v>
      </c>
      <c r="M977" s="5" t="n"/>
      <c r="N977" s="5">
        <f>IF(AND(ISNUMBER(M977),ISNUMBER(L977)),M977-L977,"")</f>
        <v/>
      </c>
      <c r="O977" s="7">
        <f>IF(AND(ISNUMBER(M977),ISNUMBER(L977),L977&gt;0),(M977-L977)/L977,"")</f>
        <v/>
      </c>
      <c r="P977" s="3">
        <f>IF(O977="","",IF(O977&lt;-0.02,"🔴 Bán phá giá sàn",IF(O977&gt;0.05,"🔵 Bán cao hơn","🟢 Đúng giá sàn TMĐT")))</f>
        <v/>
      </c>
      <c r="Q977" s="3" t="n"/>
      <c r="R977" s="4" t="n"/>
      <c r="S977" s="4" t="n"/>
    </row>
    <row r="978">
      <c r="A978" s="3" t="n">
        <v>977</v>
      </c>
      <c r="B978" s="3" t="inlineStr">
        <is>
          <t>KH005</t>
        </is>
      </c>
      <c r="C978" s="4" t="inlineStr">
        <is>
          <t>ThinkSafe HCM</t>
        </is>
      </c>
      <c r="D978" s="3" t="inlineStr">
        <is>
          <t>HCM</t>
        </is>
      </c>
      <c r="E978" s="3" t="inlineStr">
        <is>
          <t>XUÂN TRANG</t>
        </is>
      </c>
      <c r="F978" s="3" t="inlineStr">
        <is>
          <t>Shopee</t>
        </is>
      </c>
      <c r="G978" s="3" t="inlineStr">
        <is>
          <t>KBH2F-08*95</t>
        </is>
      </c>
      <c r="H978" s="4" t="inlineStr">
        <is>
          <t>Mũi khoan ĐN lục giác 2 cạnh KBH2F-08*95</t>
        </is>
      </c>
      <c r="I978" s="3" t="inlineStr">
        <is>
          <t>Cái</t>
        </is>
      </c>
      <c r="J978" s="5" t="n">
        <v>33000</v>
      </c>
      <c r="K978" s="5" t="n">
        <v>41000</v>
      </c>
      <c r="L978" s="6" t="n">
        <v>53000</v>
      </c>
      <c r="M978" s="5" t="n"/>
      <c r="N978" s="5">
        <f>IF(AND(ISNUMBER(M978),ISNUMBER(L978)),M978-L978,"")</f>
        <v/>
      </c>
      <c r="O978" s="7">
        <f>IF(AND(ISNUMBER(M978),ISNUMBER(L978),L978&gt;0),(M978-L978)/L978,"")</f>
        <v/>
      </c>
      <c r="P978" s="3">
        <f>IF(O978="","",IF(O978&lt;-0.02,"🔴 Bán phá giá sàn",IF(O978&gt;0.05,"🔵 Bán cao hơn","🟢 Đúng giá sàn TMĐT")))</f>
        <v/>
      </c>
      <c r="Q978" s="3" t="n"/>
      <c r="R978" s="4" t="n"/>
      <c r="S978" s="4" t="n"/>
    </row>
    <row r="979">
      <c r="A979" s="3" t="n">
        <v>978</v>
      </c>
      <c r="B979" s="3" t="inlineStr">
        <is>
          <t>KH005</t>
        </is>
      </c>
      <c r="C979" s="4" t="inlineStr">
        <is>
          <t>ThinkSafe HCM</t>
        </is>
      </c>
      <c r="D979" s="3" t="inlineStr">
        <is>
          <t>HCM</t>
        </is>
      </c>
      <c r="E979" s="3" t="inlineStr">
        <is>
          <t>XUÂN TRANG</t>
        </is>
      </c>
      <c r="F979" s="3" t="inlineStr">
        <is>
          <t>Shopee</t>
        </is>
      </c>
      <c r="G979" s="3" t="inlineStr">
        <is>
          <t>KBH2F-10*95</t>
        </is>
      </c>
      <c r="H979" s="4" t="inlineStr">
        <is>
          <t>Mũi khoan ĐN lục giác 2 cạnh KBH2F-10*95</t>
        </is>
      </c>
      <c r="I979" s="3" t="inlineStr">
        <is>
          <t>Cái</t>
        </is>
      </c>
      <c r="J979" s="5" t="n">
        <v>42000</v>
      </c>
      <c r="K979" s="5" t="n">
        <v>52000</v>
      </c>
      <c r="L979" s="6" t="n">
        <v>67000</v>
      </c>
      <c r="M979" s="5" t="n"/>
      <c r="N979" s="5">
        <f>IF(AND(ISNUMBER(M979),ISNUMBER(L979)),M979-L979,"")</f>
        <v/>
      </c>
      <c r="O979" s="7">
        <f>IF(AND(ISNUMBER(M979),ISNUMBER(L979),L979&gt;0),(M979-L979)/L979,"")</f>
        <v/>
      </c>
      <c r="P979" s="3">
        <f>IF(O979="","",IF(O979&lt;-0.02,"🔴 Bán phá giá sàn",IF(O979&gt;0.05,"🔵 Bán cao hơn","🟢 Đúng giá sàn TMĐT")))</f>
        <v/>
      </c>
      <c r="Q979" s="3" t="n"/>
      <c r="R979" s="4" t="n"/>
      <c r="S979" s="4" t="n"/>
    </row>
    <row r="980">
      <c r="A980" s="3" t="n">
        <v>979</v>
      </c>
      <c r="B980" s="3" t="inlineStr">
        <is>
          <t>KH005</t>
        </is>
      </c>
      <c r="C980" s="4" t="inlineStr">
        <is>
          <t>ThinkSafe HCM</t>
        </is>
      </c>
      <c r="D980" s="3" t="inlineStr">
        <is>
          <t>HCM</t>
        </is>
      </c>
      <c r="E980" s="3" t="inlineStr">
        <is>
          <t>XUÂN TRANG</t>
        </is>
      </c>
      <c r="F980" s="3" t="inlineStr">
        <is>
          <t>Shopee</t>
        </is>
      </c>
      <c r="G980" s="3" t="inlineStr">
        <is>
          <t>KBH2F-12*95</t>
        </is>
      </c>
      <c r="H980" s="4" t="inlineStr">
        <is>
          <t>Mũi khoan ĐN lục giác 2 cạnh KBH2F-12*95</t>
        </is>
      </c>
      <c r="I980" s="3" t="inlineStr">
        <is>
          <t>Cái</t>
        </is>
      </c>
      <c r="J980" s="5" t="n">
        <v>53000</v>
      </c>
      <c r="K980" s="5" t="n">
        <v>66000</v>
      </c>
      <c r="L980" s="6" t="n">
        <v>85000</v>
      </c>
      <c r="M980" s="5" t="n"/>
      <c r="N980" s="5">
        <f>IF(AND(ISNUMBER(M980),ISNUMBER(L980)),M980-L980,"")</f>
        <v/>
      </c>
      <c r="O980" s="7">
        <f>IF(AND(ISNUMBER(M980),ISNUMBER(L980),L980&gt;0),(M980-L980)/L980,"")</f>
        <v/>
      </c>
      <c r="P980" s="3">
        <f>IF(O980="","",IF(O980&lt;-0.02,"🔴 Bán phá giá sàn",IF(O980&gt;0.05,"🔵 Bán cao hơn","🟢 Đúng giá sàn TMĐT")))</f>
        <v/>
      </c>
      <c r="Q980" s="3" t="n"/>
      <c r="R980" s="4" t="n"/>
      <c r="S980" s="4" t="n"/>
    </row>
    <row r="981">
      <c r="A981" s="3" t="n">
        <v>980</v>
      </c>
      <c r="B981" s="3" t="inlineStr">
        <is>
          <t>KH005</t>
        </is>
      </c>
      <c r="C981" s="4" t="inlineStr">
        <is>
          <t>ThinkSafe HCM</t>
        </is>
      </c>
      <c r="D981" s="3" t="inlineStr">
        <is>
          <t>HCM</t>
        </is>
      </c>
      <c r="E981" s="3" t="inlineStr">
        <is>
          <t>XUÂN TRANG</t>
        </is>
      </c>
      <c r="F981" s="3" t="inlineStr">
        <is>
          <t>Shopee</t>
        </is>
      </c>
      <c r="G981" s="3" t="inlineStr">
        <is>
          <t>KBH4S-06*100</t>
        </is>
      </c>
      <c r="H981" s="4" t="inlineStr">
        <is>
          <t>Mũi khoan ĐN lục giác 4 cạnh KBH4S-06*100</t>
        </is>
      </c>
      <c r="I981" s="3" t="inlineStr">
        <is>
          <t>Cái</t>
        </is>
      </c>
      <c r="J981" s="5" t="n">
        <v>41000</v>
      </c>
      <c r="K981" s="5" t="n">
        <v>51000</v>
      </c>
      <c r="L981" s="6" t="n">
        <v>65000</v>
      </c>
      <c r="M981" s="5" t="n"/>
      <c r="N981" s="5">
        <f>IF(AND(ISNUMBER(M981),ISNUMBER(L981)),M981-L981,"")</f>
        <v/>
      </c>
      <c r="O981" s="7">
        <f>IF(AND(ISNUMBER(M981),ISNUMBER(L981),L981&gt;0),(M981-L981)/L981,"")</f>
        <v/>
      </c>
      <c r="P981" s="3">
        <f>IF(O981="","",IF(O981&lt;-0.02,"🔴 Bán phá giá sàn",IF(O981&gt;0.05,"🔵 Bán cao hơn","🟢 Đúng giá sàn TMĐT")))</f>
        <v/>
      </c>
      <c r="Q981" s="3" t="n"/>
      <c r="R981" s="4" t="n"/>
      <c r="S981" s="4" t="n"/>
    </row>
    <row r="982">
      <c r="A982" s="3" t="n">
        <v>981</v>
      </c>
      <c r="B982" s="3" t="inlineStr">
        <is>
          <t>KH005</t>
        </is>
      </c>
      <c r="C982" s="4" t="inlineStr">
        <is>
          <t>ThinkSafe HCM</t>
        </is>
      </c>
      <c r="D982" s="3" t="inlineStr">
        <is>
          <t>HCM</t>
        </is>
      </c>
      <c r="E982" s="3" t="inlineStr">
        <is>
          <t>XUÂN TRANG</t>
        </is>
      </c>
      <c r="F982" s="3" t="inlineStr">
        <is>
          <t>Shopee</t>
        </is>
      </c>
      <c r="G982" s="3" t="inlineStr">
        <is>
          <t>KBH4S-08*117</t>
        </is>
      </c>
      <c r="H982" s="4" t="inlineStr">
        <is>
          <t>Mũi khoan ĐN lục giác 4 cạnh KBH4S-08*117</t>
        </is>
      </c>
      <c r="I982" s="3" t="inlineStr">
        <is>
          <t>Cái</t>
        </is>
      </c>
      <c r="J982" s="5" t="n">
        <v>32000</v>
      </c>
      <c r="K982" s="5" t="n">
        <v>40000</v>
      </c>
      <c r="L982" s="6" t="n">
        <v>51000</v>
      </c>
      <c r="M982" s="5" t="n"/>
      <c r="N982" s="5">
        <f>IF(AND(ISNUMBER(M982),ISNUMBER(L982)),M982-L982,"")</f>
        <v/>
      </c>
      <c r="O982" s="7">
        <f>IF(AND(ISNUMBER(M982),ISNUMBER(L982),L982&gt;0),(M982-L982)/L982,"")</f>
        <v/>
      </c>
      <c r="P982" s="3">
        <f>IF(O982="","",IF(O982&lt;-0.02,"🔴 Bán phá giá sàn",IF(O982&gt;0.05,"🔵 Bán cao hơn","🟢 Đúng giá sàn TMĐT")))</f>
        <v/>
      </c>
      <c r="Q982" s="3" t="n"/>
      <c r="R982" s="4" t="n"/>
      <c r="S982" s="4" t="n"/>
    </row>
    <row r="983">
      <c r="A983" s="3" t="n">
        <v>982</v>
      </c>
      <c r="B983" s="3" t="inlineStr">
        <is>
          <t>KH005</t>
        </is>
      </c>
      <c r="C983" s="4" t="inlineStr">
        <is>
          <t>ThinkSafe HCM</t>
        </is>
      </c>
      <c r="D983" s="3" t="inlineStr">
        <is>
          <t>HCM</t>
        </is>
      </c>
      <c r="E983" s="3" t="inlineStr">
        <is>
          <t>XUÂN TRANG</t>
        </is>
      </c>
      <c r="F983" s="3" t="inlineStr">
        <is>
          <t>Shopee</t>
        </is>
      </c>
      <c r="G983" s="3" t="inlineStr">
        <is>
          <t>KBH4S-10*123</t>
        </is>
      </c>
      <c r="H983" s="4" t="inlineStr">
        <is>
          <t>Mũi khoan ĐN lục giác 4 cạnh KBH4S-10*123</t>
        </is>
      </c>
      <c r="I983" s="3" t="inlineStr">
        <is>
          <t>Cái</t>
        </is>
      </c>
      <c r="J983" s="5" t="n">
        <v>40000</v>
      </c>
      <c r="K983" s="5" t="n">
        <v>50000</v>
      </c>
      <c r="L983" s="6" t="n">
        <v>64000</v>
      </c>
      <c r="M983" s="5" t="n"/>
      <c r="N983" s="5">
        <f>IF(AND(ISNUMBER(M983),ISNUMBER(L983)),M983-L983,"")</f>
        <v/>
      </c>
      <c r="O983" s="7">
        <f>IF(AND(ISNUMBER(M983),ISNUMBER(L983),L983&gt;0),(M983-L983)/L983,"")</f>
        <v/>
      </c>
      <c r="P983" s="3">
        <f>IF(O983="","",IF(O983&lt;-0.02,"🔴 Bán phá giá sàn",IF(O983&gt;0.05,"🔵 Bán cao hơn","🟢 Đúng giá sàn TMĐT")))</f>
        <v/>
      </c>
      <c r="Q983" s="3" t="n"/>
      <c r="R983" s="4" t="n"/>
      <c r="S983" s="4" t="n"/>
    </row>
    <row r="984">
      <c r="A984" s="3" t="n">
        <v>983</v>
      </c>
      <c r="B984" s="3" t="inlineStr">
        <is>
          <t>KH005</t>
        </is>
      </c>
      <c r="C984" s="4" t="inlineStr">
        <is>
          <t>ThinkSafe HCM</t>
        </is>
      </c>
      <c r="D984" s="3" t="inlineStr">
        <is>
          <t>HCM</t>
        </is>
      </c>
      <c r="E984" s="3" t="inlineStr">
        <is>
          <t>XUÂN TRANG</t>
        </is>
      </c>
      <c r="F984" s="3" t="inlineStr">
        <is>
          <t>Shopee</t>
        </is>
      </c>
      <c r="G984" s="3" t="inlineStr">
        <is>
          <t>KBH4S-12*123</t>
        </is>
      </c>
      <c r="H984" s="4" t="inlineStr">
        <is>
          <t>Mũi khoan ĐN lục giác 4 cạnh KBH4S-12*123</t>
        </is>
      </c>
      <c r="I984" s="3" t="inlineStr">
        <is>
          <t>Cái</t>
        </is>
      </c>
      <c r="J984" s="5" t="n">
        <v>48000</v>
      </c>
      <c r="K984" s="5" t="n">
        <v>60000</v>
      </c>
      <c r="L984" s="6" t="n">
        <v>77000</v>
      </c>
      <c r="M984" s="5" t="n"/>
      <c r="N984" s="5">
        <f>IF(AND(ISNUMBER(M984),ISNUMBER(L984)),M984-L984,"")</f>
        <v/>
      </c>
      <c r="O984" s="7">
        <f>IF(AND(ISNUMBER(M984),ISNUMBER(L984),L984&gt;0),(M984-L984)/L984,"")</f>
        <v/>
      </c>
      <c r="P984" s="3">
        <f>IF(O984="","",IF(O984&lt;-0.02,"🔴 Bán phá giá sàn",IF(O984&gt;0.05,"🔵 Bán cao hơn","🟢 Đúng giá sàn TMĐT")))</f>
        <v/>
      </c>
      <c r="Q984" s="3" t="n"/>
      <c r="R984" s="4" t="n"/>
      <c r="S984" s="4" t="n"/>
    </row>
    <row r="985">
      <c r="A985" s="3" t="n">
        <v>984</v>
      </c>
      <c r="B985" s="3" t="inlineStr">
        <is>
          <t>KH005</t>
        </is>
      </c>
      <c r="C985" s="4" t="inlineStr">
        <is>
          <t>ThinkSafe HCM</t>
        </is>
      </c>
      <c r="D985" s="3" t="inlineStr">
        <is>
          <t>HCM</t>
        </is>
      </c>
      <c r="E985" s="3" t="inlineStr">
        <is>
          <t>XUÂN TRANG</t>
        </is>
      </c>
      <c r="F985" s="3" t="inlineStr">
        <is>
          <t>Shopee</t>
        </is>
      </c>
      <c r="G985" s="3" t="inlineStr">
        <is>
          <t>KBH4S-3.5*92</t>
        </is>
      </c>
      <c r="H985" s="4" t="inlineStr">
        <is>
          <t>Mũi khoan ĐN lục giác 4 cạnh KBH4S-3.5*92</t>
        </is>
      </c>
      <c r="I985" s="3" t="inlineStr">
        <is>
          <t>Cái</t>
        </is>
      </c>
      <c r="J985" s="5" t="n">
        <v>23000</v>
      </c>
      <c r="K985" s="5" t="n">
        <v>29000</v>
      </c>
      <c r="L985" s="6" t="n">
        <v>37000</v>
      </c>
      <c r="M985" s="5" t="n"/>
      <c r="N985" s="5">
        <f>IF(AND(ISNUMBER(M985),ISNUMBER(L985)),M985-L985,"")</f>
        <v/>
      </c>
      <c r="O985" s="7">
        <f>IF(AND(ISNUMBER(M985),ISNUMBER(L985),L985&gt;0),(M985-L985)/L985,"")</f>
        <v/>
      </c>
      <c r="P985" s="3">
        <f>IF(O985="","",IF(O985&lt;-0.02,"🔴 Bán phá giá sàn",IF(O985&gt;0.05,"🔵 Bán cao hơn","🟢 Đúng giá sàn TMĐT")))</f>
        <v/>
      </c>
      <c r="Q985" s="3" t="n"/>
      <c r="R985" s="4" t="n"/>
      <c r="S985" s="4" t="n"/>
    </row>
    <row r="986">
      <c r="A986" s="3" t="n">
        <v>985</v>
      </c>
      <c r="B986" s="3" t="inlineStr">
        <is>
          <t>KH005</t>
        </is>
      </c>
      <c r="C986" s="4" t="inlineStr">
        <is>
          <t>ThinkSafe HCM</t>
        </is>
      </c>
      <c r="D986" s="3" t="inlineStr">
        <is>
          <t>HCM</t>
        </is>
      </c>
      <c r="E986" s="3" t="inlineStr">
        <is>
          <t>XUÂN TRANG</t>
        </is>
      </c>
      <c r="F986" s="3" t="inlineStr">
        <is>
          <t>Shopee</t>
        </is>
      </c>
      <c r="G986" s="3" t="inlineStr">
        <is>
          <t>KBX1-06*200</t>
        </is>
      </c>
      <c r="H986" s="4" t="inlineStr">
        <is>
          <t>Mũi khoan gỗ chuôi lục KBX1-06*200</t>
        </is>
      </c>
      <c r="I986" s="3" t="inlineStr">
        <is>
          <t>Cái</t>
        </is>
      </c>
      <c r="J986" s="5" t="n">
        <v>32000</v>
      </c>
      <c r="K986" s="5" t="n">
        <v>40000</v>
      </c>
      <c r="L986" s="6" t="n">
        <v>51000</v>
      </c>
      <c r="M986" s="5" t="n"/>
      <c r="N986" s="5">
        <f>IF(AND(ISNUMBER(M986),ISNUMBER(L986)),M986-L986,"")</f>
        <v/>
      </c>
      <c r="O986" s="7">
        <f>IF(AND(ISNUMBER(M986),ISNUMBER(L986),L986&gt;0),(M986-L986)/L986,"")</f>
        <v/>
      </c>
      <c r="P986" s="3">
        <f>IF(O986="","",IF(O986&lt;-0.02,"🔴 Bán phá giá sàn",IF(O986&gt;0.05,"🔵 Bán cao hơn","🟢 Đúng giá sàn TMĐT")))</f>
        <v/>
      </c>
      <c r="Q986" s="3" t="n"/>
      <c r="R986" s="4" t="n"/>
      <c r="S986" s="4" t="n"/>
    </row>
    <row r="987">
      <c r="A987" s="3" t="n">
        <v>986</v>
      </c>
      <c r="B987" s="3" t="inlineStr">
        <is>
          <t>KH005</t>
        </is>
      </c>
      <c r="C987" s="4" t="inlineStr">
        <is>
          <t>ThinkSafe HCM</t>
        </is>
      </c>
      <c r="D987" s="3" t="inlineStr">
        <is>
          <t>HCM</t>
        </is>
      </c>
      <c r="E987" s="3" t="inlineStr">
        <is>
          <t>XUÂN TRANG</t>
        </is>
      </c>
      <c r="F987" s="3" t="inlineStr">
        <is>
          <t>Shopee</t>
        </is>
      </c>
      <c r="G987" s="3" t="inlineStr">
        <is>
          <t>KBX1-08*200</t>
        </is>
      </c>
      <c r="H987" s="4" t="inlineStr">
        <is>
          <t>Mũi khoan gỗ chuôi lục KBX1-08*200</t>
        </is>
      </c>
      <c r="I987" s="3" t="inlineStr">
        <is>
          <t>Cái</t>
        </is>
      </c>
      <c r="J987" s="5" t="n">
        <v>39000</v>
      </c>
      <c r="K987" s="5" t="n">
        <v>48000</v>
      </c>
      <c r="L987" s="6" t="n">
        <v>62000</v>
      </c>
      <c r="M987" s="5" t="n"/>
      <c r="N987" s="5">
        <f>IF(AND(ISNUMBER(M987),ISNUMBER(L987)),M987-L987,"")</f>
        <v/>
      </c>
      <c r="O987" s="7">
        <f>IF(AND(ISNUMBER(M987),ISNUMBER(L987),L987&gt;0),(M987-L987)/L987,"")</f>
        <v/>
      </c>
      <c r="P987" s="3">
        <f>IF(O987="","",IF(O987&lt;-0.02,"🔴 Bán phá giá sàn",IF(O987&gt;0.05,"🔵 Bán cao hơn","🟢 Đúng giá sàn TMĐT")))</f>
        <v/>
      </c>
      <c r="Q987" s="3" t="n"/>
      <c r="R987" s="4" t="n"/>
      <c r="S987" s="4" t="n"/>
    </row>
    <row r="988">
      <c r="A988" s="3" t="n">
        <v>987</v>
      </c>
      <c r="B988" s="3" t="inlineStr">
        <is>
          <t>KH005</t>
        </is>
      </c>
      <c r="C988" s="4" t="inlineStr">
        <is>
          <t>ThinkSafe HCM</t>
        </is>
      </c>
      <c r="D988" s="3" t="inlineStr">
        <is>
          <t>HCM</t>
        </is>
      </c>
      <c r="E988" s="3" t="inlineStr">
        <is>
          <t>XUÂN TRANG</t>
        </is>
      </c>
      <c r="F988" s="3" t="inlineStr">
        <is>
          <t>Shopee</t>
        </is>
      </c>
      <c r="G988" s="3" t="inlineStr">
        <is>
          <t>KRS-55*155</t>
        </is>
      </c>
      <c r="H988" s="4" t="inlineStr">
        <is>
          <t>Mũi khoan rút lõi khô KRS-55*155 (new)</t>
        </is>
      </c>
      <c r="I988" s="3" t="inlineStr">
        <is>
          <t>Cái</t>
        </is>
      </c>
      <c r="J988" s="5" t="n">
        <v>1190000</v>
      </c>
      <c r="K988" s="5" t="n">
        <v>1380000</v>
      </c>
      <c r="L988" s="6" t="n">
        <v>1666000</v>
      </c>
      <c r="M988" s="5" t="n"/>
      <c r="N988" s="5">
        <f>IF(AND(ISNUMBER(M988),ISNUMBER(L988)),M988-L988,"")</f>
        <v/>
      </c>
      <c r="O988" s="7">
        <f>IF(AND(ISNUMBER(M988),ISNUMBER(L988),L988&gt;0),(M988-L988)/L988,"")</f>
        <v/>
      </c>
      <c r="P988" s="3">
        <f>IF(O988="","",IF(O988&lt;-0.02,"🔴 Bán phá giá sàn",IF(O988&gt;0.05,"🔵 Bán cao hơn","🟢 Đúng giá sàn TMĐT")))</f>
        <v/>
      </c>
      <c r="Q988" s="3" t="n"/>
      <c r="R988" s="4" t="n"/>
      <c r="S988" s="4" t="n"/>
    </row>
    <row r="989">
      <c r="A989" s="3" t="n">
        <v>988</v>
      </c>
      <c r="B989" s="3" t="inlineStr">
        <is>
          <t>KH005</t>
        </is>
      </c>
      <c r="C989" s="4" t="inlineStr">
        <is>
          <t>ThinkSafe HCM</t>
        </is>
      </c>
      <c r="D989" s="3" t="inlineStr">
        <is>
          <t>HCM</t>
        </is>
      </c>
      <c r="E989" s="3" t="inlineStr">
        <is>
          <t>XUÂN TRANG</t>
        </is>
      </c>
      <c r="F989" s="3" t="inlineStr">
        <is>
          <t>Shopee</t>
        </is>
      </c>
      <c r="G989" s="3" t="inlineStr">
        <is>
          <t>KRS-60*155</t>
        </is>
      </c>
      <c r="H989" s="4" t="inlineStr">
        <is>
          <t>Mũi khoan rút lõi khô KRS-60*155</t>
        </is>
      </c>
      <c r="I989" s="3" t="inlineStr">
        <is>
          <t>Cái</t>
        </is>
      </c>
      <c r="J989" s="5" t="n">
        <v>1290000</v>
      </c>
      <c r="K989" s="5" t="n">
        <v>1496000</v>
      </c>
      <c r="L989" s="6" t="n">
        <v>1806000</v>
      </c>
      <c r="M989" s="5" t="n"/>
      <c r="N989" s="5">
        <f>IF(AND(ISNUMBER(M989),ISNUMBER(L989)),M989-L989,"")</f>
        <v/>
      </c>
      <c r="O989" s="7">
        <f>IF(AND(ISNUMBER(M989),ISNUMBER(L989),L989&gt;0),(M989-L989)/L989,"")</f>
        <v/>
      </c>
      <c r="P989" s="3">
        <f>IF(O989="","",IF(O989&lt;-0.02,"🔴 Bán phá giá sàn",IF(O989&gt;0.05,"🔵 Bán cao hơn","🟢 Đúng giá sàn TMĐT")))</f>
        <v/>
      </c>
      <c r="Q989" s="3" t="n"/>
      <c r="R989" s="4" t="n"/>
      <c r="S989" s="4" t="n"/>
    </row>
    <row r="990">
      <c r="A990" s="3" t="n">
        <v>989</v>
      </c>
      <c r="B990" s="3" t="inlineStr">
        <is>
          <t>KH005</t>
        </is>
      </c>
      <c r="C990" s="4" t="inlineStr">
        <is>
          <t>ThinkSafe HCM</t>
        </is>
      </c>
      <c r="D990" s="3" t="inlineStr">
        <is>
          <t>HCM</t>
        </is>
      </c>
      <c r="E990" s="3" t="inlineStr">
        <is>
          <t>XUÂN TRANG</t>
        </is>
      </c>
      <c r="F990" s="3" t="inlineStr">
        <is>
          <t>Shopee</t>
        </is>
      </c>
      <c r="G990" s="3" t="inlineStr">
        <is>
          <t>KRS-60*155</t>
        </is>
      </c>
      <c r="H990" s="4" t="inlineStr">
        <is>
          <t>Mũi khoan rút lõi khô KRS-60*155 (New)</t>
        </is>
      </c>
      <c r="I990" s="3" t="inlineStr">
        <is>
          <t>Cái</t>
        </is>
      </c>
      <c r="J990" s="5" t="n">
        <v>1290000</v>
      </c>
      <c r="K990" s="5" t="n">
        <v>1496000</v>
      </c>
      <c r="L990" s="6" t="n">
        <v>1806000</v>
      </c>
      <c r="M990" s="5" t="n"/>
      <c r="N990" s="5">
        <f>IF(AND(ISNUMBER(M990),ISNUMBER(L990)),M990-L990,"")</f>
        <v/>
      </c>
      <c r="O990" s="7">
        <f>IF(AND(ISNUMBER(M990),ISNUMBER(L990),L990&gt;0),(M990-L990)/L990,"")</f>
        <v/>
      </c>
      <c r="P990" s="3">
        <f>IF(O990="","",IF(O990&lt;-0.02,"🔴 Bán phá giá sàn",IF(O990&gt;0.05,"🔵 Bán cao hơn","🟢 Đúng giá sàn TMĐT")))</f>
        <v/>
      </c>
      <c r="Q990" s="3" t="n"/>
      <c r="R990" s="4" t="n"/>
      <c r="S990" s="4" t="n"/>
    </row>
    <row r="991">
      <c r="A991" s="3" t="n">
        <v>990</v>
      </c>
      <c r="B991" s="3" t="inlineStr">
        <is>
          <t>KH005</t>
        </is>
      </c>
      <c r="C991" s="4" t="inlineStr">
        <is>
          <t>ThinkSafe HCM</t>
        </is>
      </c>
      <c r="D991" s="3" t="inlineStr">
        <is>
          <t>HCM</t>
        </is>
      </c>
      <c r="E991" s="3" t="inlineStr">
        <is>
          <t>XUÂN TRANG</t>
        </is>
      </c>
      <c r="F991" s="3" t="inlineStr">
        <is>
          <t>Shopee</t>
        </is>
      </c>
      <c r="G991" s="3" t="inlineStr">
        <is>
          <t>KRS-63*155</t>
        </is>
      </c>
      <c r="H991" s="4" t="inlineStr">
        <is>
          <t>Mũi khoan rút lõi khô KRS-63*155</t>
        </is>
      </c>
      <c r="I991" s="3" t="inlineStr">
        <is>
          <t>Cái</t>
        </is>
      </c>
      <c r="J991" s="5" t="n">
        <v>1350000</v>
      </c>
      <c r="K991" s="5" t="n">
        <v>1566000</v>
      </c>
      <c r="L991" s="6" t="n">
        <v>1890000</v>
      </c>
      <c r="M991" s="5" t="n"/>
      <c r="N991" s="5">
        <f>IF(AND(ISNUMBER(M991),ISNUMBER(L991)),M991-L991,"")</f>
        <v/>
      </c>
      <c r="O991" s="7">
        <f>IF(AND(ISNUMBER(M991),ISNUMBER(L991),L991&gt;0),(M991-L991)/L991,"")</f>
        <v/>
      </c>
      <c r="P991" s="3">
        <f>IF(O991="","",IF(O991&lt;-0.02,"🔴 Bán phá giá sàn",IF(O991&gt;0.05,"🔵 Bán cao hơn","🟢 Đúng giá sàn TMĐT")))</f>
        <v/>
      </c>
      <c r="Q991" s="3" t="n"/>
      <c r="R991" s="4" t="n"/>
      <c r="S991" s="4" t="n"/>
    </row>
    <row r="992">
      <c r="A992" s="3" t="n">
        <v>991</v>
      </c>
      <c r="B992" s="3" t="inlineStr">
        <is>
          <t>KH005</t>
        </is>
      </c>
      <c r="C992" s="4" t="inlineStr">
        <is>
          <t>ThinkSafe HCM</t>
        </is>
      </c>
      <c r="D992" s="3" t="inlineStr">
        <is>
          <t>HCM</t>
        </is>
      </c>
      <c r="E992" s="3" t="inlineStr">
        <is>
          <t>XUÂN TRANG</t>
        </is>
      </c>
      <c r="F992" s="3" t="inlineStr">
        <is>
          <t>Shopee</t>
        </is>
      </c>
      <c r="G992" s="3" t="inlineStr">
        <is>
          <t>KBR-M3*0.5</t>
        </is>
      </c>
      <c r="H992" s="4" t="inlineStr">
        <is>
          <t>Mũi khoan TARO KBR-M3*0.5</t>
        </is>
      </c>
      <c r="I992" s="3" t="inlineStr">
        <is>
          <t>Cái</t>
        </is>
      </c>
      <c r="J992" s="5" t="n">
        <v>58000</v>
      </c>
      <c r="K992" s="5" t="n">
        <v>72000</v>
      </c>
      <c r="L992" s="6" t="n">
        <v>93000</v>
      </c>
      <c r="M992" s="5" t="n"/>
      <c r="N992" s="5">
        <f>IF(AND(ISNUMBER(M992),ISNUMBER(L992)),M992-L992,"")</f>
        <v/>
      </c>
      <c r="O992" s="7">
        <f>IF(AND(ISNUMBER(M992),ISNUMBER(L992),L992&gt;0),(M992-L992)/L992,"")</f>
        <v/>
      </c>
      <c r="P992" s="3">
        <f>IF(O992="","",IF(O992&lt;-0.02,"🔴 Bán phá giá sàn",IF(O992&gt;0.05,"🔵 Bán cao hơn","🟢 Đúng giá sàn TMĐT")))</f>
        <v/>
      </c>
      <c r="Q992" s="3" t="n"/>
      <c r="R992" s="4" t="n"/>
      <c r="S992" s="4" t="n"/>
    </row>
    <row r="993">
      <c r="A993" s="3" t="n">
        <v>992</v>
      </c>
      <c r="B993" s="3" t="inlineStr">
        <is>
          <t>KH005</t>
        </is>
      </c>
      <c r="C993" s="4" t="inlineStr">
        <is>
          <t>ThinkSafe HCM</t>
        </is>
      </c>
      <c r="D993" s="3" t="inlineStr">
        <is>
          <t>HCM</t>
        </is>
      </c>
      <c r="E993" s="3" t="inlineStr">
        <is>
          <t>XUÂN TRANG</t>
        </is>
      </c>
      <c r="F993" s="3" t="inlineStr">
        <is>
          <t>Shopee</t>
        </is>
      </c>
      <c r="G993" s="3" t="inlineStr"/>
      <c r="H993" s="4" t="inlineStr">
        <is>
          <t>Mũi khoan tường không tắc kê KBLJ - 03*100</t>
        </is>
      </c>
      <c r="I993" s="3" t="inlineStr">
        <is>
          <t>Cái</t>
        </is>
      </c>
      <c r="J993" s="5" t="n">
        <v>269000</v>
      </c>
      <c r="K993" s="5" t="n">
        <v>317000</v>
      </c>
      <c r="L993" s="6" t="n">
        <v>390000</v>
      </c>
      <c r="M993" s="5" t="n"/>
      <c r="N993" s="5">
        <f>IF(AND(ISNUMBER(M993),ISNUMBER(L993)),M993-L993,"")</f>
        <v/>
      </c>
      <c r="O993" s="7">
        <f>IF(AND(ISNUMBER(M993),ISNUMBER(L993),L993&gt;0),(M993-L993)/L993,"")</f>
        <v/>
      </c>
      <c r="P993" s="3">
        <f>IF(O993="","",IF(O993&lt;-0.02,"🔴 Bán phá giá sàn",IF(O993&gt;0.05,"🔵 Bán cao hơn","🟢 Đúng giá sàn TMĐT")))</f>
        <v/>
      </c>
      <c r="Q993" s="3" t="n"/>
      <c r="R993" s="4" t="n"/>
      <c r="S993" s="4" t="n"/>
    </row>
    <row r="994">
      <c r="A994" s="3" t="n">
        <v>993</v>
      </c>
      <c r="B994" s="3" t="inlineStr">
        <is>
          <t>KH005</t>
        </is>
      </c>
      <c r="C994" s="4" t="inlineStr">
        <is>
          <t>ThinkSafe HCM</t>
        </is>
      </c>
      <c r="D994" s="3" t="inlineStr">
        <is>
          <t>HCM</t>
        </is>
      </c>
      <c r="E994" s="3" t="inlineStr">
        <is>
          <t>XUÂN TRANG</t>
        </is>
      </c>
      <c r="F994" s="3" t="inlineStr">
        <is>
          <t>Shopee</t>
        </is>
      </c>
      <c r="G994" s="3" t="inlineStr"/>
      <c r="H994" s="4" t="inlineStr">
        <is>
          <t>Mũi khoan tường không tắc kê KBLJ - 03.2*100</t>
        </is>
      </c>
      <c r="I994" s="3" t="inlineStr">
        <is>
          <t>Cái</t>
        </is>
      </c>
      <c r="J994" s="5" t="n">
        <v>269000</v>
      </c>
      <c r="K994" s="5" t="n">
        <v>317000</v>
      </c>
      <c r="L994" s="6" t="n">
        <v>390000</v>
      </c>
      <c r="M994" s="5" t="n"/>
      <c r="N994" s="5">
        <f>IF(AND(ISNUMBER(M994),ISNUMBER(L994)),M994-L994,"")</f>
        <v/>
      </c>
      <c r="O994" s="7">
        <f>IF(AND(ISNUMBER(M994),ISNUMBER(L994),L994&gt;0),(M994-L994)/L994,"")</f>
        <v/>
      </c>
      <c r="P994" s="3">
        <f>IF(O994="","",IF(O994&lt;-0.02,"🔴 Bán phá giá sàn",IF(O994&gt;0.05,"🔵 Bán cao hơn","🟢 Đúng giá sàn TMĐT")))</f>
        <v/>
      </c>
      <c r="Q994" s="3" t="n"/>
      <c r="R994" s="4" t="n"/>
      <c r="S994" s="4" t="n"/>
    </row>
    <row r="995">
      <c r="A995" s="3" t="n">
        <v>994</v>
      </c>
      <c r="B995" s="3" t="inlineStr">
        <is>
          <t>KH005</t>
        </is>
      </c>
      <c r="C995" s="4" t="inlineStr">
        <is>
          <t>ThinkSafe HCM</t>
        </is>
      </c>
      <c r="D995" s="3" t="inlineStr">
        <is>
          <t>HCM</t>
        </is>
      </c>
      <c r="E995" s="3" t="inlineStr">
        <is>
          <t>XUÂN TRANG</t>
        </is>
      </c>
      <c r="F995" s="3" t="inlineStr">
        <is>
          <t>Shopee</t>
        </is>
      </c>
      <c r="G995" s="3" t="inlineStr"/>
      <c r="H995" s="4" t="inlineStr">
        <is>
          <t>Mũi khoan tường không tắc kê KBLJ - 03.5*100</t>
        </is>
      </c>
      <c r="I995" s="3" t="inlineStr">
        <is>
          <t>Cái</t>
        </is>
      </c>
      <c r="J995" s="5" t="n">
        <v>269000</v>
      </c>
      <c r="K995" s="5" t="n">
        <v>317000</v>
      </c>
      <c r="L995" s="6" t="n">
        <v>390000</v>
      </c>
      <c r="M995" s="5" t="n"/>
      <c r="N995" s="5">
        <f>IF(AND(ISNUMBER(M995),ISNUMBER(L995)),M995-L995,"")</f>
        <v/>
      </c>
      <c r="O995" s="7">
        <f>IF(AND(ISNUMBER(M995),ISNUMBER(L995),L995&gt;0),(M995-L995)/L995,"")</f>
        <v/>
      </c>
      <c r="P995" s="3">
        <f>IF(O995="","",IF(O995&lt;-0.02,"🔴 Bán phá giá sàn",IF(O995&gt;0.05,"🔵 Bán cao hơn","🟢 Đúng giá sàn TMĐT")))</f>
        <v/>
      </c>
      <c r="Q995" s="3" t="n"/>
      <c r="R995" s="4" t="n"/>
      <c r="S995" s="4" t="n"/>
    </row>
    <row r="996">
      <c r="A996" s="3" t="n">
        <v>995</v>
      </c>
      <c r="B996" s="3" t="inlineStr">
        <is>
          <t>KH005</t>
        </is>
      </c>
      <c r="C996" s="4" t="inlineStr">
        <is>
          <t>ThinkSafe HCM</t>
        </is>
      </c>
      <c r="D996" s="3" t="inlineStr">
        <is>
          <t>HCM</t>
        </is>
      </c>
      <c r="E996" s="3" t="inlineStr">
        <is>
          <t>XUÂN TRANG</t>
        </is>
      </c>
      <c r="F996" s="3" t="inlineStr">
        <is>
          <t>Shopee</t>
        </is>
      </c>
      <c r="G996" s="3" t="inlineStr"/>
      <c r="H996" s="4" t="inlineStr">
        <is>
          <t>Mũi khoan tường không tắc kê KBLJ - 04*100</t>
        </is>
      </c>
      <c r="I996" s="3" t="inlineStr">
        <is>
          <t>Cái</t>
        </is>
      </c>
      <c r="J996" s="5" t="n">
        <v>269000</v>
      </c>
      <c r="K996" s="5" t="n">
        <v>317000</v>
      </c>
      <c r="L996" s="6" t="n">
        <v>390000</v>
      </c>
      <c r="M996" s="5" t="n"/>
      <c r="N996" s="5">
        <f>IF(AND(ISNUMBER(M996),ISNUMBER(L996)),M996-L996,"")</f>
        <v/>
      </c>
      <c r="O996" s="7">
        <f>IF(AND(ISNUMBER(M996),ISNUMBER(L996),L996&gt;0),(M996-L996)/L996,"")</f>
        <v/>
      </c>
      <c r="P996" s="3">
        <f>IF(O996="","",IF(O996&lt;-0.02,"🔴 Bán phá giá sàn",IF(O996&gt;0.05,"🔵 Bán cao hơn","🟢 Đúng giá sàn TMĐT")))</f>
        <v/>
      </c>
      <c r="Q996" s="3" t="n"/>
      <c r="R996" s="4" t="n"/>
      <c r="S996" s="4" t="n"/>
    </row>
    <row r="997">
      <c r="A997" s="3" t="n">
        <v>996</v>
      </c>
      <c r="B997" s="3" t="inlineStr">
        <is>
          <t>KH005</t>
        </is>
      </c>
      <c r="C997" s="4" t="inlineStr">
        <is>
          <t>ThinkSafe HCM</t>
        </is>
      </c>
      <c r="D997" s="3" t="inlineStr">
        <is>
          <t>HCM</t>
        </is>
      </c>
      <c r="E997" s="3" t="inlineStr">
        <is>
          <t>XUÂN TRANG</t>
        </is>
      </c>
      <c r="F997" s="3" t="inlineStr">
        <is>
          <t>Shopee</t>
        </is>
      </c>
      <c r="G997" s="3" t="inlineStr"/>
      <c r="H997" s="4" t="inlineStr">
        <is>
          <t>Mũi khoan tường không tắc kê KBLJ - 04.2*100</t>
        </is>
      </c>
      <c r="I997" s="3" t="inlineStr">
        <is>
          <t>Cái</t>
        </is>
      </c>
      <c r="J997" s="5" t="n">
        <v>269000</v>
      </c>
      <c r="K997" s="5" t="n">
        <v>317000</v>
      </c>
      <c r="L997" s="6" t="n">
        <v>390000</v>
      </c>
      <c r="M997" s="5" t="n"/>
      <c r="N997" s="5">
        <f>IF(AND(ISNUMBER(M997),ISNUMBER(L997)),M997-L997,"")</f>
        <v/>
      </c>
      <c r="O997" s="7">
        <f>IF(AND(ISNUMBER(M997),ISNUMBER(L997),L997&gt;0),(M997-L997)/L997,"")</f>
        <v/>
      </c>
      <c r="P997" s="3">
        <f>IF(O997="","",IF(O997&lt;-0.02,"🔴 Bán phá giá sàn",IF(O997&gt;0.05,"🔵 Bán cao hơn","🟢 Đúng giá sàn TMĐT")))</f>
        <v/>
      </c>
      <c r="Q997" s="3" t="n"/>
      <c r="R997" s="4" t="n"/>
      <c r="S997" s="4" t="n"/>
    </row>
    <row r="998">
      <c r="A998" s="3" t="n">
        <v>997</v>
      </c>
      <c r="B998" s="3" t="inlineStr">
        <is>
          <t>KH005</t>
        </is>
      </c>
      <c r="C998" s="4" t="inlineStr">
        <is>
          <t>ThinkSafe HCM</t>
        </is>
      </c>
      <c r="D998" s="3" t="inlineStr">
        <is>
          <t>HCM</t>
        </is>
      </c>
      <c r="E998" s="3" t="inlineStr">
        <is>
          <t>XUÂN TRANG</t>
        </is>
      </c>
      <c r="F998" s="3" t="inlineStr">
        <is>
          <t>Shopee</t>
        </is>
      </c>
      <c r="G998" s="3" t="inlineStr"/>
      <c r="H998" s="4" t="inlineStr">
        <is>
          <t>Mũi khoan tường không tắc kê KBLJ - 04.5*100</t>
        </is>
      </c>
      <c r="I998" s="3" t="inlineStr">
        <is>
          <t>Cái</t>
        </is>
      </c>
      <c r="J998" s="5" t="n">
        <v>269000</v>
      </c>
      <c r="K998" s="5" t="n">
        <v>317000</v>
      </c>
      <c r="L998" s="6" t="n">
        <v>390000</v>
      </c>
      <c r="M998" s="5" t="n"/>
      <c r="N998" s="5">
        <f>IF(AND(ISNUMBER(M998),ISNUMBER(L998)),M998-L998,"")</f>
        <v/>
      </c>
      <c r="O998" s="7">
        <f>IF(AND(ISNUMBER(M998),ISNUMBER(L998),L998&gt;0),(M998-L998)/L998,"")</f>
        <v/>
      </c>
      <c r="P998" s="3">
        <f>IF(O998="","",IF(O998&lt;-0.02,"🔴 Bán phá giá sàn",IF(O998&gt;0.05,"🔵 Bán cao hơn","🟢 Đúng giá sàn TMĐT")))</f>
        <v/>
      </c>
      <c r="Q998" s="3" t="n"/>
      <c r="R998" s="4" t="n"/>
      <c r="S998" s="4" t="n"/>
    </row>
    <row r="999">
      <c r="A999" s="3" t="n">
        <v>998</v>
      </c>
      <c r="B999" s="3" t="inlineStr">
        <is>
          <t>KH005</t>
        </is>
      </c>
      <c r="C999" s="4" t="inlineStr">
        <is>
          <t>ThinkSafe HCM</t>
        </is>
      </c>
      <c r="D999" s="3" t="inlineStr">
        <is>
          <t>HCM</t>
        </is>
      </c>
      <c r="E999" s="3" t="inlineStr">
        <is>
          <t>XUÂN TRANG</t>
        </is>
      </c>
      <c r="F999" s="3" t="inlineStr">
        <is>
          <t>Shopee</t>
        </is>
      </c>
      <c r="G999" s="3" t="inlineStr"/>
      <c r="H999" s="4" t="inlineStr">
        <is>
          <t>Mũi khoan tường không tắc kê KBLJ - 05*100</t>
        </is>
      </c>
      <c r="I999" s="3" t="inlineStr">
        <is>
          <t>Cái</t>
        </is>
      </c>
      <c r="J999" s="5" t="n">
        <v>269000</v>
      </c>
      <c r="K999" s="5" t="n">
        <v>317000</v>
      </c>
      <c r="L999" s="6" t="n">
        <v>390000</v>
      </c>
      <c r="M999" s="5" t="n"/>
      <c r="N999" s="5">
        <f>IF(AND(ISNUMBER(M999),ISNUMBER(L999)),M999-L999,"")</f>
        <v/>
      </c>
      <c r="O999" s="7">
        <f>IF(AND(ISNUMBER(M999),ISNUMBER(L999),L999&gt;0),(M999-L999)/L999,"")</f>
        <v/>
      </c>
      <c r="P999" s="3">
        <f>IF(O999="","",IF(O999&lt;-0.02,"🔴 Bán phá giá sàn",IF(O999&gt;0.05,"🔵 Bán cao hơn","🟢 Đúng giá sàn TMĐT")))</f>
        <v/>
      </c>
      <c r="Q999" s="3" t="n"/>
      <c r="R999" s="4" t="n"/>
      <c r="S999" s="4" t="n"/>
    </row>
    <row r="1000">
      <c r="A1000" s="3" t="n">
        <v>999</v>
      </c>
      <c r="B1000" s="3" t="inlineStr">
        <is>
          <t>KH005</t>
        </is>
      </c>
      <c r="C1000" s="4" t="inlineStr">
        <is>
          <t>ThinkSafe HCM</t>
        </is>
      </c>
      <c r="D1000" s="3" t="inlineStr">
        <is>
          <t>HCM</t>
        </is>
      </c>
      <c r="E1000" s="3" t="inlineStr">
        <is>
          <t>XUÂN TRANG</t>
        </is>
      </c>
      <c r="F1000" s="3" t="inlineStr">
        <is>
          <t>Shopee</t>
        </is>
      </c>
      <c r="G1000" s="3" t="inlineStr"/>
      <c r="H1000" s="4" t="inlineStr">
        <is>
          <t>Mũi khoan tường không tắc kê KBLJ - 05.5*100</t>
        </is>
      </c>
      <c r="I1000" s="3" t="inlineStr">
        <is>
          <t>Cái</t>
        </is>
      </c>
      <c r="J1000" s="5" t="n">
        <v>269000</v>
      </c>
      <c r="K1000" s="5" t="n">
        <v>317000</v>
      </c>
      <c r="L1000" s="6" t="n">
        <v>390000</v>
      </c>
      <c r="M1000" s="5" t="n"/>
      <c r="N1000" s="5">
        <f>IF(AND(ISNUMBER(M1000),ISNUMBER(L1000)),M1000-L1000,"")</f>
        <v/>
      </c>
      <c r="O1000" s="7">
        <f>IF(AND(ISNUMBER(M1000),ISNUMBER(L1000),L1000&gt;0),(M1000-L1000)/L1000,"")</f>
        <v/>
      </c>
      <c r="P1000" s="3">
        <f>IF(O1000="","",IF(O1000&lt;-0.02,"🔴 Bán phá giá sàn",IF(O1000&gt;0.05,"🔵 Bán cao hơn","🟢 Đúng giá sàn TMĐT")))</f>
        <v/>
      </c>
      <c r="Q1000" s="3" t="n"/>
      <c r="R1000" s="4" t="n"/>
      <c r="S1000" s="4" t="n"/>
    </row>
    <row r="1001">
      <c r="A1001" s="3" t="n">
        <v>1000</v>
      </c>
      <c r="B1001" s="3" t="inlineStr">
        <is>
          <t>KH005</t>
        </is>
      </c>
      <c r="C1001" s="4" t="inlineStr">
        <is>
          <t>ThinkSafe HCM</t>
        </is>
      </c>
      <c r="D1001" s="3" t="inlineStr">
        <is>
          <t>HCM</t>
        </is>
      </c>
      <c r="E1001" s="3" t="inlineStr">
        <is>
          <t>XUÂN TRANG</t>
        </is>
      </c>
      <c r="F1001" s="3" t="inlineStr">
        <is>
          <t>Shopee</t>
        </is>
      </c>
      <c r="G1001" s="3" t="inlineStr"/>
      <c r="H1001" s="4" t="inlineStr">
        <is>
          <t>Mũi khoan tường không tắc kê KBLJ - 06*125</t>
        </is>
      </c>
      <c r="I1001" s="3" t="inlineStr">
        <is>
          <t>Cái</t>
        </is>
      </c>
      <c r="J1001" s="5" t="n">
        <v>269000</v>
      </c>
      <c r="K1001" s="5" t="n">
        <v>317000</v>
      </c>
      <c r="L1001" s="6" t="n">
        <v>390000</v>
      </c>
      <c r="M1001" s="5" t="n"/>
      <c r="N1001" s="5">
        <f>IF(AND(ISNUMBER(M1001),ISNUMBER(L1001)),M1001-L1001,"")</f>
        <v/>
      </c>
      <c r="O1001" s="7">
        <f>IF(AND(ISNUMBER(M1001),ISNUMBER(L1001),L1001&gt;0),(M1001-L1001)/L1001,"")</f>
        <v/>
      </c>
      <c r="P1001" s="3">
        <f>IF(O1001="","",IF(O1001&lt;-0.02,"🔴 Bán phá giá sàn",IF(O1001&gt;0.05,"🔵 Bán cao hơn","🟢 Đúng giá sàn TMĐT")))</f>
        <v/>
      </c>
      <c r="Q1001" s="3" t="n"/>
      <c r="R1001" s="4" t="n"/>
      <c r="S1001" s="4" t="n"/>
    </row>
    <row r="1002">
      <c r="A1002" s="3" t="n">
        <v>1001</v>
      </c>
      <c r="B1002" s="3" t="inlineStr">
        <is>
          <t>KH005</t>
        </is>
      </c>
      <c r="C1002" s="4" t="inlineStr">
        <is>
          <t>ThinkSafe HCM</t>
        </is>
      </c>
      <c r="D1002" s="3" t="inlineStr">
        <is>
          <t>HCM</t>
        </is>
      </c>
      <c r="E1002" s="3" t="inlineStr">
        <is>
          <t>XUÂN TRANG</t>
        </is>
      </c>
      <c r="F1002" s="3" t="inlineStr">
        <is>
          <t>Shopee</t>
        </is>
      </c>
      <c r="G1002" s="3" t="inlineStr"/>
      <c r="H1002" s="4" t="inlineStr">
        <is>
          <t>Mũi khoan tường không tắc kê KBLJ - 08*125</t>
        </is>
      </c>
      <c r="I1002" s="3" t="inlineStr">
        <is>
          <t>Cái</t>
        </is>
      </c>
      <c r="J1002" s="5" t="n">
        <v>269000</v>
      </c>
      <c r="K1002" s="5" t="n">
        <v>317000</v>
      </c>
      <c r="L1002" s="6" t="n">
        <v>390000</v>
      </c>
      <c r="M1002" s="5" t="n"/>
      <c r="N1002" s="5">
        <f>IF(AND(ISNUMBER(M1002),ISNUMBER(L1002)),M1002-L1002,"")</f>
        <v/>
      </c>
      <c r="O1002" s="7">
        <f>IF(AND(ISNUMBER(M1002),ISNUMBER(L1002),L1002&gt;0),(M1002-L1002)/L1002,"")</f>
        <v/>
      </c>
      <c r="P1002" s="3">
        <f>IF(O1002="","",IF(O1002&lt;-0.02,"🔴 Bán phá giá sàn",IF(O1002&gt;0.05,"🔵 Bán cao hơn","🟢 Đúng giá sàn TMĐT")))</f>
        <v/>
      </c>
      <c r="Q1002" s="3" t="n"/>
      <c r="R1002" s="4" t="n"/>
      <c r="S1002" s="4" t="n"/>
    </row>
    <row r="1003">
      <c r="A1003" s="3" t="n">
        <v>1002</v>
      </c>
      <c r="B1003" s="3" t="inlineStr">
        <is>
          <t>KH005</t>
        </is>
      </c>
      <c r="C1003" s="4" t="inlineStr">
        <is>
          <t>ThinkSafe HCM</t>
        </is>
      </c>
      <c r="D1003" s="3" t="inlineStr">
        <is>
          <t>HCM</t>
        </is>
      </c>
      <c r="E1003" s="3" t="inlineStr">
        <is>
          <t>XUÂN TRANG</t>
        </is>
      </c>
      <c r="F1003" s="3" t="inlineStr">
        <is>
          <t>Shopee</t>
        </is>
      </c>
      <c r="G1003" s="3" t="inlineStr"/>
      <c r="H1003" s="4" t="inlineStr">
        <is>
          <t>Mũi khoan tường không tắc kê KBLJ - 10*148</t>
        </is>
      </c>
      <c r="I1003" s="3" t="inlineStr">
        <is>
          <t>Cái</t>
        </is>
      </c>
      <c r="J1003" s="5" t="n">
        <v>269000</v>
      </c>
      <c r="K1003" s="5" t="n">
        <v>317000</v>
      </c>
      <c r="L1003" s="6" t="n">
        <v>390000</v>
      </c>
      <c r="M1003" s="5" t="n"/>
      <c r="N1003" s="5">
        <f>IF(AND(ISNUMBER(M1003),ISNUMBER(L1003)),M1003-L1003,"")</f>
        <v/>
      </c>
      <c r="O1003" s="7">
        <f>IF(AND(ISNUMBER(M1003),ISNUMBER(L1003),L1003&gt;0),(M1003-L1003)/L1003,"")</f>
        <v/>
      </c>
      <c r="P1003" s="3">
        <f>IF(O1003="","",IF(O1003&lt;-0.02,"🔴 Bán phá giá sàn",IF(O1003&gt;0.05,"🔵 Bán cao hơn","🟢 Đúng giá sàn TMĐT")))</f>
        <v/>
      </c>
      <c r="Q1003" s="3" t="n"/>
      <c r="R1003" s="4" t="n"/>
      <c r="S1003" s="4" t="n"/>
    </row>
    <row r="1004">
      <c r="A1004" s="3" t="n">
        <v>1003</v>
      </c>
      <c r="B1004" s="3" t="inlineStr">
        <is>
          <t>KH005</t>
        </is>
      </c>
      <c r="C1004" s="4" t="inlineStr">
        <is>
          <t>ThinkSafe HCM</t>
        </is>
      </c>
      <c r="D1004" s="3" t="inlineStr">
        <is>
          <t>HCM</t>
        </is>
      </c>
      <c r="E1004" s="3" t="inlineStr">
        <is>
          <t>XUÂN TRANG</t>
        </is>
      </c>
      <c r="F1004" s="3" t="inlineStr">
        <is>
          <t>Shopee</t>
        </is>
      </c>
      <c r="G1004" s="3" t="inlineStr">
        <is>
          <t>KBT-04*12</t>
        </is>
      </c>
      <c r="H1004" s="4" t="inlineStr">
        <is>
          <t>Mũi khoan tháp M2 KBT-04*12</t>
        </is>
      </c>
      <c r="I1004" s="3" t="inlineStr">
        <is>
          <t>Cái</t>
        </is>
      </c>
      <c r="J1004" s="5" t="n">
        <v>88000</v>
      </c>
      <c r="K1004" s="5" t="n">
        <v>109000</v>
      </c>
      <c r="L1004" s="6" t="n">
        <v>141000</v>
      </c>
      <c r="M1004" s="5" t="n"/>
      <c r="N1004" s="5">
        <f>IF(AND(ISNUMBER(M1004),ISNUMBER(L1004)),M1004-L1004,"")</f>
        <v/>
      </c>
      <c r="O1004" s="7">
        <f>IF(AND(ISNUMBER(M1004),ISNUMBER(L1004),L1004&gt;0),(M1004-L1004)/L1004,"")</f>
        <v/>
      </c>
      <c r="P1004" s="3">
        <f>IF(O1004="","",IF(O1004&lt;-0.02,"🔴 Bán phá giá sàn",IF(O1004&gt;0.05,"🔵 Bán cao hơn","🟢 Đúng giá sàn TMĐT")))</f>
        <v/>
      </c>
      <c r="Q1004" s="3" t="n"/>
      <c r="R1004" s="4" t="n"/>
      <c r="S1004" s="4" t="n"/>
    </row>
    <row r="1005">
      <c r="A1005" s="3" t="n">
        <v>1004</v>
      </c>
      <c r="B1005" s="3" t="inlineStr">
        <is>
          <t>KH005</t>
        </is>
      </c>
      <c r="C1005" s="4" t="inlineStr">
        <is>
          <t>ThinkSafe HCM</t>
        </is>
      </c>
      <c r="D1005" s="3" t="inlineStr">
        <is>
          <t>HCM</t>
        </is>
      </c>
      <c r="E1005" s="3" t="inlineStr">
        <is>
          <t>XUÂN TRANG</t>
        </is>
      </c>
      <c r="F1005" s="3" t="inlineStr">
        <is>
          <t>Shopee</t>
        </is>
      </c>
      <c r="G1005" s="3" t="inlineStr">
        <is>
          <t>KBT-04*20</t>
        </is>
      </c>
      <c r="H1005" s="4" t="inlineStr">
        <is>
          <t>Mũi khoan tháp M2 KBT-04*20</t>
        </is>
      </c>
      <c r="I1005" s="3" t="inlineStr">
        <is>
          <t>Cái</t>
        </is>
      </c>
      <c r="J1005" s="5" t="n">
        <v>170000</v>
      </c>
      <c r="K1005" s="5" t="n">
        <v>211000</v>
      </c>
      <c r="L1005" s="6" t="n">
        <v>272000</v>
      </c>
      <c r="M1005" s="5" t="n"/>
      <c r="N1005" s="5">
        <f>IF(AND(ISNUMBER(M1005),ISNUMBER(L1005)),M1005-L1005,"")</f>
        <v/>
      </c>
      <c r="O1005" s="7">
        <f>IF(AND(ISNUMBER(M1005),ISNUMBER(L1005),L1005&gt;0),(M1005-L1005)/L1005,"")</f>
        <v/>
      </c>
      <c r="P1005" s="3">
        <f>IF(O1005="","",IF(O1005&lt;-0.02,"🔴 Bán phá giá sàn",IF(O1005&gt;0.05,"🔵 Bán cao hơn","🟢 Đúng giá sàn TMĐT")))</f>
        <v/>
      </c>
      <c r="Q1005" s="3" t="n"/>
      <c r="R1005" s="4" t="n"/>
      <c r="S1005" s="4" t="n"/>
    </row>
    <row r="1006">
      <c r="A1006" s="3" t="n">
        <v>1005</v>
      </c>
      <c r="B1006" s="3" t="inlineStr">
        <is>
          <t>KH005</t>
        </is>
      </c>
      <c r="C1006" s="4" t="inlineStr">
        <is>
          <t>ThinkSafe HCM</t>
        </is>
      </c>
      <c r="D1006" s="3" t="inlineStr">
        <is>
          <t>HCM</t>
        </is>
      </c>
      <c r="E1006" s="3" t="inlineStr">
        <is>
          <t>XUÂN TRANG</t>
        </is>
      </c>
      <c r="F1006" s="3" t="inlineStr">
        <is>
          <t>Shopee</t>
        </is>
      </c>
      <c r="G1006" s="3" t="inlineStr">
        <is>
          <t>KBT-04*32</t>
        </is>
      </c>
      <c r="H1006" s="4" t="inlineStr">
        <is>
          <t>Mũi khoan tháp M2 KBT-04*32</t>
        </is>
      </c>
      <c r="I1006" s="3" t="inlineStr">
        <is>
          <t>Cái</t>
        </is>
      </c>
      <c r="J1006" s="5" t="n">
        <v>319000</v>
      </c>
      <c r="K1006" s="5" t="n">
        <v>395000</v>
      </c>
      <c r="L1006" s="6" t="n">
        <v>510000</v>
      </c>
      <c r="M1006" s="5" t="n"/>
      <c r="N1006" s="5">
        <f>IF(AND(ISNUMBER(M1006),ISNUMBER(L1006)),M1006-L1006,"")</f>
        <v/>
      </c>
      <c r="O1006" s="7">
        <f>IF(AND(ISNUMBER(M1006),ISNUMBER(L1006),L1006&gt;0),(M1006-L1006)/L1006,"")</f>
        <v/>
      </c>
      <c r="P1006" s="3">
        <f>IF(O1006="","",IF(O1006&lt;-0.02,"🔴 Bán phá giá sàn",IF(O1006&gt;0.05,"🔵 Bán cao hơn","🟢 Đúng giá sàn TMĐT")))</f>
        <v/>
      </c>
      <c r="Q1006" s="3" t="n"/>
      <c r="R1006" s="4" t="n"/>
      <c r="S1006" s="4" t="n"/>
    </row>
    <row r="1007">
      <c r="A1007" s="3" t="n">
        <v>1006</v>
      </c>
      <c r="B1007" s="3" t="inlineStr">
        <is>
          <t>KH005</t>
        </is>
      </c>
      <c r="C1007" s="4" t="inlineStr">
        <is>
          <t>ThinkSafe HCM</t>
        </is>
      </c>
      <c r="D1007" s="3" t="inlineStr">
        <is>
          <t>HCM</t>
        </is>
      </c>
      <c r="E1007" s="3" t="inlineStr">
        <is>
          <t>XUÂN TRANG</t>
        </is>
      </c>
      <c r="F1007" s="3" t="inlineStr">
        <is>
          <t>Shopee</t>
        </is>
      </c>
      <c r="G1007" s="3" t="inlineStr">
        <is>
          <t>KBL4-10*350</t>
        </is>
      </c>
      <c r="H1007" s="4" t="inlineStr">
        <is>
          <t>Mũi khoan xuyên tường 4 cạnh KBL4-10*350</t>
        </is>
      </c>
      <c r="I1007" s="3" t="inlineStr">
        <is>
          <t>Cái</t>
        </is>
      </c>
      <c r="J1007" s="5" t="n">
        <v>81000</v>
      </c>
      <c r="K1007" s="5" t="n">
        <v>99000</v>
      </c>
      <c r="L1007" s="6" t="n">
        <v>126000</v>
      </c>
      <c r="M1007" s="5" t="n"/>
      <c r="N1007" s="5">
        <f>IF(AND(ISNUMBER(M1007),ISNUMBER(L1007)),M1007-L1007,"")</f>
        <v/>
      </c>
      <c r="O1007" s="7">
        <f>IF(AND(ISNUMBER(M1007),ISNUMBER(L1007),L1007&gt;0),(M1007-L1007)/L1007,"")</f>
        <v/>
      </c>
      <c r="P1007" s="3">
        <f>IF(O1007="","",IF(O1007&lt;-0.02,"🔴 Bán phá giá sàn",IF(O1007&gt;0.05,"🔵 Bán cao hơn","🟢 Đúng giá sàn TMĐT")))</f>
        <v/>
      </c>
      <c r="Q1007" s="3" t="n"/>
      <c r="R1007" s="4" t="n"/>
      <c r="S1007" s="4" t="n"/>
    </row>
    <row r="1008">
      <c r="A1008" s="3" t="n">
        <v>1007</v>
      </c>
      <c r="B1008" s="3" t="inlineStr">
        <is>
          <t>KH005</t>
        </is>
      </c>
      <c r="C1008" s="4" t="inlineStr">
        <is>
          <t>ThinkSafe HCM</t>
        </is>
      </c>
      <c r="D1008" s="3" t="inlineStr">
        <is>
          <t>HCM</t>
        </is>
      </c>
      <c r="E1008" s="3" t="inlineStr">
        <is>
          <t>XUÂN TRANG</t>
        </is>
      </c>
      <c r="F1008" s="3" t="inlineStr">
        <is>
          <t>Shopee</t>
        </is>
      </c>
      <c r="G1008" s="3" t="inlineStr">
        <is>
          <t>KBL4-12*350</t>
        </is>
      </c>
      <c r="H1008" s="4" t="inlineStr">
        <is>
          <t>Mũi khoan xuyên tường 4 cạnh KBL4-12*350</t>
        </is>
      </c>
      <c r="I1008" s="3" t="inlineStr">
        <is>
          <t>Cái</t>
        </is>
      </c>
      <c r="J1008" s="5" t="n">
        <v>89000</v>
      </c>
      <c r="K1008" s="5" t="n">
        <v>109000</v>
      </c>
      <c r="L1008" s="6" t="n">
        <v>138000</v>
      </c>
      <c r="M1008" s="5" t="n"/>
      <c r="N1008" s="5">
        <f>IF(AND(ISNUMBER(M1008),ISNUMBER(L1008)),M1008-L1008,"")</f>
        <v/>
      </c>
      <c r="O1008" s="7">
        <f>IF(AND(ISNUMBER(M1008),ISNUMBER(L1008),L1008&gt;0),(M1008-L1008)/L1008,"")</f>
        <v/>
      </c>
      <c r="P1008" s="3">
        <f>IF(O1008="","",IF(O1008&lt;-0.02,"🔴 Bán phá giá sàn",IF(O1008&gt;0.05,"🔵 Bán cao hơn","🟢 Đúng giá sàn TMĐT")))</f>
        <v/>
      </c>
      <c r="Q1008" s="3" t="n"/>
      <c r="R1008" s="4" t="n"/>
      <c r="S1008" s="4" t="n"/>
    </row>
    <row r="1009">
      <c r="A1009" s="3" t="n">
        <v>1008</v>
      </c>
      <c r="B1009" s="3" t="inlineStr">
        <is>
          <t>KH005</t>
        </is>
      </c>
      <c r="C1009" s="4" t="inlineStr">
        <is>
          <t>ThinkSafe HCM</t>
        </is>
      </c>
      <c r="D1009" s="3" t="inlineStr">
        <is>
          <t>HCM</t>
        </is>
      </c>
      <c r="E1009" s="3" t="inlineStr">
        <is>
          <t>XUÂN TRANG</t>
        </is>
      </c>
      <c r="F1009" s="3" t="inlineStr">
        <is>
          <t>Shopee</t>
        </is>
      </c>
      <c r="G1009" s="3" t="inlineStr">
        <is>
          <t>KBL4-14*350</t>
        </is>
      </c>
      <c r="H1009" s="4" t="inlineStr">
        <is>
          <t>Mũi khoan xuyên tường 4 cạnh KBL4-14*350</t>
        </is>
      </c>
      <c r="I1009" s="3" t="inlineStr">
        <is>
          <t>Cái</t>
        </is>
      </c>
      <c r="J1009" s="5" t="n">
        <v>105000</v>
      </c>
      <c r="K1009" s="5" t="n">
        <v>128000</v>
      </c>
      <c r="L1009" s="6" t="n">
        <v>163000</v>
      </c>
      <c r="M1009" s="5" t="n"/>
      <c r="N1009" s="5">
        <f>IF(AND(ISNUMBER(M1009),ISNUMBER(L1009)),M1009-L1009,"")</f>
        <v/>
      </c>
      <c r="O1009" s="7">
        <f>IF(AND(ISNUMBER(M1009),ISNUMBER(L1009),L1009&gt;0),(M1009-L1009)/L1009,"")</f>
        <v/>
      </c>
      <c r="P1009" s="3">
        <f>IF(O1009="","",IF(O1009&lt;-0.02,"🔴 Bán phá giá sàn",IF(O1009&gt;0.05,"🔵 Bán cao hơn","🟢 Đúng giá sàn TMĐT")))</f>
        <v/>
      </c>
      <c r="Q1009" s="3" t="n"/>
      <c r="R1009" s="4" t="n"/>
      <c r="S1009" s="4" t="n"/>
    </row>
    <row r="1010">
      <c r="A1010" s="3" t="n">
        <v>1009</v>
      </c>
      <c r="B1010" s="3" t="inlineStr">
        <is>
          <t>KH005</t>
        </is>
      </c>
      <c r="C1010" s="4" t="inlineStr">
        <is>
          <t>ThinkSafe HCM</t>
        </is>
      </c>
      <c r="D1010" s="3" t="inlineStr">
        <is>
          <t>HCM</t>
        </is>
      </c>
      <c r="E1010" s="3" t="inlineStr">
        <is>
          <t>XUÂN TRANG</t>
        </is>
      </c>
      <c r="F1010" s="3" t="inlineStr">
        <is>
          <t>Shopee</t>
        </is>
      </c>
      <c r="G1010" s="3" t="inlineStr">
        <is>
          <t>KBL4-16*350</t>
        </is>
      </c>
      <c r="H1010" s="4" t="inlineStr">
        <is>
          <t>Mũi khoan xuyên tường 4 cạnh KBL4-16*350</t>
        </is>
      </c>
      <c r="I1010" s="3" t="inlineStr">
        <is>
          <t>Cái</t>
        </is>
      </c>
      <c r="J1010" s="5" t="n">
        <v>126000</v>
      </c>
      <c r="K1010" s="5" t="n">
        <v>154000</v>
      </c>
      <c r="L1010" s="6" t="n">
        <v>195000</v>
      </c>
      <c r="M1010" s="5" t="n"/>
      <c r="N1010" s="5">
        <f>IF(AND(ISNUMBER(M1010),ISNUMBER(L1010)),M1010-L1010,"")</f>
        <v/>
      </c>
      <c r="O1010" s="7">
        <f>IF(AND(ISNUMBER(M1010),ISNUMBER(L1010),L1010&gt;0),(M1010-L1010)/L1010,"")</f>
        <v/>
      </c>
      <c r="P1010" s="3">
        <f>IF(O1010="","",IF(O1010&lt;-0.02,"🔴 Bán phá giá sàn",IF(O1010&gt;0.05,"🔵 Bán cao hơn","🟢 Đúng giá sàn TMĐT")))</f>
        <v/>
      </c>
      <c r="Q1010" s="3" t="n"/>
      <c r="R1010" s="4" t="n"/>
      <c r="S1010" s="4" t="n"/>
    </row>
    <row r="1011">
      <c r="A1011" s="3" t="n">
        <v>1010</v>
      </c>
      <c r="B1011" s="3" t="inlineStr">
        <is>
          <t>KH005</t>
        </is>
      </c>
      <c r="C1011" s="4" t="inlineStr">
        <is>
          <t>ThinkSafe HCM</t>
        </is>
      </c>
      <c r="D1011" s="3" t="inlineStr">
        <is>
          <t>HCM</t>
        </is>
      </c>
      <c r="E1011" s="3" t="inlineStr">
        <is>
          <t>XUÂN TRANG</t>
        </is>
      </c>
      <c r="F1011" s="3" t="inlineStr">
        <is>
          <t>Shopee</t>
        </is>
      </c>
      <c r="G1011" s="3" t="inlineStr">
        <is>
          <t>KBL4-18*350</t>
        </is>
      </c>
      <c r="H1011" s="4" t="inlineStr">
        <is>
          <t>Mũi khoan xuyên tường 4 cạnh KBL4-18*350</t>
        </is>
      </c>
      <c r="I1011" s="3" t="inlineStr">
        <is>
          <t>Cái</t>
        </is>
      </c>
      <c r="J1011" s="5" t="n">
        <v>146000</v>
      </c>
      <c r="K1011" s="5" t="n">
        <v>178000</v>
      </c>
      <c r="L1011" s="6" t="n">
        <v>226000</v>
      </c>
      <c r="M1011" s="5" t="n"/>
      <c r="N1011" s="5">
        <f>IF(AND(ISNUMBER(M1011),ISNUMBER(L1011)),M1011-L1011,"")</f>
        <v/>
      </c>
      <c r="O1011" s="7">
        <f>IF(AND(ISNUMBER(M1011),ISNUMBER(L1011),L1011&gt;0),(M1011-L1011)/L1011,"")</f>
        <v/>
      </c>
      <c r="P1011" s="3">
        <f>IF(O1011="","",IF(O1011&lt;-0.02,"🔴 Bán phá giá sàn",IF(O1011&gt;0.05,"🔵 Bán cao hơn","🟢 Đúng giá sàn TMĐT")))</f>
        <v/>
      </c>
      <c r="Q1011" s="3" t="n"/>
      <c r="R1011" s="4" t="n"/>
      <c r="S1011" s="4" t="n"/>
    </row>
    <row r="1012">
      <c r="A1012" s="3" t="n">
        <v>1011</v>
      </c>
      <c r="B1012" s="3" t="inlineStr">
        <is>
          <t>KH005</t>
        </is>
      </c>
      <c r="C1012" s="4" t="inlineStr">
        <is>
          <t>ThinkSafe HCM</t>
        </is>
      </c>
      <c r="D1012" s="3" t="inlineStr">
        <is>
          <t>HCM</t>
        </is>
      </c>
      <c r="E1012" s="3" t="inlineStr">
        <is>
          <t>XUÂN TRANG</t>
        </is>
      </c>
      <c r="F1012" s="3" t="inlineStr">
        <is>
          <t>Shopee</t>
        </is>
      </c>
      <c r="G1012" s="3" t="inlineStr">
        <is>
          <t>KBL4-20*350</t>
        </is>
      </c>
      <c r="H1012" s="4" t="inlineStr">
        <is>
          <t>Mũi khoan xuyên tường 4 cạnh KBL4-20*350</t>
        </is>
      </c>
      <c r="I1012" s="3" t="inlineStr">
        <is>
          <t>Cái</t>
        </is>
      </c>
      <c r="J1012" s="5" t="n">
        <v>183000</v>
      </c>
      <c r="K1012" s="5" t="n">
        <v>223000</v>
      </c>
      <c r="L1012" s="6" t="n">
        <v>284000</v>
      </c>
      <c r="M1012" s="5" t="n"/>
      <c r="N1012" s="5">
        <f>IF(AND(ISNUMBER(M1012),ISNUMBER(L1012)),M1012-L1012,"")</f>
        <v/>
      </c>
      <c r="O1012" s="7">
        <f>IF(AND(ISNUMBER(M1012),ISNUMBER(L1012),L1012&gt;0),(M1012-L1012)/L1012,"")</f>
        <v/>
      </c>
      <c r="P1012" s="3">
        <f>IF(O1012="","",IF(O1012&lt;-0.02,"🔴 Bán phá giá sàn",IF(O1012&gt;0.05,"🔵 Bán cao hơn","🟢 Đúng giá sàn TMĐT")))</f>
        <v/>
      </c>
      <c r="Q1012" s="3" t="n"/>
      <c r="R1012" s="4" t="n"/>
      <c r="S1012" s="4" t="n"/>
    </row>
    <row r="1013">
      <c r="A1013" s="3" t="n">
        <v>1012</v>
      </c>
      <c r="B1013" s="3" t="inlineStr">
        <is>
          <t>KH005</t>
        </is>
      </c>
      <c r="C1013" s="4" t="inlineStr">
        <is>
          <t>ThinkSafe HCM</t>
        </is>
      </c>
      <c r="D1013" s="3" t="inlineStr">
        <is>
          <t>HCM</t>
        </is>
      </c>
      <c r="E1013" s="3" t="inlineStr">
        <is>
          <t>XUÂN TRANG</t>
        </is>
      </c>
      <c r="F1013" s="3" t="inlineStr">
        <is>
          <t>Shopee</t>
        </is>
      </c>
      <c r="G1013" s="3" t="inlineStr">
        <is>
          <t>KBL4-22*350</t>
        </is>
      </c>
      <c r="H1013" s="4" t="inlineStr">
        <is>
          <t>Mũi khoan xuyên tường 4 cạnh KBL4-22*350</t>
        </is>
      </c>
      <c r="I1013" s="3" t="inlineStr">
        <is>
          <t>Cái</t>
        </is>
      </c>
      <c r="J1013" s="5" t="n">
        <v>228000</v>
      </c>
      <c r="K1013" s="5" t="n">
        <v>278000</v>
      </c>
      <c r="L1013" s="6" t="n">
        <v>353000</v>
      </c>
      <c r="M1013" s="5" t="n"/>
      <c r="N1013" s="5">
        <f>IF(AND(ISNUMBER(M1013),ISNUMBER(L1013)),M1013-L1013,"")</f>
        <v/>
      </c>
      <c r="O1013" s="7">
        <f>IF(AND(ISNUMBER(M1013),ISNUMBER(L1013),L1013&gt;0),(M1013-L1013)/L1013,"")</f>
        <v/>
      </c>
      <c r="P1013" s="3">
        <f>IF(O1013="","",IF(O1013&lt;-0.02,"🔴 Bán phá giá sàn",IF(O1013&gt;0.05,"🔵 Bán cao hơn","🟢 Đúng giá sàn TMĐT")))</f>
        <v/>
      </c>
      <c r="Q1013" s="3" t="n"/>
      <c r="R1013" s="4" t="n"/>
      <c r="S1013" s="4" t="n"/>
    </row>
    <row r="1014">
      <c r="A1014" s="3" t="n">
        <v>1013</v>
      </c>
      <c r="B1014" s="3" t="inlineStr">
        <is>
          <t>KH005</t>
        </is>
      </c>
      <c r="C1014" s="4" t="inlineStr">
        <is>
          <t>ThinkSafe HCM</t>
        </is>
      </c>
      <c r="D1014" s="3" t="inlineStr">
        <is>
          <t>HCM</t>
        </is>
      </c>
      <c r="E1014" s="3" t="inlineStr">
        <is>
          <t>XUÂN TRANG</t>
        </is>
      </c>
      <c r="F1014" s="3" t="inlineStr">
        <is>
          <t>Shopee</t>
        </is>
      </c>
      <c r="G1014" s="3" t="inlineStr">
        <is>
          <t>KBL4-25*350</t>
        </is>
      </c>
      <c r="H1014" s="4" t="inlineStr">
        <is>
          <t>Mũi khoan xuyên tường 4 cạnh KBL4-25*350</t>
        </is>
      </c>
      <c r="I1014" s="3" t="inlineStr">
        <is>
          <t>Cái</t>
        </is>
      </c>
      <c r="J1014" s="5" t="n">
        <v>285000</v>
      </c>
      <c r="K1014" s="5" t="n">
        <v>348000</v>
      </c>
      <c r="L1014" s="6" t="n">
        <v>442000</v>
      </c>
      <c r="M1014" s="5" t="n"/>
      <c r="N1014" s="5">
        <f>IF(AND(ISNUMBER(M1014),ISNUMBER(L1014)),M1014-L1014,"")</f>
        <v/>
      </c>
      <c r="O1014" s="7">
        <f>IF(AND(ISNUMBER(M1014),ISNUMBER(L1014),L1014&gt;0),(M1014-L1014)/L1014,"")</f>
        <v/>
      </c>
      <c r="P1014" s="3">
        <f>IF(O1014="","",IF(O1014&lt;-0.02,"🔴 Bán phá giá sàn",IF(O1014&gt;0.05,"🔵 Bán cao hơn","🟢 Đúng giá sàn TMĐT")))</f>
        <v/>
      </c>
      <c r="Q1014" s="3" t="n"/>
      <c r="R1014" s="4" t="n"/>
      <c r="S1014" s="4" t="n"/>
    </row>
    <row r="1015">
      <c r="A1015" s="3" t="n">
        <v>1014</v>
      </c>
      <c r="B1015" s="3" t="inlineStr">
        <is>
          <t>KH005</t>
        </is>
      </c>
      <c r="C1015" s="4" t="inlineStr">
        <is>
          <t>ThinkSafe HCM</t>
        </is>
      </c>
      <c r="D1015" s="3" t="inlineStr">
        <is>
          <t>HCM</t>
        </is>
      </c>
      <c r="E1015" s="3" t="inlineStr">
        <is>
          <t>XUÂN TRANG</t>
        </is>
      </c>
      <c r="F1015" s="3" t="inlineStr">
        <is>
          <t>Shopee</t>
        </is>
      </c>
      <c r="G1015" s="3" t="inlineStr">
        <is>
          <t>R1-17/25</t>
        </is>
      </c>
      <c r="H1015" s="4" t="inlineStr">
        <is>
          <t>Mũi khoét hợp kim Bluebird R1-17/25</t>
        </is>
      </c>
      <c r="I1015" s="3" t="inlineStr">
        <is>
          <t>Cái</t>
        </is>
      </c>
      <c r="J1015" s="5" t="n">
        <v>62000</v>
      </c>
      <c r="K1015" s="5" t="n">
        <v>76000</v>
      </c>
      <c r="L1015" s="6" t="n">
        <v>96000</v>
      </c>
      <c r="M1015" s="5" t="n"/>
      <c r="N1015" s="5">
        <f>IF(AND(ISNUMBER(M1015),ISNUMBER(L1015)),M1015-L1015,"")</f>
        <v/>
      </c>
      <c r="O1015" s="7">
        <f>IF(AND(ISNUMBER(M1015),ISNUMBER(L1015),L1015&gt;0),(M1015-L1015)/L1015,"")</f>
        <v/>
      </c>
      <c r="P1015" s="3">
        <f>IF(O1015="","",IF(O1015&lt;-0.02,"🔴 Bán phá giá sàn",IF(O1015&gt;0.05,"🔵 Bán cao hơn","🟢 Đúng giá sàn TMĐT")))</f>
        <v/>
      </c>
      <c r="Q1015" s="3" t="n"/>
      <c r="R1015" s="4" t="n"/>
      <c r="S1015" s="4" t="n"/>
    </row>
    <row r="1016">
      <c r="A1016" s="3" t="n">
        <v>1015</v>
      </c>
      <c r="B1016" s="3" t="inlineStr">
        <is>
          <t>KH005</t>
        </is>
      </c>
      <c r="C1016" s="4" t="inlineStr">
        <is>
          <t>ThinkSafe HCM</t>
        </is>
      </c>
      <c r="D1016" s="3" t="inlineStr">
        <is>
          <t>HCM</t>
        </is>
      </c>
      <c r="E1016" s="3" t="inlineStr">
        <is>
          <t>XUÂN TRANG</t>
        </is>
      </c>
      <c r="F1016" s="3" t="inlineStr">
        <is>
          <t>Shopee</t>
        </is>
      </c>
      <c r="G1016" s="3" t="inlineStr">
        <is>
          <t>R1-27/25</t>
        </is>
      </c>
      <c r="H1016" s="4" t="inlineStr">
        <is>
          <t>Mũi khoét hợp kim Kingblue R1-27/25</t>
        </is>
      </c>
      <c r="I1016" s="3" t="inlineStr">
        <is>
          <t>Cái</t>
        </is>
      </c>
      <c r="J1016" s="5" t="n">
        <v>99000</v>
      </c>
      <c r="K1016" s="5" t="n">
        <v>121000</v>
      </c>
      <c r="L1016" s="6" t="n">
        <v>154000</v>
      </c>
      <c r="M1016" s="5" t="n"/>
      <c r="N1016" s="5">
        <f>IF(AND(ISNUMBER(M1016),ISNUMBER(L1016)),M1016-L1016,"")</f>
        <v/>
      </c>
      <c r="O1016" s="7">
        <f>IF(AND(ISNUMBER(M1016),ISNUMBER(L1016),L1016&gt;0),(M1016-L1016)/L1016,"")</f>
        <v/>
      </c>
      <c r="P1016" s="3">
        <f>IF(O1016="","",IF(O1016&lt;-0.02,"🔴 Bán phá giá sàn",IF(O1016&gt;0.05,"🔵 Bán cao hơn","🟢 Đúng giá sàn TMĐT")))</f>
        <v/>
      </c>
      <c r="Q1016" s="3" t="n"/>
      <c r="R1016" s="4" t="n"/>
      <c r="S1016" s="4" t="n"/>
    </row>
    <row r="1017">
      <c r="A1017" s="3" t="n">
        <v>1016</v>
      </c>
      <c r="B1017" s="3" t="inlineStr">
        <is>
          <t>KH005</t>
        </is>
      </c>
      <c r="C1017" s="4" t="inlineStr">
        <is>
          <t>ThinkSafe HCM</t>
        </is>
      </c>
      <c r="D1017" s="3" t="inlineStr">
        <is>
          <t>HCM</t>
        </is>
      </c>
      <c r="E1017" s="3" t="inlineStr">
        <is>
          <t>XUÂN TRANG</t>
        </is>
      </c>
      <c r="F1017" s="3" t="inlineStr">
        <is>
          <t>Shopee</t>
        </is>
      </c>
      <c r="G1017" s="3" t="inlineStr">
        <is>
          <t>KB-1304</t>
        </is>
      </c>
      <c r="H1017" s="4" t="inlineStr">
        <is>
          <t>Mũi nong ống đồng KingBlue KB-1304</t>
        </is>
      </c>
      <c r="I1017" s="3" t="inlineStr">
        <is>
          <t>Cái</t>
        </is>
      </c>
      <c r="J1017" s="5" t="n">
        <v>215000</v>
      </c>
      <c r="K1017" s="5" t="n">
        <v>254000</v>
      </c>
      <c r="L1017" s="6" t="n">
        <v>312000</v>
      </c>
      <c r="M1017" s="5" t="n"/>
      <c r="N1017" s="5">
        <f>IF(AND(ISNUMBER(M1017),ISNUMBER(L1017)),M1017-L1017,"")</f>
        <v/>
      </c>
      <c r="O1017" s="7">
        <f>IF(AND(ISNUMBER(M1017),ISNUMBER(L1017),L1017&gt;0),(M1017-L1017)/L1017,"")</f>
        <v/>
      </c>
      <c r="P1017" s="3">
        <f>IF(O1017="","",IF(O1017&lt;-0.02,"🔴 Bán phá giá sàn",IF(O1017&gt;0.05,"🔵 Bán cao hơn","🟢 Đúng giá sàn TMĐT")))</f>
        <v/>
      </c>
      <c r="Q1017" s="3" t="n"/>
      <c r="R1017" s="4" t="n"/>
      <c r="S1017" s="4" t="n"/>
    </row>
    <row r="1018">
      <c r="A1018" s="3" t="n">
        <v>1017</v>
      </c>
      <c r="B1018" s="3" t="inlineStr">
        <is>
          <t>KH005</t>
        </is>
      </c>
      <c r="C1018" s="4" t="inlineStr">
        <is>
          <t>ThinkSafe HCM</t>
        </is>
      </c>
      <c r="D1018" s="3" t="inlineStr">
        <is>
          <t>HCM</t>
        </is>
      </c>
      <c r="E1018" s="3" t="inlineStr">
        <is>
          <t>XUÂN TRANG</t>
        </is>
      </c>
      <c r="F1018" s="3" t="inlineStr">
        <is>
          <t>Shopee</t>
        </is>
      </c>
      <c r="G1018" s="3" t="inlineStr">
        <is>
          <t>KZ-100</t>
        </is>
      </c>
      <c r="H1018" s="4" t="inlineStr">
        <is>
          <t>Nhám xếp KingBlue KZ-100 (NEW)</t>
        </is>
      </c>
      <c r="I1018" s="3" t="inlineStr">
        <is>
          <t>Cái</t>
        </is>
      </c>
      <c r="J1018" s="5" t="n">
        <v>9500</v>
      </c>
      <c r="K1018" s="5" t="n">
        <v>11700</v>
      </c>
      <c r="L1018" s="6" t="n">
        <v>15000</v>
      </c>
      <c r="M1018" s="5" t="n"/>
      <c r="N1018" s="5">
        <f>IF(AND(ISNUMBER(M1018),ISNUMBER(L1018)),M1018-L1018,"")</f>
        <v/>
      </c>
      <c r="O1018" s="7">
        <f>IF(AND(ISNUMBER(M1018),ISNUMBER(L1018),L1018&gt;0),(M1018-L1018)/L1018,"")</f>
        <v/>
      </c>
      <c r="P1018" s="3">
        <f>IF(O1018="","",IF(O1018&lt;-0.02,"🔴 Bán phá giá sàn",IF(O1018&gt;0.05,"🔵 Bán cao hơn","🟢 Đúng giá sàn TMĐT")))</f>
        <v/>
      </c>
      <c r="Q1018" s="3" t="n"/>
      <c r="R1018" s="4" t="n"/>
      <c r="S1018" s="4" t="n"/>
    </row>
    <row r="1019">
      <c r="A1019" s="3" t="n">
        <v>1018</v>
      </c>
      <c r="B1019" s="3" t="inlineStr">
        <is>
          <t>KH005</t>
        </is>
      </c>
      <c r="C1019" s="4" t="inlineStr">
        <is>
          <t>ThinkSafe HCM</t>
        </is>
      </c>
      <c r="D1019" s="3" t="inlineStr">
        <is>
          <t>HCM</t>
        </is>
      </c>
      <c r="E1019" s="3" t="inlineStr">
        <is>
          <t>XUÂN TRANG</t>
        </is>
      </c>
      <c r="F1019" s="3" t="inlineStr">
        <is>
          <t>Shopee</t>
        </is>
      </c>
      <c r="G1019" s="3" t="inlineStr">
        <is>
          <t>KZ-60</t>
        </is>
      </c>
      <c r="H1019" s="4" t="inlineStr">
        <is>
          <t>Nhám xếp KingBlue KZ-60 (NEW)</t>
        </is>
      </c>
      <c r="I1019" s="3" t="inlineStr">
        <is>
          <t>Cái</t>
        </is>
      </c>
      <c r="J1019" s="5" t="n">
        <v>269000</v>
      </c>
      <c r="K1019" s="5" t="n">
        <v>317000</v>
      </c>
      <c r="L1019" s="6" t="n">
        <v>390000</v>
      </c>
      <c r="M1019" s="5" t="n"/>
      <c r="N1019" s="5">
        <f>IF(AND(ISNUMBER(M1019),ISNUMBER(L1019)),M1019-L1019,"")</f>
        <v/>
      </c>
      <c r="O1019" s="7">
        <f>IF(AND(ISNUMBER(M1019),ISNUMBER(L1019),L1019&gt;0),(M1019-L1019)/L1019,"")</f>
        <v/>
      </c>
      <c r="P1019" s="3">
        <f>IF(O1019="","",IF(O1019&lt;-0.02,"🔴 Bán phá giá sàn",IF(O1019&gt;0.05,"🔵 Bán cao hơn","🟢 Đúng giá sàn TMĐT")))</f>
        <v/>
      </c>
      <c r="Q1019" s="3" t="n"/>
      <c r="R1019" s="4" t="n"/>
      <c r="S1019" s="4" t="n"/>
    </row>
    <row r="1020">
      <c r="A1020" s="3" t="n">
        <v>1019</v>
      </c>
      <c r="B1020" s="3" t="inlineStr">
        <is>
          <t>KH005</t>
        </is>
      </c>
      <c r="C1020" s="4" t="inlineStr">
        <is>
          <t>ThinkSafe HCM</t>
        </is>
      </c>
      <c r="D1020" s="3" t="inlineStr">
        <is>
          <t>HCM</t>
        </is>
      </c>
      <c r="E1020" s="3" t="inlineStr">
        <is>
          <t>XUÂN TRANG</t>
        </is>
      </c>
      <c r="F1020" s="3" t="inlineStr">
        <is>
          <t>Shopee</t>
        </is>
      </c>
      <c r="G1020" s="3" t="inlineStr">
        <is>
          <t>KYV40</t>
        </is>
      </c>
      <c r="H1020" s="4" t="inlineStr">
        <is>
          <t>Ổ khóa KYV40</t>
        </is>
      </c>
      <c r="I1020" s="3" t="inlineStr">
        <is>
          <t>Cái</t>
        </is>
      </c>
      <c r="J1020" s="5" t="n">
        <v>62000</v>
      </c>
      <c r="K1020" s="5" t="n">
        <v>72000</v>
      </c>
      <c r="L1020" s="6" t="n">
        <v>87000</v>
      </c>
      <c r="M1020" s="5" t="n"/>
      <c r="N1020" s="5">
        <f>IF(AND(ISNUMBER(M1020),ISNUMBER(L1020)),M1020-L1020,"")</f>
        <v/>
      </c>
      <c r="O1020" s="7">
        <f>IF(AND(ISNUMBER(M1020),ISNUMBER(L1020),L1020&gt;0),(M1020-L1020)/L1020,"")</f>
        <v/>
      </c>
      <c r="P1020" s="3">
        <f>IF(O1020="","",IF(O1020&lt;-0.02,"🔴 Bán phá giá sàn",IF(O1020&gt;0.05,"🔵 Bán cao hơn","🟢 Đúng giá sàn TMĐT")))</f>
        <v/>
      </c>
      <c r="Q1020" s="3" t="n"/>
      <c r="R1020" s="4" t="n"/>
      <c r="S1020" s="4" t="n"/>
    </row>
    <row r="1021">
      <c r="A1021" s="3" t="n">
        <v>1020</v>
      </c>
      <c r="B1021" s="3" t="inlineStr">
        <is>
          <t>KH005</t>
        </is>
      </c>
      <c r="C1021" s="4" t="inlineStr">
        <is>
          <t>ThinkSafe HCM</t>
        </is>
      </c>
      <c r="D1021" s="3" t="inlineStr">
        <is>
          <t>HCM</t>
        </is>
      </c>
      <c r="E1021" s="3" t="inlineStr">
        <is>
          <t>XUÂN TRANG</t>
        </is>
      </c>
      <c r="F1021" s="3" t="inlineStr">
        <is>
          <t>Shopee</t>
        </is>
      </c>
      <c r="G1021" s="3" t="inlineStr">
        <is>
          <t>MS2A18</t>
        </is>
      </c>
      <c r="H1021" s="4" t="inlineStr">
        <is>
          <t>Sạc MS2A18</t>
        </is>
      </c>
      <c r="I1021" s="3" t="inlineStr">
        <is>
          <t>Cái</t>
        </is>
      </c>
      <c r="J1021" s="5" t="n">
        <v>290000</v>
      </c>
      <c r="K1021" s="5" t="n">
        <v>325000</v>
      </c>
      <c r="L1021" s="6" t="n">
        <v>377000</v>
      </c>
      <c r="M1021" s="5" t="n"/>
      <c r="N1021" s="5">
        <f>IF(AND(ISNUMBER(M1021),ISNUMBER(L1021)),M1021-L1021,"")</f>
        <v/>
      </c>
      <c r="O1021" s="7">
        <f>IF(AND(ISNUMBER(M1021),ISNUMBER(L1021),L1021&gt;0),(M1021-L1021)/L1021,"")</f>
        <v/>
      </c>
      <c r="P1021" s="3">
        <f>IF(O1021="","",IF(O1021&lt;-0.02,"🔴 Bán phá giá sàn",IF(O1021&gt;0.05,"🔵 Bán cao hơn","🟢 Đúng giá sàn TMĐT")))</f>
        <v/>
      </c>
      <c r="Q1021" s="3" t="n"/>
      <c r="R1021" s="4" t="n"/>
      <c r="S1021" s="4" t="n"/>
    </row>
    <row r="1022">
      <c r="A1022" s="3" t="n">
        <v>1021</v>
      </c>
      <c r="B1022" s="3" t="inlineStr">
        <is>
          <t>KH005</t>
        </is>
      </c>
      <c r="C1022" s="4" t="inlineStr">
        <is>
          <t>ThinkSafe HCM</t>
        </is>
      </c>
      <c r="D1022" s="3" t="inlineStr">
        <is>
          <t>HCM</t>
        </is>
      </c>
      <c r="E1022" s="3" t="inlineStr">
        <is>
          <t>XUÂN TRANG</t>
        </is>
      </c>
      <c r="F1022" s="3" t="inlineStr">
        <is>
          <t>Shopee</t>
        </is>
      </c>
      <c r="G1022" s="3" t="inlineStr">
        <is>
          <t>KB8*48G</t>
        </is>
      </c>
      <c r="H1022" s="4" t="inlineStr">
        <is>
          <t>Siết tôn King Blue KB8*48G</t>
        </is>
      </c>
      <c r="I1022" s="3" t="inlineStr">
        <is>
          <t>Cái</t>
        </is>
      </c>
      <c r="J1022" s="5" t="n">
        <v>7500</v>
      </c>
      <c r="K1022" s="5" t="n">
        <v>10000</v>
      </c>
      <c r="L1022" s="6" t="n">
        <v>13000</v>
      </c>
      <c r="M1022" s="5" t="n"/>
      <c r="N1022" s="5">
        <f>IF(AND(ISNUMBER(M1022),ISNUMBER(L1022)),M1022-L1022,"")</f>
        <v/>
      </c>
      <c r="O1022" s="7">
        <f>IF(AND(ISNUMBER(M1022),ISNUMBER(L1022),L1022&gt;0),(M1022-L1022)/L1022,"")</f>
        <v/>
      </c>
      <c r="P1022" s="3">
        <f>IF(O1022="","",IF(O1022&lt;-0.02,"🔴 Bán phá giá sàn",IF(O1022&gt;0.05,"🔵 Bán cao hơn","🟢 Đúng giá sàn TMĐT")))</f>
        <v/>
      </c>
      <c r="Q1022" s="3" t="n"/>
      <c r="R1022" s="4" t="n"/>
      <c r="S1022" s="4" t="n"/>
    </row>
    <row r="1023">
      <c r="A1023" s="3" t="n">
        <v>1022</v>
      </c>
      <c r="B1023" s="3" t="inlineStr">
        <is>
          <t>KH005</t>
        </is>
      </c>
      <c r="C1023" s="4" t="inlineStr">
        <is>
          <t>ThinkSafe HCM</t>
        </is>
      </c>
      <c r="D1023" s="3" t="inlineStr">
        <is>
          <t>HCM</t>
        </is>
      </c>
      <c r="E1023" s="3" t="inlineStr">
        <is>
          <t>XUÂN TRANG</t>
        </is>
      </c>
      <c r="F1023" s="3" t="inlineStr">
        <is>
          <t>Shopee</t>
        </is>
      </c>
      <c r="G1023" s="3" t="inlineStr">
        <is>
          <t>ST08x42V</t>
        </is>
      </c>
      <c r="H1023" s="4" t="inlineStr">
        <is>
          <t>Siết tôn King Blue ST08x42V</t>
        </is>
      </c>
      <c r="I1023" s="3" t="inlineStr">
        <is>
          <t>Vỉ</t>
        </is>
      </c>
      <c r="J1023" s="5" t="n">
        <v>22000</v>
      </c>
      <c r="K1023" s="5" t="n">
        <v>28000</v>
      </c>
      <c r="L1023" s="6" t="n">
        <v>36000</v>
      </c>
      <c r="M1023" s="5" t="n"/>
      <c r="N1023" s="5">
        <f>IF(AND(ISNUMBER(M1023),ISNUMBER(L1023)),M1023-L1023,"")</f>
        <v/>
      </c>
      <c r="O1023" s="7">
        <f>IF(AND(ISNUMBER(M1023),ISNUMBER(L1023),L1023&gt;0),(M1023-L1023)/L1023,"")</f>
        <v/>
      </c>
      <c r="P1023" s="3">
        <f>IF(O1023="","",IF(O1023&lt;-0.02,"🔴 Bán phá giá sàn",IF(O1023&gt;0.05,"🔵 Bán cao hơn","🟢 Đúng giá sàn TMĐT")))</f>
        <v/>
      </c>
      <c r="Q1023" s="3" t="n"/>
      <c r="R1023" s="4" t="n"/>
      <c r="S1023" s="4" t="n"/>
    </row>
    <row r="1024">
      <c r="A1024" s="3" t="n">
        <v>1023</v>
      </c>
      <c r="B1024" s="3" t="inlineStr">
        <is>
          <t>KH005</t>
        </is>
      </c>
      <c r="C1024" s="4" t="inlineStr">
        <is>
          <t>ThinkSafe HCM</t>
        </is>
      </c>
      <c r="D1024" s="3" t="inlineStr">
        <is>
          <t>HCM</t>
        </is>
      </c>
      <c r="E1024" s="3" t="inlineStr">
        <is>
          <t>XUÂN TRANG</t>
        </is>
      </c>
      <c r="F1024" s="3" t="inlineStr">
        <is>
          <t>Shopee</t>
        </is>
      </c>
      <c r="G1024" s="3" t="inlineStr">
        <is>
          <t>ST08x65G</t>
        </is>
      </c>
      <c r="H1024" s="4" t="inlineStr">
        <is>
          <t>Siết tôn KingBlue ST08x65G</t>
        </is>
      </c>
      <c r="I1024" s="3" t="inlineStr">
        <is>
          <t>Cái</t>
        </is>
      </c>
      <c r="J1024" s="5" t="n">
        <v>8500</v>
      </c>
      <c r="K1024" s="5" t="n">
        <v>11000</v>
      </c>
      <c r="L1024" s="6" t="n">
        <v>14000</v>
      </c>
      <c r="M1024" s="5" t="n"/>
      <c r="N1024" s="5">
        <f>IF(AND(ISNUMBER(M1024),ISNUMBER(L1024)),M1024-L1024,"")</f>
        <v/>
      </c>
      <c r="O1024" s="7">
        <f>IF(AND(ISNUMBER(M1024),ISNUMBER(L1024),L1024&gt;0),(M1024-L1024)/L1024,"")</f>
        <v/>
      </c>
      <c r="P1024" s="3">
        <f>IF(O1024="","",IF(O1024&lt;-0.02,"🔴 Bán phá giá sàn",IF(O1024&gt;0.05,"🔵 Bán cao hơn","🟢 Đúng giá sàn TMĐT")))</f>
        <v/>
      </c>
      <c r="Q1024" s="3" t="n"/>
      <c r="R1024" s="4" t="n"/>
      <c r="S1024" s="4" t="n"/>
    </row>
    <row r="1025">
      <c r="A1025" s="3" t="n">
        <v>1024</v>
      </c>
      <c r="B1025" s="3" t="inlineStr">
        <is>
          <t>KH005</t>
        </is>
      </c>
      <c r="C1025" s="4" t="inlineStr">
        <is>
          <t>ThinkSafe HCM</t>
        </is>
      </c>
      <c r="D1025" s="3" t="inlineStr">
        <is>
          <t>HCM</t>
        </is>
      </c>
      <c r="E1025" s="3" t="inlineStr">
        <is>
          <t>XUÂN TRANG</t>
        </is>
      </c>
      <c r="F1025" s="3" t="inlineStr">
        <is>
          <t>Shopee</t>
        </is>
      </c>
      <c r="G1025" s="3" t="inlineStr">
        <is>
          <t>ST10x65G</t>
        </is>
      </c>
      <c r="H1025" s="4" t="inlineStr">
        <is>
          <t>Siết tôn KingBlue ST10x65G</t>
        </is>
      </c>
      <c r="I1025" s="3" t="inlineStr">
        <is>
          <t>Cái</t>
        </is>
      </c>
      <c r="J1025" s="5" t="n">
        <v>9000</v>
      </c>
      <c r="K1025" s="5" t="n">
        <v>11000</v>
      </c>
      <c r="L1025" s="6" t="n">
        <v>15000</v>
      </c>
      <c r="M1025" s="5" t="n"/>
      <c r="N1025" s="5">
        <f>IF(AND(ISNUMBER(M1025),ISNUMBER(L1025)),M1025-L1025,"")</f>
        <v/>
      </c>
      <c r="O1025" s="7">
        <f>IF(AND(ISNUMBER(M1025),ISNUMBER(L1025),L1025&gt;0),(M1025-L1025)/L1025,"")</f>
        <v/>
      </c>
      <c r="P1025" s="3">
        <f>IF(O1025="","",IF(O1025&lt;-0.02,"🔴 Bán phá giá sàn",IF(O1025&gt;0.05,"🔵 Bán cao hơn","🟢 Đúng giá sàn TMĐT")))</f>
        <v/>
      </c>
      <c r="Q1025" s="3" t="n"/>
      <c r="R1025" s="4" t="n"/>
      <c r="S1025" s="4" t="n"/>
    </row>
    <row r="1026">
      <c r="A1026" s="3" t="n">
        <v>1025</v>
      </c>
      <c r="B1026" s="3" t="inlineStr">
        <is>
          <t>KH005</t>
        </is>
      </c>
      <c r="C1026" s="4" t="inlineStr">
        <is>
          <t>ThinkSafe HCM</t>
        </is>
      </c>
      <c r="D1026" s="3" t="inlineStr">
        <is>
          <t>HCM</t>
        </is>
      </c>
      <c r="E1026" s="3" t="inlineStr">
        <is>
          <t>XUÂN TRANG</t>
        </is>
      </c>
      <c r="F1026" s="3" t="inlineStr">
        <is>
          <t>Shopee</t>
        </is>
      </c>
      <c r="G1026" s="3" t="inlineStr">
        <is>
          <t>KFF-73</t>
        </is>
      </c>
      <c r="H1026" s="4" t="inlineStr">
        <is>
          <t>Súng bắn đinh bê tông KFF-73</t>
        </is>
      </c>
      <c r="I1026" s="3" t="inlineStr">
        <is>
          <t>Cái</t>
        </is>
      </c>
      <c r="J1026" s="5" t="n">
        <v>660000</v>
      </c>
      <c r="K1026" s="5" t="n">
        <v>739000</v>
      </c>
      <c r="L1026" s="6" t="n">
        <v>858000</v>
      </c>
      <c r="M1026" s="5" t="n"/>
      <c r="N1026" s="5">
        <f>IF(AND(ISNUMBER(M1026),ISNUMBER(L1026)),M1026-L1026,"")</f>
        <v/>
      </c>
      <c r="O1026" s="7">
        <f>IF(AND(ISNUMBER(M1026),ISNUMBER(L1026),L1026&gt;0),(M1026-L1026)/L1026,"")</f>
        <v/>
      </c>
      <c r="P1026" s="3">
        <f>IF(O1026="","",IF(O1026&lt;-0.02,"🔴 Bán phá giá sàn",IF(O1026&gt;0.05,"🔵 Bán cao hơn","🟢 Đúng giá sàn TMĐT")))</f>
        <v/>
      </c>
      <c r="Q1026" s="3" t="n"/>
      <c r="R1026" s="4" t="n"/>
      <c r="S1026" s="4" t="n"/>
    </row>
    <row r="1027">
      <c r="A1027" s="3" t="n">
        <v>1026</v>
      </c>
      <c r="B1027" s="3" t="inlineStr">
        <is>
          <t>KH005</t>
        </is>
      </c>
      <c r="C1027" s="4" t="inlineStr">
        <is>
          <t>ThinkSafe HCM</t>
        </is>
      </c>
      <c r="D1027" s="3" t="inlineStr">
        <is>
          <t>HCM</t>
        </is>
      </c>
      <c r="E1027" s="3" t="inlineStr">
        <is>
          <t>XUÂN TRANG</t>
        </is>
      </c>
      <c r="F1027" s="3" t="inlineStr">
        <is>
          <t>Shopee</t>
        </is>
      </c>
      <c r="G1027" s="3" t="inlineStr">
        <is>
          <t>KF-301</t>
        </is>
      </c>
      <c r="H1027" s="4" t="inlineStr">
        <is>
          <t>Súng bắn ghim KF-301</t>
        </is>
      </c>
      <c r="I1027" s="3" t="inlineStr">
        <is>
          <t>Cái</t>
        </is>
      </c>
      <c r="J1027" s="5" t="n">
        <v>242000</v>
      </c>
      <c r="K1027" s="5" t="n">
        <v>286000</v>
      </c>
      <c r="L1027" s="6" t="n">
        <v>351000</v>
      </c>
      <c r="M1027" s="5" t="n"/>
      <c r="N1027" s="5">
        <f>IF(AND(ISNUMBER(M1027),ISNUMBER(L1027)),M1027-L1027,"")</f>
        <v/>
      </c>
      <c r="O1027" s="7">
        <f>IF(AND(ISNUMBER(M1027),ISNUMBER(L1027),L1027&gt;0),(M1027-L1027)/L1027,"")</f>
        <v/>
      </c>
      <c r="P1027" s="3">
        <f>IF(O1027="","",IF(O1027&lt;-0.02,"🔴 Bán phá giá sàn",IF(O1027&gt;0.05,"🔵 Bán cao hơn","🟢 Đúng giá sàn TMĐT")))</f>
        <v/>
      </c>
      <c r="Q1027" s="3" t="n"/>
      <c r="R1027" s="4" t="n"/>
      <c r="S1027" s="4" t="n"/>
    </row>
    <row r="1028">
      <c r="A1028" s="3" t="n">
        <v>1027</v>
      </c>
      <c r="B1028" s="3" t="inlineStr">
        <is>
          <t>KH005</t>
        </is>
      </c>
      <c r="C1028" s="4" t="inlineStr">
        <is>
          <t>ThinkSafe HCM</t>
        </is>
      </c>
      <c r="D1028" s="3" t="inlineStr">
        <is>
          <t>HCM</t>
        </is>
      </c>
      <c r="E1028" s="3" t="inlineStr">
        <is>
          <t>XUÂN TRANG</t>
        </is>
      </c>
      <c r="F1028" s="3" t="inlineStr">
        <is>
          <t>Shopee</t>
        </is>
      </c>
      <c r="G1028" s="3" t="inlineStr">
        <is>
          <t>KBO-W71</t>
        </is>
      </c>
      <c r="H1028" s="4" t="inlineStr">
        <is>
          <t>Súng phun sơn KBO-W71</t>
        </is>
      </c>
      <c r="I1028" s="3" t="inlineStr">
        <is>
          <t>Cái</t>
        </is>
      </c>
      <c r="J1028" s="5" t="n">
        <v>317000</v>
      </c>
      <c r="K1028" s="5" t="n">
        <v>374000</v>
      </c>
      <c r="L1028" s="6" t="n">
        <v>460000</v>
      </c>
      <c r="M1028" s="5" t="n"/>
      <c r="N1028" s="5">
        <f>IF(AND(ISNUMBER(M1028),ISNUMBER(L1028)),M1028-L1028,"")</f>
        <v/>
      </c>
      <c r="O1028" s="7">
        <f>IF(AND(ISNUMBER(M1028),ISNUMBER(L1028),L1028&gt;0),(M1028-L1028)/L1028,"")</f>
        <v/>
      </c>
      <c r="P1028" s="3">
        <f>IF(O1028="","",IF(O1028&lt;-0.02,"🔴 Bán phá giá sàn",IF(O1028&gt;0.05,"🔵 Bán cao hơn","🟢 Đúng giá sàn TMĐT")))</f>
        <v/>
      </c>
      <c r="Q1028" s="3" t="n"/>
      <c r="R1028" s="4" t="n"/>
      <c r="S1028" s="4" t="n"/>
    </row>
    <row r="1029">
      <c r="A1029" s="3" t="n">
        <v>1028</v>
      </c>
      <c r="B1029" s="3" t="inlineStr">
        <is>
          <t>KH005</t>
        </is>
      </c>
      <c r="C1029" s="4" t="inlineStr">
        <is>
          <t>ThinkSafe HCM</t>
        </is>
      </c>
      <c r="D1029" s="3" t="inlineStr">
        <is>
          <t>HCM</t>
        </is>
      </c>
      <c r="E1029" s="3" t="inlineStr">
        <is>
          <t>XUÂN TRANG</t>
        </is>
      </c>
      <c r="F1029" s="3" t="inlineStr">
        <is>
          <t>Shopee</t>
        </is>
      </c>
      <c r="G1029" s="3" t="inlineStr">
        <is>
          <t>KV1-6*100</t>
        </is>
      </c>
      <c r="H1029" s="4" t="inlineStr">
        <is>
          <t>Tuốc nơ vít 2 đầu KV1-6*100</t>
        </is>
      </c>
      <c r="I1029" s="3" t="inlineStr">
        <is>
          <t>Cái</t>
        </is>
      </c>
      <c r="J1029" s="5" t="n">
        <v>22000</v>
      </c>
      <c r="K1029" s="5" t="n">
        <v>26000</v>
      </c>
      <c r="L1029" s="6" t="n">
        <v>32000</v>
      </c>
      <c r="M1029" s="5" t="n"/>
      <c r="N1029" s="5">
        <f>IF(AND(ISNUMBER(M1029),ISNUMBER(L1029)),M1029-L1029,"")</f>
        <v/>
      </c>
      <c r="O1029" s="7">
        <f>IF(AND(ISNUMBER(M1029),ISNUMBER(L1029),L1029&gt;0),(M1029-L1029)/L1029,"")</f>
        <v/>
      </c>
      <c r="P1029" s="3">
        <f>IF(O1029="","",IF(O1029&lt;-0.02,"🔴 Bán phá giá sàn",IF(O1029&gt;0.05,"🔵 Bán cao hơn","🟢 Đúng giá sàn TMĐT")))</f>
        <v/>
      </c>
      <c r="Q1029" s="3" t="n"/>
      <c r="R1029" s="4" t="n"/>
      <c r="S1029" s="4" t="n"/>
    </row>
    <row r="1030">
      <c r="A1030" s="3" t="n">
        <v>1029</v>
      </c>
      <c r="B1030" s="3" t="inlineStr">
        <is>
          <t>KH005</t>
        </is>
      </c>
      <c r="C1030" s="4" t="inlineStr">
        <is>
          <t>ThinkSafe HCM</t>
        </is>
      </c>
      <c r="D1030" s="3" t="inlineStr">
        <is>
          <t>HCM</t>
        </is>
      </c>
      <c r="E1030" s="3" t="inlineStr">
        <is>
          <t>XUÂN TRANG</t>
        </is>
      </c>
      <c r="F1030" s="3" t="inlineStr">
        <is>
          <t>Shopee</t>
        </is>
      </c>
      <c r="G1030" s="3" t="inlineStr">
        <is>
          <t>KV1-6*150</t>
        </is>
      </c>
      <c r="H1030" s="4" t="inlineStr">
        <is>
          <t>Tuốc nơ vít 2 đầu KV1-6*150</t>
        </is>
      </c>
      <c r="I1030" s="3" t="inlineStr">
        <is>
          <t>Cái</t>
        </is>
      </c>
      <c r="J1030" s="5" t="n">
        <v>25000</v>
      </c>
      <c r="K1030" s="5" t="n">
        <v>29000</v>
      </c>
      <c r="L1030" s="6" t="n">
        <v>36000</v>
      </c>
      <c r="M1030" s="5" t="n"/>
      <c r="N1030" s="5">
        <f>IF(AND(ISNUMBER(M1030),ISNUMBER(L1030)),M1030-L1030,"")</f>
        <v/>
      </c>
      <c r="O1030" s="7">
        <f>IF(AND(ISNUMBER(M1030),ISNUMBER(L1030),L1030&gt;0),(M1030-L1030)/L1030,"")</f>
        <v/>
      </c>
      <c r="P1030" s="3">
        <f>IF(O1030="","",IF(O1030&lt;-0.02,"🔴 Bán phá giá sàn",IF(O1030&gt;0.05,"🔵 Bán cao hơn","🟢 Đúng giá sàn TMĐT")))</f>
        <v/>
      </c>
      <c r="Q1030" s="3" t="n"/>
      <c r="R1030" s="4" t="n"/>
      <c r="S1030" s="4" t="n"/>
    </row>
    <row r="1031">
      <c r="A1031" s="3" t="n">
        <v>1030</v>
      </c>
      <c r="B1031" s="3" t="inlineStr">
        <is>
          <t>KH005</t>
        </is>
      </c>
      <c r="C1031" s="4" t="inlineStr">
        <is>
          <t>ThinkSafe HCM</t>
        </is>
      </c>
      <c r="D1031" s="3" t="inlineStr">
        <is>
          <t>HCM</t>
        </is>
      </c>
      <c r="E1031" s="3" t="inlineStr">
        <is>
          <t>XUÂN TRANG</t>
        </is>
      </c>
      <c r="F1031" s="3" t="inlineStr">
        <is>
          <t>Shopee</t>
        </is>
      </c>
      <c r="G1031" s="3" t="inlineStr">
        <is>
          <t>KV1-6*200</t>
        </is>
      </c>
      <c r="H1031" s="4" t="inlineStr">
        <is>
          <t>Tuốc nơ vít 2 đầu KV1-6*200</t>
        </is>
      </c>
      <c r="I1031" s="3" t="inlineStr">
        <is>
          <t>Cái</t>
        </is>
      </c>
      <c r="J1031" s="5" t="n">
        <v>29000</v>
      </c>
      <c r="K1031" s="5" t="n">
        <v>34000</v>
      </c>
      <c r="L1031" s="6" t="n">
        <v>42000</v>
      </c>
      <c r="M1031" s="5" t="n"/>
      <c r="N1031" s="5">
        <f>IF(AND(ISNUMBER(M1031),ISNUMBER(L1031)),M1031-L1031,"")</f>
        <v/>
      </c>
      <c r="O1031" s="7">
        <f>IF(AND(ISNUMBER(M1031),ISNUMBER(L1031),L1031&gt;0),(M1031-L1031)/L1031,"")</f>
        <v/>
      </c>
      <c r="P1031" s="3">
        <f>IF(O1031="","",IF(O1031&lt;-0.02,"🔴 Bán phá giá sàn",IF(O1031&gt;0.05,"🔵 Bán cao hơn","🟢 Đúng giá sàn TMĐT")))</f>
        <v/>
      </c>
      <c r="Q1031" s="3" t="n"/>
      <c r="R1031" s="4" t="n"/>
      <c r="S1031" s="4" t="n"/>
    </row>
    <row r="1032">
      <c r="A1032" s="3" t="n">
        <v>1031</v>
      </c>
      <c r="B1032" s="3" t="inlineStr">
        <is>
          <t>KH005</t>
        </is>
      </c>
      <c r="C1032" s="4" t="inlineStr">
        <is>
          <t>ThinkSafe HCM</t>
        </is>
      </c>
      <c r="D1032" s="3" t="inlineStr">
        <is>
          <t>HCM</t>
        </is>
      </c>
      <c r="E1032" s="3" t="inlineStr">
        <is>
          <t>XUÂN TRANG</t>
        </is>
      </c>
      <c r="F1032" s="3" t="inlineStr">
        <is>
          <t>Shopee</t>
        </is>
      </c>
      <c r="G1032" s="3" t="inlineStr">
        <is>
          <t>KV2-6*100</t>
        </is>
      </c>
      <c r="H1032" s="4" t="inlineStr">
        <is>
          <t>Tuốc nơ vít đa năng S2 KV2-6*100</t>
        </is>
      </c>
      <c r="I1032" s="3" t="inlineStr">
        <is>
          <t>Cái</t>
        </is>
      </c>
      <c r="J1032" s="5" t="n">
        <v>44000</v>
      </c>
      <c r="K1032" s="5" t="n">
        <v>52000</v>
      </c>
      <c r="L1032" s="6" t="n">
        <v>64000</v>
      </c>
      <c r="M1032" s="5" t="n"/>
      <c r="N1032" s="5">
        <f>IF(AND(ISNUMBER(M1032),ISNUMBER(L1032)),M1032-L1032,"")</f>
        <v/>
      </c>
      <c r="O1032" s="7">
        <f>IF(AND(ISNUMBER(M1032),ISNUMBER(L1032),L1032&gt;0),(M1032-L1032)/L1032,"")</f>
        <v/>
      </c>
      <c r="P1032" s="3">
        <f>IF(O1032="","",IF(O1032&lt;-0.02,"🔴 Bán phá giá sàn",IF(O1032&gt;0.05,"🔵 Bán cao hơn","🟢 Đúng giá sàn TMĐT")))</f>
        <v/>
      </c>
      <c r="Q1032" s="3" t="n"/>
      <c r="R1032" s="4" t="n"/>
      <c r="S1032" s="4" t="n"/>
    </row>
    <row r="1033">
      <c r="A1033" s="3" t="n">
        <v>1032</v>
      </c>
      <c r="B1033" s="3" t="inlineStr">
        <is>
          <t>KH005</t>
        </is>
      </c>
      <c r="C1033" s="4" t="inlineStr">
        <is>
          <t>ThinkSafe HCM</t>
        </is>
      </c>
      <c r="D1033" s="3" t="inlineStr">
        <is>
          <t>HCM</t>
        </is>
      </c>
      <c r="E1033" s="3" t="inlineStr">
        <is>
          <t>XUÂN TRANG</t>
        </is>
      </c>
      <c r="F1033" s="3" t="inlineStr">
        <is>
          <t>Shopee</t>
        </is>
      </c>
      <c r="G1033" s="3" t="inlineStr">
        <is>
          <t>KV2-6*150</t>
        </is>
      </c>
      <c r="H1033" s="4" t="inlineStr">
        <is>
          <t>Tuốc nơ vít đa năng S2 KV2-6*150</t>
        </is>
      </c>
      <c r="I1033" s="3" t="inlineStr">
        <is>
          <t>Cái</t>
        </is>
      </c>
      <c r="J1033" s="5" t="n">
        <v>46000</v>
      </c>
      <c r="K1033" s="5" t="n">
        <v>54000</v>
      </c>
      <c r="L1033" s="6" t="n">
        <v>67000</v>
      </c>
      <c r="M1033" s="5" t="n"/>
      <c r="N1033" s="5">
        <f>IF(AND(ISNUMBER(M1033),ISNUMBER(L1033)),M1033-L1033,"")</f>
        <v/>
      </c>
      <c r="O1033" s="7">
        <f>IF(AND(ISNUMBER(M1033),ISNUMBER(L1033),L1033&gt;0),(M1033-L1033)/L1033,"")</f>
        <v/>
      </c>
      <c r="P1033" s="3">
        <f>IF(O1033="","",IF(O1033&lt;-0.02,"🔴 Bán phá giá sàn",IF(O1033&gt;0.05,"🔵 Bán cao hơn","🟢 Đúng giá sàn TMĐT")))</f>
        <v/>
      </c>
      <c r="Q1033" s="3" t="n"/>
      <c r="R1033" s="4" t="n"/>
      <c r="S1033" s="4" t="n"/>
    </row>
    <row r="1034">
      <c r="A1034" s="3" t="n">
        <v>1033</v>
      </c>
      <c r="B1034" s="3" t="inlineStr">
        <is>
          <t>KH005</t>
        </is>
      </c>
      <c r="C1034" s="4" t="inlineStr">
        <is>
          <t>ThinkSafe HCM</t>
        </is>
      </c>
      <c r="D1034" s="3" t="inlineStr">
        <is>
          <t>HCM</t>
        </is>
      </c>
      <c r="E1034" s="3" t="inlineStr">
        <is>
          <t>XUÂN TRANG</t>
        </is>
      </c>
      <c r="F1034" s="3" t="inlineStr">
        <is>
          <t>Shopee</t>
        </is>
      </c>
      <c r="G1034" s="3" t="inlineStr">
        <is>
          <t>KV2-6*200</t>
        </is>
      </c>
      <c r="H1034" s="4" t="inlineStr">
        <is>
          <t>Tuốc nơ vít đa năng S2 KV2-6*200</t>
        </is>
      </c>
      <c r="I1034" s="3" t="inlineStr">
        <is>
          <t>Cái</t>
        </is>
      </c>
      <c r="J1034" s="5" t="n">
        <v>48000</v>
      </c>
      <c r="K1034" s="5" t="n">
        <v>57000</v>
      </c>
      <c r="L1034" s="6" t="n">
        <v>70000</v>
      </c>
      <c r="M1034" s="5" t="n"/>
      <c r="N1034" s="5">
        <f>IF(AND(ISNUMBER(M1034),ISNUMBER(L1034)),M1034-L1034,"")</f>
        <v/>
      </c>
      <c r="O1034" s="7">
        <f>IF(AND(ISNUMBER(M1034),ISNUMBER(L1034),L1034&gt;0),(M1034-L1034)/L1034,"")</f>
        <v/>
      </c>
      <c r="P1034" s="3">
        <f>IF(O1034="","",IF(O1034&lt;-0.02,"🔴 Bán phá giá sàn",IF(O1034&gt;0.05,"🔵 Bán cao hơn","🟢 Đúng giá sàn TMĐT")))</f>
        <v/>
      </c>
      <c r="Q1034" s="3" t="n"/>
      <c r="R1034" s="4" t="n"/>
      <c r="S1034" s="4" t="n"/>
    </row>
    <row r="1035">
      <c r="A1035" s="3" t="n">
        <v>1034</v>
      </c>
      <c r="B1035" s="3" t="inlineStr">
        <is>
          <t>KH005</t>
        </is>
      </c>
      <c r="C1035" s="4" t="inlineStr">
        <is>
          <t>ThinkSafe HCM</t>
        </is>
      </c>
      <c r="D1035" s="3" t="inlineStr">
        <is>
          <t>HCM</t>
        </is>
      </c>
      <c r="E1035" s="3" t="inlineStr">
        <is>
          <t>XUÂN TRANG</t>
        </is>
      </c>
      <c r="F1035" s="3" t="inlineStr">
        <is>
          <t>Shopee</t>
        </is>
      </c>
      <c r="G1035" s="3" t="inlineStr">
        <is>
          <t>KV6+6*150</t>
        </is>
      </c>
      <c r="H1035" s="4" t="inlineStr">
        <is>
          <t>Tuốc nơ vít KV6+6*150</t>
        </is>
      </c>
      <c r="I1035" s="3" t="inlineStr">
        <is>
          <t>Cái</t>
        </is>
      </c>
      <c r="J1035" s="5" t="n">
        <v>29000</v>
      </c>
      <c r="K1035" s="5" t="n">
        <v>34000</v>
      </c>
      <c r="L1035" s="6" t="n">
        <v>42000</v>
      </c>
      <c r="M1035" s="5" t="n"/>
      <c r="N1035" s="5">
        <f>IF(AND(ISNUMBER(M1035),ISNUMBER(L1035)),M1035-L1035,"")</f>
        <v/>
      </c>
      <c r="O1035" s="7">
        <f>IF(AND(ISNUMBER(M1035),ISNUMBER(L1035),L1035&gt;0),(M1035-L1035)/L1035,"")</f>
        <v/>
      </c>
      <c r="P1035" s="3">
        <f>IF(O1035="","",IF(O1035&lt;-0.02,"🔴 Bán phá giá sàn",IF(O1035&gt;0.05,"🔵 Bán cao hơn","🟢 Đúng giá sàn TMĐT")))</f>
        <v/>
      </c>
      <c r="Q1035" s="3" t="n"/>
      <c r="R1035" s="4" t="n"/>
      <c r="S1035" s="4" t="n"/>
    </row>
    <row r="1036">
      <c r="A1036" s="3" t="n">
        <v>1035</v>
      </c>
      <c r="B1036" s="3" t="inlineStr">
        <is>
          <t>KH005</t>
        </is>
      </c>
      <c r="C1036" s="4" t="inlineStr">
        <is>
          <t>ThinkSafe HCM</t>
        </is>
      </c>
      <c r="D1036" s="3" t="inlineStr">
        <is>
          <t>HCM</t>
        </is>
      </c>
      <c r="E1036" s="3" t="inlineStr">
        <is>
          <t>XUÂN TRANG</t>
        </is>
      </c>
      <c r="F1036" s="3" t="inlineStr">
        <is>
          <t>Shopee</t>
        </is>
      </c>
      <c r="G1036" s="3" t="inlineStr">
        <is>
          <t>KV6-6*150</t>
        </is>
      </c>
      <c r="H1036" s="4" t="inlineStr">
        <is>
          <t>Tuốc nơ vít KV6-6*150</t>
        </is>
      </c>
      <c r="I1036" s="3" t="inlineStr">
        <is>
          <t>Cái</t>
        </is>
      </c>
      <c r="J1036" s="5" t="n">
        <v>29000</v>
      </c>
      <c r="K1036" s="5" t="n">
        <v>34000</v>
      </c>
      <c r="L1036" s="6" t="n">
        <v>42000</v>
      </c>
      <c r="M1036" s="5" t="n"/>
      <c r="N1036" s="5">
        <f>IF(AND(ISNUMBER(M1036),ISNUMBER(L1036)),M1036-L1036,"")</f>
        <v/>
      </c>
      <c r="O1036" s="7">
        <f>IF(AND(ISNUMBER(M1036),ISNUMBER(L1036),L1036&gt;0),(M1036-L1036)/L1036,"")</f>
        <v/>
      </c>
      <c r="P1036" s="3">
        <f>IF(O1036="","",IF(O1036&lt;-0.02,"🔴 Bán phá giá sàn",IF(O1036&gt;0.05,"🔵 Bán cao hơn","🟢 Đúng giá sàn TMĐT")))</f>
        <v/>
      </c>
      <c r="Q1036" s="3" t="n"/>
      <c r="R1036" s="4" t="n"/>
      <c r="S1036" s="4" t="n"/>
    </row>
    <row r="1037">
      <c r="A1037" s="3" t="n">
        <v>1036</v>
      </c>
      <c r="B1037" s="3" t="inlineStr">
        <is>
          <t>KH005</t>
        </is>
      </c>
      <c r="C1037" s="4" t="inlineStr">
        <is>
          <t>ThinkSafe HCM</t>
        </is>
      </c>
      <c r="D1037" s="3" t="inlineStr">
        <is>
          <t>HCM</t>
        </is>
      </c>
      <c r="E1037" s="3" t="inlineStr">
        <is>
          <t>XUÂN TRANG</t>
        </is>
      </c>
      <c r="F1037" s="3" t="inlineStr">
        <is>
          <t>Shopee</t>
        </is>
      </c>
      <c r="G1037" s="3" t="inlineStr">
        <is>
          <t>KV4-6*38</t>
        </is>
      </c>
      <c r="H1037" s="4" t="inlineStr">
        <is>
          <t>Tuốc nơ vít tự động 3 chức năng S2 KV4-6*38</t>
        </is>
      </c>
      <c r="I1037" s="3" t="inlineStr">
        <is>
          <t>Cái</t>
        </is>
      </c>
      <c r="J1037" s="5" t="n">
        <v>68000</v>
      </c>
      <c r="K1037" s="5" t="n">
        <v>80000</v>
      </c>
      <c r="L1037" s="6" t="n">
        <v>99000</v>
      </c>
      <c r="M1037" s="5" t="n"/>
      <c r="N1037" s="5">
        <f>IF(AND(ISNUMBER(M1037),ISNUMBER(L1037)),M1037-L1037,"")</f>
        <v/>
      </c>
      <c r="O1037" s="7">
        <f>IF(AND(ISNUMBER(M1037),ISNUMBER(L1037),L1037&gt;0),(M1037-L1037)/L1037,"")</f>
        <v/>
      </c>
      <c r="P1037" s="3">
        <f>IF(O1037="","",IF(O1037&lt;-0.02,"🔴 Bán phá giá sàn",IF(O1037&gt;0.05,"🔵 Bán cao hơn","🟢 Đúng giá sàn TMĐT")))</f>
        <v/>
      </c>
      <c r="Q1037" s="3" t="n"/>
      <c r="R1037" s="4" t="n"/>
      <c r="S1037" s="4" t="n"/>
    </row>
    <row r="1038">
      <c r="A1038" s="3" t="n">
        <v>1037</v>
      </c>
      <c r="B1038" s="3" t="inlineStr">
        <is>
          <t>KH005</t>
        </is>
      </c>
      <c r="C1038" s="4" t="inlineStr">
        <is>
          <t>ThinkSafe HCM</t>
        </is>
      </c>
      <c r="D1038" s="3" t="inlineStr">
        <is>
          <t>HCM</t>
        </is>
      </c>
      <c r="E1038" s="3" t="inlineStr">
        <is>
          <t>XUÂN TRANG</t>
        </is>
      </c>
      <c r="F1038" s="3" t="inlineStr">
        <is>
          <t>Shopee</t>
        </is>
      </c>
      <c r="G1038" s="3" t="inlineStr">
        <is>
          <t>KHD4212</t>
        </is>
      </c>
      <c r="H1038" s="4" t="inlineStr">
        <is>
          <t>Thùng đựng đồ nghề kèm phụ kiện KHD4212 NEW</t>
        </is>
      </c>
      <c r="I1038" s="3" t="inlineStr">
        <is>
          <t>Cái</t>
        </is>
      </c>
      <c r="J1038" s="5" t="n">
        <v>1996</v>
      </c>
      <c r="K1038" s="5" t="n">
        <v>539000</v>
      </c>
      <c r="L1038" s="6" t="n">
        <v>615000</v>
      </c>
      <c r="M1038" s="5" t="n"/>
      <c r="N1038" s="5">
        <f>IF(AND(ISNUMBER(M1038),ISNUMBER(L1038)),M1038-L1038,"")</f>
        <v/>
      </c>
      <c r="O1038" s="7">
        <f>IF(AND(ISNUMBER(M1038),ISNUMBER(L1038),L1038&gt;0),(M1038-L1038)/L1038,"")</f>
        <v/>
      </c>
      <c r="P1038" s="3">
        <f>IF(O1038="","",IF(O1038&lt;-0.02,"🔴 Bán phá giá sàn",IF(O1038&gt;0.05,"🔵 Bán cao hơn","🟢 Đúng giá sàn TMĐT")))</f>
        <v/>
      </c>
      <c r="Q1038" s="3" t="n"/>
      <c r="R1038" s="4" t="n"/>
      <c r="S1038" s="4" t="n"/>
    </row>
    <row r="1039">
      <c r="A1039" s="3" t="n">
        <v>1038</v>
      </c>
      <c r="B1039" s="3" t="inlineStr">
        <is>
          <t>KH005</t>
        </is>
      </c>
      <c r="C1039" s="4" t="inlineStr">
        <is>
          <t>ThinkSafe HCM</t>
        </is>
      </c>
      <c r="D1039" s="3" t="inlineStr">
        <is>
          <t>HCM</t>
        </is>
      </c>
      <c r="E1039" s="3" t="inlineStr">
        <is>
          <t>XUÂN TRANG</t>
        </is>
      </c>
      <c r="F1039" s="3" t="inlineStr">
        <is>
          <t>Shopee</t>
        </is>
      </c>
      <c r="G1039" s="3" t="inlineStr">
        <is>
          <t>KHD20</t>
        </is>
      </c>
      <c r="H1039" s="4" t="inlineStr">
        <is>
          <t>Thùng đựng đồ nghề KHD20</t>
        </is>
      </c>
      <c r="I1039" s="3" t="inlineStr">
        <is>
          <t>Cái</t>
        </is>
      </c>
      <c r="J1039" s="5" t="n">
        <v>396000</v>
      </c>
      <c r="K1039" s="5" t="n">
        <v>452000</v>
      </c>
      <c r="L1039" s="6" t="n">
        <v>535000</v>
      </c>
      <c r="M1039" s="5" t="n"/>
      <c r="N1039" s="5">
        <f>IF(AND(ISNUMBER(M1039),ISNUMBER(L1039)),M1039-L1039,"")</f>
        <v/>
      </c>
      <c r="O1039" s="7">
        <f>IF(AND(ISNUMBER(M1039),ISNUMBER(L1039),L1039&gt;0),(M1039-L1039)/L1039,"")</f>
        <v/>
      </c>
      <c r="P1039" s="3">
        <f>IF(O1039="","",IF(O1039&lt;-0.02,"🔴 Bán phá giá sàn",IF(O1039&gt;0.05,"🔵 Bán cao hơn","🟢 Đúng giá sàn TMĐT")))</f>
        <v/>
      </c>
      <c r="Q1039" s="3" t="n"/>
      <c r="R1039" s="4" t="n"/>
      <c r="S1039" s="4" t="n"/>
    </row>
    <row r="1040">
      <c r="A1040" s="3" t="n">
        <v>1039</v>
      </c>
      <c r="B1040" s="3" t="inlineStr">
        <is>
          <t>KH005</t>
        </is>
      </c>
      <c r="C1040" s="4" t="inlineStr">
        <is>
          <t>ThinkSafe HCM</t>
        </is>
      </c>
      <c r="D1040" s="3" t="inlineStr">
        <is>
          <t>HCM</t>
        </is>
      </c>
      <c r="E1040" s="3" t="inlineStr">
        <is>
          <t>XUÂN TRANG</t>
        </is>
      </c>
      <c r="F1040" s="3" t="inlineStr">
        <is>
          <t>Shopee</t>
        </is>
      </c>
      <c r="G1040" s="3" t="inlineStr">
        <is>
          <t>KHD4212</t>
        </is>
      </c>
      <c r="H1040" s="4" t="inlineStr">
        <is>
          <t>Thùng đựng đồ nghề KHD4212</t>
        </is>
      </c>
      <c r="I1040" s="3" t="inlineStr">
        <is>
          <t>Cái</t>
        </is>
      </c>
      <c r="J1040" s="5" t="n">
        <v>1996</v>
      </c>
      <c r="K1040" s="5" t="n">
        <v>539000</v>
      </c>
      <c r="L1040" s="6" t="n">
        <v>615000</v>
      </c>
      <c r="M1040" s="5" t="n"/>
      <c r="N1040" s="5">
        <f>IF(AND(ISNUMBER(M1040),ISNUMBER(L1040)),M1040-L1040,"")</f>
        <v/>
      </c>
      <c r="O1040" s="7">
        <f>IF(AND(ISNUMBER(M1040),ISNUMBER(L1040),L1040&gt;0),(M1040-L1040)/L1040,"")</f>
        <v/>
      </c>
      <c r="P1040" s="3">
        <f>IF(O1040="","",IF(O1040&lt;-0.02,"🔴 Bán phá giá sàn",IF(O1040&gt;0.05,"🔵 Bán cao hơn","🟢 Đúng giá sàn TMĐT")))</f>
        <v/>
      </c>
      <c r="Q1040" s="3" t="n"/>
      <c r="R1040" s="4" t="n"/>
      <c r="S1040" s="4" t="n"/>
    </row>
    <row r="1041">
      <c r="A1041" s="3" t="n">
        <v>1040</v>
      </c>
      <c r="B1041" s="3" t="inlineStr">
        <is>
          <t>KH005</t>
        </is>
      </c>
      <c r="C1041" s="4" t="inlineStr">
        <is>
          <t>ThinkSafe HCM</t>
        </is>
      </c>
      <c r="D1041" s="3" t="inlineStr">
        <is>
          <t>HCM</t>
        </is>
      </c>
      <c r="E1041" s="3" t="inlineStr">
        <is>
          <t>XUÂN TRANG</t>
        </is>
      </c>
      <c r="F1041" s="3" t="inlineStr">
        <is>
          <t>Shopee</t>
        </is>
      </c>
      <c r="G1041" s="3" t="inlineStr">
        <is>
          <t>KHD4216</t>
        </is>
      </c>
      <c r="H1041" s="4" t="inlineStr">
        <is>
          <t>Thùng đựng đồ nghề KHD4216</t>
        </is>
      </c>
      <c r="I1041" s="3" t="inlineStr">
        <is>
          <t>Cái</t>
        </is>
      </c>
      <c r="J1041" s="5" t="n">
        <v>2065</v>
      </c>
      <c r="K1041" s="5" t="n">
        <v>484000</v>
      </c>
      <c r="L1041" s="6" t="n">
        <v>552000</v>
      </c>
      <c r="M1041" s="5" t="n"/>
      <c r="N1041" s="5">
        <f>IF(AND(ISNUMBER(M1041),ISNUMBER(L1041)),M1041-L1041,"")</f>
        <v/>
      </c>
      <c r="O1041" s="7">
        <f>IF(AND(ISNUMBER(M1041),ISNUMBER(L1041),L1041&gt;0),(M1041-L1041)/L1041,"")</f>
        <v/>
      </c>
      <c r="P1041" s="3">
        <f>IF(O1041="","",IF(O1041&lt;-0.02,"🔴 Bán phá giá sàn",IF(O1041&gt;0.05,"🔵 Bán cao hơn","🟢 Đúng giá sàn TMĐT")))</f>
        <v/>
      </c>
      <c r="Q1041" s="3" t="n"/>
      <c r="R1041" s="4" t="n"/>
      <c r="S1041" s="4" t="n"/>
    </row>
    <row r="1042">
      <c r="A1042" s="3" t="n">
        <v>1041</v>
      </c>
      <c r="B1042" s="3" t="inlineStr">
        <is>
          <t>KH005</t>
        </is>
      </c>
      <c r="C1042" s="4" t="inlineStr">
        <is>
          <t>ThinkSafe HCM</t>
        </is>
      </c>
      <c r="D1042" s="3" t="inlineStr">
        <is>
          <t>HCM</t>
        </is>
      </c>
      <c r="E1042" s="3" t="inlineStr">
        <is>
          <t>XUÂN TRANG</t>
        </is>
      </c>
      <c r="F1042" s="3" t="inlineStr">
        <is>
          <t>Shopee</t>
        </is>
      </c>
      <c r="G1042" s="3" t="inlineStr">
        <is>
          <t>KHD4233</t>
        </is>
      </c>
      <c r="H1042" s="4" t="inlineStr">
        <is>
          <t>Thùng đựng đồ nghề KHD4233</t>
        </is>
      </c>
      <c r="I1042" s="3" t="inlineStr">
        <is>
          <t>Cái</t>
        </is>
      </c>
      <c r="J1042" s="5" t="n">
        <v>269000</v>
      </c>
      <c r="K1042" s="5" t="n">
        <v>317000</v>
      </c>
      <c r="L1042" s="6" t="n">
        <v>390000</v>
      </c>
      <c r="M1042" s="5" t="n"/>
      <c r="N1042" s="5">
        <f>IF(AND(ISNUMBER(M1042),ISNUMBER(L1042)),M1042-L1042,"")</f>
        <v/>
      </c>
      <c r="O1042" s="7">
        <f>IF(AND(ISNUMBER(M1042),ISNUMBER(L1042),L1042&gt;0),(M1042-L1042)/L1042,"")</f>
        <v/>
      </c>
      <c r="P1042" s="3">
        <f>IF(O1042="","",IF(O1042&lt;-0.02,"🔴 Bán phá giá sàn",IF(O1042&gt;0.05,"🔵 Bán cao hơn","🟢 Đúng giá sàn TMĐT")))</f>
        <v/>
      </c>
      <c r="Q1042" s="3" t="n"/>
      <c r="R1042" s="4" t="n"/>
      <c r="S1042" s="4" t="n"/>
    </row>
    <row r="1043">
      <c r="A1043" s="3" t="n">
        <v>1042</v>
      </c>
      <c r="B1043" s="3" t="inlineStr">
        <is>
          <t>KH005</t>
        </is>
      </c>
      <c r="C1043" s="4" t="inlineStr">
        <is>
          <t>ThinkSafe HCM</t>
        </is>
      </c>
      <c r="D1043" s="3" t="inlineStr">
        <is>
          <t>HCM</t>
        </is>
      </c>
      <c r="E1043" s="3" t="inlineStr">
        <is>
          <t>XUÂN TRANG</t>
        </is>
      </c>
      <c r="F1043" s="3" t="inlineStr">
        <is>
          <t>Shopee</t>
        </is>
      </c>
      <c r="G1043" s="3" t="inlineStr">
        <is>
          <t>MC-50.25</t>
        </is>
      </c>
      <c r="H1043" s="4" t="inlineStr">
        <is>
          <t>Thước Cuộn MC-50.25</t>
        </is>
      </c>
      <c r="I1043" s="3" t="inlineStr">
        <is>
          <t>Cái</t>
        </is>
      </c>
      <c r="J1043" s="5" t="n">
        <v>59000</v>
      </c>
      <c r="K1043" s="5" t="n">
        <v>70000</v>
      </c>
      <c r="L1043" s="6" t="n">
        <v>86000</v>
      </c>
      <c r="M1043" s="5" t="n"/>
      <c r="N1043" s="5">
        <f>IF(AND(ISNUMBER(M1043),ISNUMBER(L1043)),M1043-L1043,"")</f>
        <v/>
      </c>
      <c r="O1043" s="7">
        <f>IF(AND(ISNUMBER(M1043),ISNUMBER(L1043),L1043&gt;0),(M1043-L1043)/L1043,"")</f>
        <v/>
      </c>
      <c r="P1043" s="3">
        <f>IF(O1043="","",IF(O1043&lt;-0.02,"🔴 Bán phá giá sàn",IF(O1043&gt;0.05,"🔵 Bán cao hơn","🟢 Đúng giá sàn TMĐT")))</f>
        <v/>
      </c>
      <c r="Q1043" s="3" t="n"/>
      <c r="R1043" s="4" t="n"/>
      <c r="S1043" s="4" t="n"/>
    </row>
    <row r="1044">
      <c r="A1044" s="3" t="n">
        <v>1043</v>
      </c>
      <c r="B1044" s="3" t="inlineStr">
        <is>
          <t>KH005</t>
        </is>
      </c>
      <c r="C1044" s="4" t="inlineStr">
        <is>
          <t>ThinkSafe HCM</t>
        </is>
      </c>
      <c r="D1044" s="3" t="inlineStr">
        <is>
          <t>HCM</t>
        </is>
      </c>
      <c r="E1044" s="3" t="inlineStr">
        <is>
          <t>XUÂN TRANG</t>
        </is>
      </c>
      <c r="F1044" s="3" t="inlineStr">
        <is>
          <t>Shopee</t>
        </is>
      </c>
      <c r="G1044" s="3" t="inlineStr">
        <is>
          <t>MD-50.25</t>
        </is>
      </c>
      <c r="H1044" s="4" t="inlineStr">
        <is>
          <t>Thước Cuộn tự hãm MD-50.25</t>
        </is>
      </c>
      <c r="I1044" s="3" t="inlineStr">
        <is>
          <t>Cái</t>
        </is>
      </c>
      <c r="J1044" s="5" t="n">
        <v>64000</v>
      </c>
      <c r="K1044" s="5" t="n">
        <v>76000</v>
      </c>
      <c r="L1044" s="6" t="n">
        <v>93000</v>
      </c>
      <c r="M1044" s="5" t="n"/>
      <c r="N1044" s="5">
        <f>IF(AND(ISNUMBER(M1044),ISNUMBER(L1044)),M1044-L1044,"")</f>
        <v/>
      </c>
      <c r="O1044" s="7">
        <f>IF(AND(ISNUMBER(M1044),ISNUMBER(L1044),L1044&gt;0),(M1044-L1044)/L1044,"")</f>
        <v/>
      </c>
      <c r="P1044" s="3">
        <f>IF(O1044="","",IF(O1044&lt;-0.02,"🔴 Bán phá giá sàn",IF(O1044&gt;0.05,"🔵 Bán cao hơn","🟢 Đúng giá sàn TMĐT")))</f>
        <v/>
      </c>
      <c r="Q1044" s="3" t="n"/>
      <c r="R1044" s="4" t="n"/>
      <c r="S1044" s="4" t="n"/>
    </row>
    <row r="1045">
      <c r="A1045" s="3" t="n">
        <v>1044</v>
      </c>
      <c r="B1045" s="3" t="inlineStr">
        <is>
          <t>KH005</t>
        </is>
      </c>
      <c r="C1045" s="4" t="inlineStr">
        <is>
          <t>ThinkSafe HCM</t>
        </is>
      </c>
      <c r="D1045" s="3" t="inlineStr">
        <is>
          <t>HCM</t>
        </is>
      </c>
      <c r="E1045" s="3" t="inlineStr">
        <is>
          <t>XUÂN TRANG</t>
        </is>
      </c>
      <c r="F1045" s="3" t="inlineStr">
        <is>
          <t>Shopee</t>
        </is>
      </c>
      <c r="G1045" s="3" t="inlineStr">
        <is>
          <t>TK-150</t>
        </is>
      </c>
      <c r="H1045" s="4" t="inlineStr">
        <is>
          <t>Thước kẹp cơ TK-150</t>
        </is>
      </c>
      <c r="I1045" s="3" t="inlineStr">
        <is>
          <t>Cái</t>
        </is>
      </c>
      <c r="J1045" s="5" t="n">
        <v>182000</v>
      </c>
      <c r="K1045" s="5" t="n">
        <v>215000</v>
      </c>
      <c r="L1045" s="6" t="n">
        <v>264000</v>
      </c>
      <c r="M1045" s="5" t="n"/>
      <c r="N1045" s="5">
        <f>IF(AND(ISNUMBER(M1045),ISNUMBER(L1045)),M1045-L1045,"")</f>
        <v/>
      </c>
      <c r="O1045" s="7">
        <f>IF(AND(ISNUMBER(M1045),ISNUMBER(L1045),L1045&gt;0),(M1045-L1045)/L1045,"")</f>
        <v/>
      </c>
      <c r="P1045" s="3">
        <f>IF(O1045="","",IF(O1045&lt;-0.02,"🔴 Bán phá giá sàn",IF(O1045&gt;0.05,"🔵 Bán cao hơn","🟢 Đúng giá sàn TMĐT")))</f>
        <v/>
      </c>
      <c r="Q1045" s="3" t="n"/>
      <c r="R1045" s="4" t="n"/>
      <c r="S1045" s="4" t="n"/>
    </row>
    <row r="1046">
      <c r="A1046" s="3" t="n">
        <v>1045</v>
      </c>
      <c r="B1046" s="3" t="inlineStr">
        <is>
          <t>KH005</t>
        </is>
      </c>
      <c r="C1046" s="4" t="inlineStr">
        <is>
          <t>ThinkSafe HCM</t>
        </is>
      </c>
      <c r="D1046" s="3" t="inlineStr">
        <is>
          <t>HCM</t>
        </is>
      </c>
      <c r="E1046" s="3" t="inlineStr">
        <is>
          <t>XUÂN TRANG</t>
        </is>
      </c>
      <c r="F1046" s="3" t="inlineStr">
        <is>
          <t>Shopee</t>
        </is>
      </c>
      <c r="G1046" s="3" t="inlineStr">
        <is>
          <t>TK-200</t>
        </is>
      </c>
      <c r="H1046" s="4" t="inlineStr">
        <is>
          <t>Thước kẹp cơ TK-200</t>
        </is>
      </c>
      <c r="I1046" s="3" t="inlineStr">
        <is>
          <t>Cái</t>
        </is>
      </c>
      <c r="J1046" s="5" t="n">
        <v>286000</v>
      </c>
      <c r="K1046" s="5" t="n">
        <v>338000</v>
      </c>
      <c r="L1046" s="6" t="n">
        <v>415000</v>
      </c>
      <c r="M1046" s="5" t="n"/>
      <c r="N1046" s="5">
        <f>IF(AND(ISNUMBER(M1046),ISNUMBER(L1046)),M1046-L1046,"")</f>
        <v/>
      </c>
      <c r="O1046" s="7">
        <f>IF(AND(ISNUMBER(M1046),ISNUMBER(L1046),L1046&gt;0),(M1046-L1046)/L1046,"")</f>
        <v/>
      </c>
      <c r="P1046" s="3">
        <f>IF(O1046="","",IF(O1046&lt;-0.02,"🔴 Bán phá giá sàn",IF(O1046&gt;0.05,"🔵 Bán cao hơn","🟢 Đúng giá sàn TMĐT")))</f>
        <v/>
      </c>
      <c r="Q1046" s="3" t="n"/>
      <c r="R1046" s="4" t="n"/>
      <c r="S1046" s="4" t="n"/>
    </row>
    <row r="1047">
      <c r="A1047" s="3" t="n">
        <v>1046</v>
      </c>
      <c r="B1047" s="3" t="inlineStr">
        <is>
          <t>KH005</t>
        </is>
      </c>
      <c r="C1047" s="4" t="inlineStr">
        <is>
          <t>ThinkSafe HCM</t>
        </is>
      </c>
      <c r="D1047" s="3" t="inlineStr">
        <is>
          <t>HCM</t>
        </is>
      </c>
      <c r="E1047" s="3" t="inlineStr">
        <is>
          <t>XUÂN TRANG</t>
        </is>
      </c>
      <c r="F1047" s="3" t="inlineStr">
        <is>
          <t>Shopee</t>
        </is>
      </c>
      <c r="G1047" s="3" t="inlineStr">
        <is>
          <t>TK-025</t>
        </is>
      </c>
      <c r="H1047" s="4" t="inlineStr">
        <is>
          <t>Thước kẹp panme TK-025</t>
        </is>
      </c>
      <c r="I1047" s="3" t="inlineStr">
        <is>
          <t>Cái</t>
        </is>
      </c>
      <c r="J1047" s="5" t="n">
        <v>396000</v>
      </c>
      <c r="K1047" s="5" t="n">
        <v>467000</v>
      </c>
      <c r="L1047" s="6" t="n">
        <v>574000</v>
      </c>
      <c r="M1047" s="5" t="n"/>
      <c r="N1047" s="5">
        <f>IF(AND(ISNUMBER(M1047),ISNUMBER(L1047)),M1047-L1047,"")</f>
        <v/>
      </c>
      <c r="O1047" s="7">
        <f>IF(AND(ISNUMBER(M1047),ISNUMBER(L1047),L1047&gt;0),(M1047-L1047)/L1047,"")</f>
        <v/>
      </c>
      <c r="P1047" s="3">
        <f>IF(O1047="","",IF(O1047&lt;-0.02,"🔴 Bán phá giá sàn",IF(O1047&gt;0.05,"🔵 Bán cao hơn","🟢 Đúng giá sàn TMĐT")))</f>
        <v/>
      </c>
      <c r="Q1047" s="3" t="n"/>
      <c r="R1047" s="4" t="n"/>
      <c r="S1047" s="4" t="n"/>
    </row>
    <row r="1048">
      <c r="A1048" s="3" t="n">
        <v>1047</v>
      </c>
      <c r="B1048" s="3" t="inlineStr">
        <is>
          <t>KH005</t>
        </is>
      </c>
      <c r="C1048" s="4" t="inlineStr">
        <is>
          <t>ThinkSafe HCM</t>
        </is>
      </c>
      <c r="D1048" s="3" t="inlineStr">
        <is>
          <t>HCM</t>
        </is>
      </c>
      <c r="E1048" s="3" t="inlineStr">
        <is>
          <t>XUÂN TRANG</t>
        </is>
      </c>
      <c r="F1048" s="3" t="inlineStr">
        <is>
          <t>Shopee</t>
        </is>
      </c>
      <c r="G1048" s="3" t="inlineStr">
        <is>
          <t>KTT-25A</t>
        </is>
      </c>
      <c r="H1048" s="4" t="inlineStr">
        <is>
          <t>Thước thủy KTT-25A</t>
        </is>
      </c>
      <c r="I1048" s="3" t="inlineStr">
        <is>
          <t>Cái</t>
        </is>
      </c>
      <c r="J1048" s="5" t="n">
        <v>35000</v>
      </c>
      <c r="K1048" s="5" t="n">
        <v>41000</v>
      </c>
      <c r="L1048" s="6" t="n">
        <v>51000</v>
      </c>
      <c r="M1048" s="5" t="n"/>
      <c r="N1048" s="5">
        <f>IF(AND(ISNUMBER(M1048),ISNUMBER(L1048)),M1048-L1048,"")</f>
        <v/>
      </c>
      <c r="O1048" s="7">
        <f>IF(AND(ISNUMBER(M1048),ISNUMBER(L1048),L1048&gt;0),(M1048-L1048)/L1048,"")</f>
        <v/>
      </c>
      <c r="P1048" s="3">
        <f>IF(O1048="","",IF(O1048&lt;-0.02,"🔴 Bán phá giá sàn",IF(O1048&gt;0.05,"🔵 Bán cao hơn","🟢 Đúng giá sàn TMĐT")))</f>
        <v/>
      </c>
      <c r="Q1048" s="3" t="n"/>
      <c r="R1048" s="4" t="n"/>
      <c r="S1048" s="4" t="n"/>
    </row>
    <row r="1049">
      <c r="A1049" s="3" t="n">
        <v>1048</v>
      </c>
      <c r="B1049" s="3" t="inlineStr">
        <is>
          <t>KH005</t>
        </is>
      </c>
      <c r="C1049" s="4" t="inlineStr">
        <is>
          <t>ThinkSafe HCM</t>
        </is>
      </c>
      <c r="D1049" s="3" t="inlineStr">
        <is>
          <t>HCM</t>
        </is>
      </c>
      <c r="E1049" s="3" t="inlineStr">
        <is>
          <t>XUÂN TRANG</t>
        </is>
      </c>
      <c r="F1049" s="3" t="inlineStr">
        <is>
          <t>Shopee</t>
        </is>
      </c>
      <c r="G1049" s="3" t="inlineStr">
        <is>
          <t>KFJ-432</t>
        </is>
      </c>
      <c r="H1049" s="4" t="inlineStr">
        <is>
          <t>Vít bê tông không dùng tắc kê KFJ-432</t>
        </is>
      </c>
      <c r="I1049" s="3" t="inlineStr">
        <is>
          <t>Hộp</t>
        </is>
      </c>
      <c r="J1049" s="5" t="n">
        <v>81000</v>
      </c>
      <c r="K1049" s="5" t="n">
        <v>101000</v>
      </c>
      <c r="L1049" s="6" t="n">
        <v>130000</v>
      </c>
      <c r="M1049" s="5" t="n"/>
      <c r="N1049" s="5">
        <f>IF(AND(ISNUMBER(M1049),ISNUMBER(L1049)),M1049-L1049,"")</f>
        <v/>
      </c>
      <c r="O1049" s="7">
        <f>IF(AND(ISNUMBER(M1049),ISNUMBER(L1049),L1049&gt;0),(M1049-L1049)/L1049,"")</f>
        <v/>
      </c>
      <c r="P1049" s="3">
        <f>IF(O1049="","",IF(O1049&lt;-0.02,"🔴 Bán phá giá sàn",IF(O1049&gt;0.05,"🔵 Bán cao hơn","🟢 Đúng giá sàn TMĐT")))</f>
        <v/>
      </c>
      <c r="Q1049" s="3" t="n"/>
      <c r="R1049" s="4" t="n"/>
      <c r="S1049" s="4" t="n"/>
    </row>
    <row r="1050">
      <c r="A1050" s="3" t="n">
        <v>1049</v>
      </c>
      <c r="B1050" s="3" t="inlineStr">
        <is>
          <t>KH005</t>
        </is>
      </c>
      <c r="C1050" s="4" t="inlineStr">
        <is>
          <t>ThinkSafe HCM</t>
        </is>
      </c>
      <c r="D1050" s="3" t="inlineStr">
        <is>
          <t>HCM</t>
        </is>
      </c>
      <c r="E1050" s="3" t="inlineStr">
        <is>
          <t>XUÂN TRANG</t>
        </is>
      </c>
      <c r="F1050" s="3" t="inlineStr">
        <is>
          <t>Shopee</t>
        </is>
      </c>
      <c r="G1050" s="3" t="inlineStr">
        <is>
          <t>KFJ-438</t>
        </is>
      </c>
      <c r="H1050" s="4" t="inlineStr">
        <is>
          <t>Vít bê tông không dùng tắc kê KFJ-438</t>
        </is>
      </c>
      <c r="I1050" s="3" t="inlineStr">
        <is>
          <t>Hộp</t>
        </is>
      </c>
      <c r="J1050" s="5" t="n">
        <v>81000</v>
      </c>
      <c r="K1050" s="5" t="n">
        <v>101000</v>
      </c>
      <c r="L1050" s="6" t="n">
        <v>130000</v>
      </c>
      <c r="M1050" s="5" t="n"/>
      <c r="N1050" s="5">
        <f>IF(AND(ISNUMBER(M1050),ISNUMBER(L1050)),M1050-L1050,"")</f>
        <v/>
      </c>
      <c r="O1050" s="7">
        <f>IF(AND(ISNUMBER(M1050),ISNUMBER(L1050),L1050&gt;0),(M1050-L1050)/L1050,"")</f>
        <v/>
      </c>
      <c r="P1050" s="3">
        <f>IF(O1050="","",IF(O1050&lt;-0.02,"🔴 Bán phá giá sàn",IF(O1050&gt;0.05,"🔵 Bán cao hơn","🟢 Đúng giá sàn TMĐT")))</f>
        <v/>
      </c>
      <c r="Q1050" s="3" t="n"/>
      <c r="R1050" s="4" t="n"/>
      <c r="S1050" s="4" t="n"/>
    </row>
    <row r="1051">
      <c r="A1051" s="3" t="n">
        <v>1050</v>
      </c>
      <c r="B1051" s="3" t="inlineStr">
        <is>
          <t>KH005</t>
        </is>
      </c>
      <c r="C1051" s="4" t="inlineStr">
        <is>
          <t>ThinkSafe HCM</t>
        </is>
      </c>
      <c r="D1051" s="3" t="inlineStr">
        <is>
          <t>HCM</t>
        </is>
      </c>
      <c r="E1051" s="3" t="inlineStr">
        <is>
          <t>XUÂN TRANG</t>
        </is>
      </c>
      <c r="F1051" s="3" t="inlineStr">
        <is>
          <t>Shopee</t>
        </is>
      </c>
      <c r="G1051" s="3" t="inlineStr">
        <is>
          <t>KFJ-445</t>
        </is>
      </c>
      <c r="H1051" s="4" t="inlineStr">
        <is>
          <t>Vít bê tông không dùng tắc kê KFJ-445</t>
        </is>
      </c>
      <c r="I1051" s="3" t="inlineStr">
        <is>
          <t>Hộp</t>
        </is>
      </c>
      <c r="J1051" s="5" t="n">
        <v>81000</v>
      </c>
      <c r="K1051" s="5" t="n">
        <v>101000</v>
      </c>
      <c r="L1051" s="6" t="n">
        <v>130000</v>
      </c>
      <c r="M1051" s="5" t="n"/>
      <c r="N1051" s="5">
        <f>IF(AND(ISNUMBER(M1051),ISNUMBER(L1051)),M1051-L1051,"")</f>
        <v/>
      </c>
      <c r="O1051" s="7">
        <f>IF(AND(ISNUMBER(M1051),ISNUMBER(L1051),L1051&gt;0),(M1051-L1051)/L1051,"")</f>
        <v/>
      </c>
      <c r="P1051" s="3">
        <f>IF(O1051="","",IF(O1051&lt;-0.02,"🔴 Bán phá giá sàn",IF(O1051&gt;0.05,"🔵 Bán cao hơn","🟢 Đúng giá sàn TMĐT")))</f>
        <v/>
      </c>
      <c r="Q1051" s="3" t="n"/>
      <c r="R1051" s="4" t="n"/>
      <c r="S1051" s="4" t="n"/>
    </row>
    <row r="1052">
      <c r="A1052" s="3" t="n">
        <v>1051</v>
      </c>
      <c r="B1052" s="3" t="inlineStr">
        <is>
          <t>KH005</t>
        </is>
      </c>
      <c r="C1052" s="4" t="inlineStr">
        <is>
          <t>ThinkSafe HCM</t>
        </is>
      </c>
      <c r="D1052" s="3" t="inlineStr">
        <is>
          <t>HCM</t>
        </is>
      </c>
      <c r="E1052" s="3" t="inlineStr">
        <is>
          <t>XUÂN TRANG</t>
        </is>
      </c>
      <c r="F1052" s="3" t="inlineStr">
        <is>
          <t>Shopee</t>
        </is>
      </c>
      <c r="G1052" s="3" t="inlineStr">
        <is>
          <t>KFJ-535</t>
        </is>
      </c>
      <c r="H1052" s="4" t="inlineStr">
        <is>
          <t>Vít bê tông không dùng tắc kê KFJ-535</t>
        </is>
      </c>
      <c r="I1052" s="3" t="inlineStr">
        <is>
          <t>Hộp</t>
        </is>
      </c>
      <c r="J1052" s="5" t="n">
        <v>81000</v>
      </c>
      <c r="K1052" s="5" t="n">
        <v>101000</v>
      </c>
      <c r="L1052" s="6" t="n">
        <v>130000</v>
      </c>
      <c r="M1052" s="5" t="n"/>
      <c r="N1052" s="5">
        <f>IF(AND(ISNUMBER(M1052),ISNUMBER(L1052)),M1052-L1052,"")</f>
        <v/>
      </c>
      <c r="O1052" s="7">
        <f>IF(AND(ISNUMBER(M1052),ISNUMBER(L1052),L1052&gt;0),(M1052-L1052)/L1052,"")</f>
        <v/>
      </c>
      <c r="P1052" s="3">
        <f>IF(O1052="","",IF(O1052&lt;-0.02,"🔴 Bán phá giá sàn",IF(O1052&gt;0.05,"🔵 Bán cao hơn","🟢 Đúng giá sàn TMĐT")))</f>
        <v/>
      </c>
      <c r="Q1052" s="3" t="n"/>
      <c r="R1052" s="4" t="n"/>
      <c r="S1052" s="4" t="n"/>
    </row>
    <row r="1053">
      <c r="A1053" s="3" t="n">
        <v>1052</v>
      </c>
      <c r="B1053" s="3" t="inlineStr">
        <is>
          <t>KH005</t>
        </is>
      </c>
      <c r="C1053" s="4" t="inlineStr">
        <is>
          <t>ThinkSafe HCM</t>
        </is>
      </c>
      <c r="D1053" s="3" t="inlineStr">
        <is>
          <t>HCM</t>
        </is>
      </c>
      <c r="E1053" s="3" t="inlineStr">
        <is>
          <t>XUÂN TRANG</t>
        </is>
      </c>
      <c r="F1053" s="3" t="inlineStr">
        <is>
          <t>Shopee</t>
        </is>
      </c>
      <c r="G1053" s="3" t="inlineStr">
        <is>
          <t>KFJ-545</t>
        </is>
      </c>
      <c r="H1053" s="4" t="inlineStr">
        <is>
          <t>Vít bê tông không dùng tắc kê KFJ-545</t>
        </is>
      </c>
      <c r="I1053" s="3" t="inlineStr">
        <is>
          <t>Hộp</t>
        </is>
      </c>
      <c r="J1053" s="5" t="n">
        <v>81000</v>
      </c>
      <c r="K1053" s="5" t="n">
        <v>101000</v>
      </c>
      <c r="L1053" s="6" t="n">
        <v>130000</v>
      </c>
      <c r="M1053" s="5" t="n"/>
      <c r="N1053" s="5">
        <f>IF(AND(ISNUMBER(M1053),ISNUMBER(L1053)),M1053-L1053,"")</f>
        <v/>
      </c>
      <c r="O1053" s="7">
        <f>IF(AND(ISNUMBER(M1053),ISNUMBER(L1053),L1053&gt;0),(M1053-L1053)/L1053,"")</f>
        <v/>
      </c>
      <c r="P1053" s="3">
        <f>IF(O1053="","",IF(O1053&lt;-0.02,"🔴 Bán phá giá sàn",IF(O1053&gt;0.05,"🔵 Bán cao hơn","🟢 Đúng giá sàn TMĐT")))</f>
        <v/>
      </c>
      <c r="Q1053" s="3" t="n"/>
      <c r="R1053" s="4" t="n"/>
      <c r="S1053" s="4" t="n"/>
    </row>
    <row r="1054">
      <c r="A1054" s="3" t="n">
        <v>1053</v>
      </c>
      <c r="B1054" s="3" t="inlineStr">
        <is>
          <t>KH005</t>
        </is>
      </c>
      <c r="C1054" s="4" t="inlineStr">
        <is>
          <t>ThinkSafe HCM</t>
        </is>
      </c>
      <c r="D1054" s="3" t="inlineStr">
        <is>
          <t>HCM</t>
        </is>
      </c>
      <c r="E1054" s="3" t="inlineStr">
        <is>
          <t>XUÂN TRANG</t>
        </is>
      </c>
      <c r="F1054" s="3" t="inlineStr">
        <is>
          <t>Shopee</t>
        </is>
      </c>
      <c r="G1054" s="3" t="inlineStr">
        <is>
          <t>KB4x100</t>
        </is>
      </c>
      <c r="H1054" s="4" t="inlineStr">
        <is>
          <t>Vít KingBlue KB4x100</t>
        </is>
      </c>
      <c r="I1054" s="3" t="inlineStr">
        <is>
          <t>Cái</t>
        </is>
      </c>
      <c r="J1054" s="5" t="n">
        <v>11000</v>
      </c>
      <c r="K1054" s="5" t="n">
        <v>14000</v>
      </c>
      <c r="L1054" s="6" t="n">
        <v>18000</v>
      </c>
      <c r="M1054" s="5" t="n"/>
      <c r="N1054" s="5">
        <f>IF(AND(ISNUMBER(M1054),ISNUMBER(L1054)),M1054-L1054,"")</f>
        <v/>
      </c>
      <c r="O1054" s="7">
        <f>IF(AND(ISNUMBER(M1054),ISNUMBER(L1054),L1054&gt;0),(M1054-L1054)/L1054,"")</f>
        <v/>
      </c>
      <c r="P1054" s="3">
        <f>IF(O1054="","",IF(O1054&lt;-0.02,"🔴 Bán phá giá sàn",IF(O1054&gt;0.05,"🔵 Bán cao hơn","🟢 Đúng giá sàn TMĐT")))</f>
        <v/>
      </c>
      <c r="Q1054" s="3" t="n"/>
      <c r="R1054" s="4" t="n"/>
      <c r="S1054" s="4" t="n"/>
    </row>
    <row r="1055">
      <c r="A1055" s="3" t="n">
        <v>1054</v>
      </c>
      <c r="B1055" s="3" t="inlineStr">
        <is>
          <t>KH005</t>
        </is>
      </c>
      <c r="C1055" s="4" t="inlineStr">
        <is>
          <t>ThinkSafe HCM</t>
        </is>
      </c>
      <c r="D1055" s="3" t="inlineStr">
        <is>
          <t>HCM</t>
        </is>
      </c>
      <c r="E1055" s="3" t="inlineStr">
        <is>
          <t>XUÂN TRANG</t>
        </is>
      </c>
      <c r="F1055" s="3" t="inlineStr">
        <is>
          <t>Shopee</t>
        </is>
      </c>
      <c r="G1055" s="3" t="inlineStr">
        <is>
          <t>KB4x65</t>
        </is>
      </c>
      <c r="H1055" s="4" t="inlineStr">
        <is>
          <t>Vít KingBlue KB4x65</t>
        </is>
      </c>
      <c r="I1055" s="3" t="inlineStr">
        <is>
          <t>Cái</t>
        </is>
      </c>
      <c r="J1055" s="5" t="n">
        <v>7500</v>
      </c>
      <c r="K1055" s="5" t="n">
        <v>10000</v>
      </c>
      <c r="L1055" s="6" t="n">
        <v>12500</v>
      </c>
      <c r="M1055" s="5" t="n"/>
      <c r="N1055" s="5">
        <f>IF(AND(ISNUMBER(M1055),ISNUMBER(L1055)),M1055-L1055,"")</f>
        <v/>
      </c>
      <c r="O1055" s="7">
        <f>IF(AND(ISNUMBER(M1055),ISNUMBER(L1055),L1055&gt;0),(M1055-L1055)/L1055,"")</f>
        <v/>
      </c>
      <c r="P1055" s="3">
        <f>IF(O1055="","",IF(O1055&lt;-0.02,"🔴 Bán phá giá sàn",IF(O1055&gt;0.05,"🔵 Bán cao hơn","🟢 Đúng giá sàn TMĐT")))</f>
        <v/>
      </c>
      <c r="Q1055" s="3" t="n"/>
      <c r="R1055" s="4" t="n"/>
      <c r="S1055" s="4" t="n"/>
    </row>
    <row r="1056">
      <c r="A1056" s="3" t="n">
        <v>1055</v>
      </c>
      <c r="B1056" s="3" t="inlineStr">
        <is>
          <t>KH005</t>
        </is>
      </c>
      <c r="C1056" s="4" t="inlineStr">
        <is>
          <t>ThinkSafe HCM</t>
        </is>
      </c>
      <c r="D1056" s="3" t="inlineStr">
        <is>
          <t>HCM</t>
        </is>
      </c>
      <c r="E1056" s="3" t="inlineStr">
        <is>
          <t>XUÂN TRANG</t>
        </is>
      </c>
      <c r="F1056" s="3" t="inlineStr">
        <is>
          <t>Shopee</t>
        </is>
      </c>
      <c r="G1056" s="3" t="inlineStr">
        <is>
          <t>KB4x65S</t>
        </is>
      </c>
      <c r="H1056" s="4" t="inlineStr">
        <is>
          <t>Vít KingBlue KB4x65S</t>
        </is>
      </c>
      <c r="I1056" s="3" t="inlineStr">
        <is>
          <t>Cái</t>
        </is>
      </c>
      <c r="J1056" s="5" t="n">
        <v>11000</v>
      </c>
      <c r="K1056" s="5" t="n">
        <v>14000</v>
      </c>
      <c r="L1056" s="6" t="n">
        <v>18000</v>
      </c>
      <c r="M1056" s="5" t="n"/>
      <c r="N1056" s="5">
        <f>IF(AND(ISNUMBER(M1056),ISNUMBER(L1056)),M1056-L1056,"")</f>
        <v/>
      </c>
      <c r="O1056" s="7">
        <f>IF(AND(ISNUMBER(M1056),ISNUMBER(L1056),L1056&gt;0),(M1056-L1056)/L1056,"")</f>
        <v/>
      </c>
      <c r="P1056" s="3">
        <f>IF(O1056="","",IF(O1056&lt;-0.02,"🔴 Bán phá giá sàn",IF(O1056&gt;0.05,"🔵 Bán cao hơn","🟢 Đúng giá sàn TMĐT")))</f>
        <v/>
      </c>
      <c r="Q1056" s="3" t="n"/>
      <c r="R1056" s="4" t="n"/>
      <c r="S105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  <col width="12" customWidth="1" min="5" max="5"/>
    <col width="15" customWidth="1" min="6" max="6"/>
    <col width="15" customWidth="1" min="7" max="7"/>
    <col width="21" customWidth="1" min="8" max="8"/>
    <col width="48" customWidth="1" min="9" max="9"/>
  </cols>
  <sheetData>
    <row r="1">
      <c r="A1" s="8" t="inlineStr">
        <is>
          <t>STT</t>
        </is>
      </c>
      <c r="B1" s="8" t="inlineStr">
        <is>
          <t>Trang PDF</t>
        </is>
      </c>
      <c r="C1" s="8" t="inlineStr">
        <is>
          <t>STT Gốc</t>
        </is>
      </c>
      <c r="D1" s="8" t="inlineStr">
        <is>
          <t>Tên / Mô Tả Sản Phẩm Trong Báo Giá</t>
        </is>
      </c>
      <c r="E1" s="8" t="inlineStr">
        <is>
          <t>ĐVT</t>
        </is>
      </c>
      <c r="F1" s="8" t="inlineStr">
        <is>
          <t>GIÁ SỈ (VNĐ)</t>
        </is>
      </c>
      <c r="G1" s="8" t="inlineStr">
        <is>
          <t>GIÁ LẺ (VNĐ)</t>
        </is>
      </c>
      <c r="H1" s="2" t="inlineStr">
        <is>
          <t>GIÁ SÀN TMĐT (VNĐ)</t>
        </is>
      </c>
      <c r="I1" s="8" t="inlineStr">
        <is>
          <t>Quy Cách / Ghi Chú</t>
        </is>
      </c>
    </row>
    <row r="2">
      <c r="A2" s="3" t="n">
        <v>1</v>
      </c>
      <c r="B2" s="3" t="n">
        <v>1</v>
      </c>
      <c r="C2" s="3" t="inlineStr">
        <is>
          <t>1</t>
        </is>
      </c>
      <c r="D2" s="4" t="inlineStr">
        <is>
          <t>Đá cắt Sắt, inox KingBlue (Hộp sắt) D1-107x1.2 (hộp sắt) 107*1.2mmØlỗ 16mm</t>
        </is>
      </c>
      <c r="E2" s="3" t="inlineStr">
        <is>
          <t>Cái</t>
        </is>
      </c>
      <c r="F2" s="5" t="n">
        <v>4000</v>
      </c>
      <c r="G2" s="5" t="n">
        <v>5000</v>
      </c>
      <c r="H2" s="6" t="n">
        <v>6500</v>
      </c>
      <c r="I2" s="4" t="inlineStr">
        <is>
          <t>Cái  100v/H 800v/T Mua 8 thùng tặng 1 thùng cùng loại</t>
        </is>
      </c>
    </row>
    <row r="3">
      <c r="A3" s="3" t="n">
        <v>2</v>
      </c>
      <c r="B3" s="3" t="n">
        <v>1</v>
      </c>
      <c r="C3" s="3" t="inlineStr">
        <is>
          <t>2</t>
        </is>
      </c>
      <c r="D3" s="4" t="inlineStr">
        <is>
          <t>Đá cắt Sắt, inox KingBlue (Hộp nhựa) D1-125x1.6 125*1.6mmØlỗ 22.23mm</t>
        </is>
      </c>
      <c r="E3" s="3" t="inlineStr">
        <is>
          <t>Cái</t>
        </is>
      </c>
      <c r="F3" s="5" t="n">
        <v>8300</v>
      </c>
      <c r="G3" s="5" t="n">
        <v>10400</v>
      </c>
      <c r="H3" s="6" t="n">
        <v>13500</v>
      </c>
      <c r="I3" s="4" t="inlineStr">
        <is>
          <t>Cái  50v/H 600v/T Mua 8 thùng tặng 1 thùng cùng loại</t>
        </is>
      </c>
    </row>
    <row r="4">
      <c r="A4" s="3" t="n">
        <v>3</v>
      </c>
      <c r="B4" s="3" t="n">
        <v>1</v>
      </c>
      <c r="C4" s="3" t="inlineStr">
        <is>
          <t>3</t>
        </is>
      </c>
      <c r="D4" s="4" t="inlineStr">
        <is>
          <t>Đá cắt Sắt, inox KingBlue (Hộp sắt) D3-107x1.2 (hộp sắt) 107*1.2mmØlỗ 16mm</t>
        </is>
      </c>
      <c r="E4" s="3" t="inlineStr">
        <is>
          <t>Viên</t>
        </is>
      </c>
      <c r="F4" s="5" t="n">
        <v>4600</v>
      </c>
      <c r="G4" s="5" t="n">
        <v>5800</v>
      </c>
      <c r="H4" s="6" t="n">
        <v>7500</v>
      </c>
      <c r="I4" s="4" t="inlineStr">
        <is>
          <t>Viên  100v/H 800v/T Mua 8 thùng tặng 1 thùng cùng loại</t>
        </is>
      </c>
    </row>
    <row r="5">
      <c r="A5" s="3" t="n">
        <v>4</v>
      </c>
      <c r="B5" s="3" t="n">
        <v>1</v>
      </c>
      <c r="C5" s="3" t="inlineStr">
        <is>
          <t>4</t>
        </is>
      </c>
      <c r="D5" s="4" t="inlineStr">
        <is>
          <t>Đá cắt sắt, inox KingBlue D3-125x1.8 125*1.8mmØlỗ 22.23mm</t>
        </is>
      </c>
      <c r="E5" s="3" t="inlineStr">
        <is>
          <t>Viên</t>
        </is>
      </c>
      <c r="F5" s="5" t="n">
        <v>9700</v>
      </c>
      <c r="G5" s="5" t="n">
        <v>12000</v>
      </c>
      <c r="H5" s="6" t="n">
        <v>15500</v>
      </c>
      <c r="I5" s="4" t="inlineStr">
        <is>
          <t>Viên  50v/H 600v/T Mua 8 thùng tặng 1 thùng cùng loại</t>
        </is>
      </c>
    </row>
    <row r="6">
      <c r="A6" s="3" t="n">
        <v>5</v>
      </c>
      <c r="B6" s="3" t="n">
        <v>1</v>
      </c>
      <c r="C6" s="3" t="inlineStr">
        <is>
          <t>5</t>
        </is>
      </c>
      <c r="D6" s="4" t="inlineStr">
        <is>
          <t>D3-150x2.0 150*2.0mmØlỗ 22.23mm</t>
        </is>
      </c>
      <c r="E6" s="3" t="inlineStr">
        <is>
          <t>Viên</t>
        </is>
      </c>
      <c r="F6" s="5" t="n">
        <v>16500</v>
      </c>
      <c r="G6" s="5" t="n">
        <v>20000</v>
      </c>
      <c r="H6" s="6" t="n">
        <v>25000</v>
      </c>
      <c r="I6" s="4" t="inlineStr">
        <is>
          <t>Viên  25v/H 200v/T</t>
        </is>
      </c>
    </row>
    <row r="7">
      <c r="A7" s="3" t="n">
        <v>6</v>
      </c>
      <c r="B7" s="3" t="n">
        <v>1</v>
      </c>
      <c r="C7" s="3" t="inlineStr">
        <is>
          <t>6</t>
        </is>
      </c>
      <c r="D7" s="4" t="inlineStr">
        <is>
          <t>D3-180x2.0 180*2.0mmØlỗ 22.23mm</t>
        </is>
      </c>
      <c r="E7" s="3" t="inlineStr">
        <is>
          <t>Viên</t>
        </is>
      </c>
      <c r="F7" s="5" t="n">
        <v>23000</v>
      </c>
      <c r="G7" s="5" t="n">
        <v>28000</v>
      </c>
      <c r="H7" s="6" t="n">
        <v>34500</v>
      </c>
      <c r="I7" s="4" t="inlineStr">
        <is>
          <t>Viên  25v/H 100v/T</t>
        </is>
      </c>
    </row>
    <row r="8">
      <c r="A8" s="3" t="n">
        <v>7</v>
      </c>
      <c r="B8" s="3" t="n">
        <v>1</v>
      </c>
      <c r="C8" s="3" t="inlineStr">
        <is>
          <t>7</t>
        </is>
      </c>
      <c r="D8" s="4" t="inlineStr">
        <is>
          <t>D3-300x2.8S 300*2.8mmØlỗ 25.4mm</t>
        </is>
      </c>
      <c r="E8" s="3" t="inlineStr">
        <is>
          <t>Viên</t>
        </is>
      </c>
      <c r="F8" s="5" t="n">
        <v>38500</v>
      </c>
      <c r="G8" s="5" t="n">
        <v>46000</v>
      </c>
      <c r="H8" s="6" t="n">
        <v>56000</v>
      </c>
      <c r="I8" s="4" t="inlineStr">
        <is>
          <t>Viên 30v/T</t>
        </is>
      </c>
    </row>
    <row r="9">
      <c r="A9" s="3" t="n">
        <v>8</v>
      </c>
      <c r="B9" s="3" t="n">
        <v>1</v>
      </c>
      <c r="C9" s="3" t="inlineStr">
        <is>
          <t>8</t>
        </is>
      </c>
      <c r="D9" s="4" t="inlineStr">
        <is>
          <t>D3-350x3.0S 350*3.0mmØlỗ 25.4mm</t>
        </is>
      </c>
      <c r="E9" s="3" t="inlineStr">
        <is>
          <t>Viên</t>
        </is>
      </c>
      <c r="F9" s="5" t="n">
        <v>45000</v>
      </c>
      <c r="G9" s="5" t="n">
        <v>53000</v>
      </c>
      <c r="H9" s="6" t="n">
        <v>65000</v>
      </c>
      <c r="I9" s="4" t="inlineStr">
        <is>
          <t>Viên 30v/T Mua 25 thùng tặng 1 thùng cùng loại</t>
        </is>
      </c>
    </row>
    <row r="10">
      <c r="A10" s="3" t="n">
        <v>9</v>
      </c>
      <c r="B10" s="3" t="n">
        <v>1</v>
      </c>
      <c r="C10" s="3" t="inlineStr">
        <is>
          <t>9</t>
        </is>
      </c>
      <c r="D10" s="4" t="inlineStr">
        <is>
          <t>D3-400x3.0S 400*3.0mmØlỗ 25.4mm</t>
        </is>
      </c>
      <c r="E10" s="3" t="inlineStr">
        <is>
          <t>Cái</t>
        </is>
      </c>
      <c r="F10" s="5" t="n">
        <v>67000</v>
      </c>
      <c r="G10" s="5" t="n">
        <v>77000</v>
      </c>
      <c r="H10" s="6" t="n">
        <v>93000</v>
      </c>
      <c r="I10" s="4" t="inlineStr">
        <is>
          <t>Cái 25v/T</t>
        </is>
      </c>
    </row>
    <row r="11">
      <c r="A11" s="3" t="n">
        <v>10</v>
      </c>
      <c r="B11" s="3" t="n">
        <v>1</v>
      </c>
      <c r="C11" s="3" t="inlineStr">
        <is>
          <t>10</t>
        </is>
      </c>
      <c r="D11" s="4" t="inlineStr">
        <is>
          <t>D4-107x1.2 107*1.2mmØlỗ 16mm</t>
        </is>
      </c>
      <c r="E11" s="3" t="inlineStr">
        <is>
          <t>Viên</t>
        </is>
      </c>
      <c r="F11" s="5" t="n">
        <v>4200</v>
      </c>
      <c r="G11" s="5" t="n">
        <v>5300</v>
      </c>
      <c r="H11" s="6" t="n">
        <v>6900</v>
      </c>
      <c r="I11" s="4" t="inlineStr">
        <is>
          <t>Viên  50v/H 800v/T Mua 8 thùng tặng 1 thùng cùng loại</t>
        </is>
      </c>
    </row>
    <row r="12">
      <c r="A12" s="3" t="n">
        <v>11</v>
      </c>
      <c r="B12" s="3" t="n">
        <v>1</v>
      </c>
      <c r="C12" s="3" t="inlineStr">
        <is>
          <t>11</t>
        </is>
      </c>
      <c r="D12" s="4" t="inlineStr">
        <is>
          <t>D4-350x3.0 350*3.0mmØlỗ 25.4mm</t>
        </is>
      </c>
      <c r="E12" s="3" t="inlineStr">
        <is>
          <t>Viên</t>
        </is>
      </c>
      <c r="F12" s="5" t="n">
        <v>43000</v>
      </c>
      <c r="G12" s="5" t="n">
        <v>51000</v>
      </c>
      <c r="H12" s="6" t="n">
        <v>62000</v>
      </c>
      <c r="I12" s="4" t="inlineStr">
        <is>
          <t>Viên 30v/T Mua 25 thùng tặng 1 thùngcùng loại</t>
        </is>
      </c>
    </row>
    <row r="13">
      <c r="A13" s="3" t="n">
        <v>12</v>
      </c>
      <c r="B13" s="3" t="n">
        <v>2</v>
      </c>
      <c r="C13" s="3" t="inlineStr">
        <is>
          <t>12</t>
        </is>
      </c>
      <c r="D13" s="4" t="inlineStr">
        <is>
          <t>Đá Mài inox King Blue D3-103x2.8 103*2.8mmØlỗ 16mm</t>
        </is>
      </c>
      <c r="E13" s="3" t="inlineStr">
        <is>
          <t>Cái</t>
        </is>
      </c>
      <c r="F13" s="5" t="n">
        <v>9100</v>
      </c>
      <c r="G13" s="5" t="n">
        <v>11300</v>
      </c>
      <c r="H13" s="6" t="n">
        <v>14500</v>
      </c>
      <c r="I13" s="4" t="inlineStr">
        <is>
          <t>Cái  50v/H 200v/T Mua 8 thùng tặng 1 thùng cùng loại</t>
        </is>
      </c>
    </row>
    <row r="14">
      <c r="A14" s="3" t="n">
        <v>13</v>
      </c>
      <c r="B14" s="3" t="n">
        <v>2</v>
      </c>
      <c r="C14" s="3" t="inlineStr">
        <is>
          <t>13</t>
        </is>
      </c>
      <c r="D14" s="4" t="inlineStr">
        <is>
          <t>D3-100x6.0 100*6mmØlỗ 16mm</t>
        </is>
      </c>
      <c r="E14" s="3" t="inlineStr">
        <is>
          <t>Cái</t>
        </is>
      </c>
      <c r="F14" s="5" t="n">
        <v>11000</v>
      </c>
      <c r="G14" s="5" t="n">
        <v>13600</v>
      </c>
      <c r="H14" s="6" t="n">
        <v>17500</v>
      </c>
      <c r="I14" s="4" t="inlineStr">
        <is>
          <t>Cái  25v/H 200v/T Mua 8 thùng tặng 1 thùng cùng loại</t>
        </is>
      </c>
    </row>
    <row r="15">
      <c r="A15" s="3" t="n">
        <v>14</v>
      </c>
      <c r="B15" s="3" t="n">
        <v>2</v>
      </c>
      <c r="C15" s="3" t="inlineStr">
        <is>
          <t>14</t>
        </is>
      </c>
      <c r="D15" s="4" t="inlineStr">
        <is>
          <t>D3-125x6.0 125*6mmØlỗ 22.23mm</t>
        </is>
      </c>
      <c r="E15" s="3" t="inlineStr">
        <is>
          <t>Cái</t>
        </is>
      </c>
      <c r="F15" s="5" t="n">
        <v>20000</v>
      </c>
      <c r="G15" s="5" t="n">
        <v>25000</v>
      </c>
      <c r="H15" s="6" t="n">
        <v>32000</v>
      </c>
      <c r="I15" s="4" t="inlineStr">
        <is>
          <t>Cái  25v/H 100v/T</t>
        </is>
      </c>
    </row>
    <row r="16">
      <c r="A16" s="3" t="n">
        <v>15</v>
      </c>
      <c r="B16" s="3" t="n">
        <v>2</v>
      </c>
      <c r="C16" s="3" t="inlineStr">
        <is>
          <t>15</t>
        </is>
      </c>
      <c r="D16" s="4" t="inlineStr">
        <is>
          <t>BA-40 100*16mm</t>
        </is>
      </c>
      <c r="E16" s="3" t="inlineStr">
        <is>
          <t>Cái</t>
        </is>
      </c>
      <c r="F16" s="5" t="n">
        <v>9500</v>
      </c>
      <c r="G16" s="5" t="n">
        <v>11700</v>
      </c>
      <c r="H16" s="6" t="n">
        <v>15000</v>
      </c>
      <c r="I16" s="4" t="inlineStr">
        <is>
          <t>Cái 10c/Lốc 200c/T</t>
        </is>
      </c>
    </row>
    <row r="17">
      <c r="A17" s="3" t="n">
        <v>16</v>
      </c>
      <c r="B17" s="3" t="n">
        <v>2</v>
      </c>
      <c r="C17" s="3" t="inlineStr">
        <is>
          <t>16</t>
        </is>
      </c>
      <c r="D17" s="4" t="inlineStr">
        <is>
          <t>BA-60 100*16mm</t>
        </is>
      </c>
      <c r="E17" s="3" t="inlineStr">
        <is>
          <t>Cái</t>
        </is>
      </c>
      <c r="F17" s="5" t="n">
        <v>9500</v>
      </c>
      <c r="G17" s="5" t="n">
        <v>11700</v>
      </c>
      <c r="H17" s="6" t="n">
        <v>15000</v>
      </c>
      <c r="I17" s="4" t="inlineStr">
        <is>
          <t>Cái 10c/Lốc 200c/T</t>
        </is>
      </c>
    </row>
    <row r="18">
      <c r="A18" s="3" t="n">
        <v>17</v>
      </c>
      <c r="B18" s="3" t="n">
        <v>2</v>
      </c>
      <c r="C18" s="3" t="inlineStr">
        <is>
          <t>17</t>
        </is>
      </c>
      <c r="D18" s="4" t="inlineStr">
        <is>
          <t>BA-80 100*16mm</t>
        </is>
      </c>
      <c r="E18" s="3" t="inlineStr">
        <is>
          <t>Cái</t>
        </is>
      </c>
      <c r="F18" s="5" t="n">
        <v>9500</v>
      </c>
      <c r="G18" s="5" t="n">
        <v>11700</v>
      </c>
      <c r="H18" s="6" t="n">
        <v>15000</v>
      </c>
      <c r="I18" s="4" t="inlineStr">
        <is>
          <t>Cái 10c/Lốc 200c/T</t>
        </is>
      </c>
    </row>
    <row r="19">
      <c r="A19" s="3" t="n">
        <v>18</v>
      </c>
      <c r="B19" s="3" t="n">
        <v>2</v>
      </c>
      <c r="C19" s="3" t="inlineStr">
        <is>
          <t>18</t>
        </is>
      </c>
      <c r="D19" s="4" t="inlineStr">
        <is>
          <t>BA-100 100*16mm</t>
        </is>
      </c>
      <c r="E19" s="3" t="inlineStr">
        <is>
          <t>Cái</t>
        </is>
      </c>
      <c r="F19" s="5" t="n">
        <v>9500</v>
      </c>
      <c r="G19" s="5" t="n">
        <v>11700</v>
      </c>
      <c r="H19" s="6" t="n">
        <v>15000</v>
      </c>
      <c r="I19" s="4" t="inlineStr">
        <is>
          <t>Cái 10c/Lốc 200c/T</t>
        </is>
      </c>
    </row>
    <row r="20">
      <c r="A20" s="3" t="n">
        <v>19</v>
      </c>
      <c r="B20" s="3" t="n">
        <v>2</v>
      </c>
      <c r="C20" s="3" t="inlineStr">
        <is>
          <t>20</t>
        </is>
      </c>
      <c r="D20" s="4" t="inlineStr">
        <is>
          <t>BA-150 100*16mm</t>
        </is>
      </c>
      <c r="E20" s="3" t="inlineStr">
        <is>
          <t>Cái</t>
        </is>
      </c>
      <c r="F20" s="5" t="n">
        <v>9500</v>
      </c>
      <c r="G20" s="5" t="n">
        <v>11700</v>
      </c>
      <c r="H20" s="6" t="n">
        <v>15000</v>
      </c>
      <c r="I20" s="4" t="inlineStr">
        <is>
          <t>Cái 10c/Lốc 200c/T</t>
        </is>
      </c>
    </row>
    <row r="21">
      <c r="A21" s="3" t="n">
        <v>20</v>
      </c>
      <c r="B21" s="3" t="n">
        <v>2</v>
      </c>
      <c r="C21" s="3" t="inlineStr">
        <is>
          <t>21</t>
        </is>
      </c>
      <c r="D21" s="4" t="inlineStr">
        <is>
          <t>BA-180 100*16mm</t>
        </is>
      </c>
      <c r="E21" s="3" t="inlineStr">
        <is>
          <t>Cái</t>
        </is>
      </c>
      <c r="F21" s="5" t="n">
        <v>9500</v>
      </c>
      <c r="G21" s="5" t="n">
        <v>11700</v>
      </c>
      <c r="H21" s="6" t="n">
        <v>15000</v>
      </c>
      <c r="I21" s="4" t="inlineStr">
        <is>
          <t>Cái 10c/Lốc 200c/T</t>
        </is>
      </c>
    </row>
    <row r="22">
      <c r="A22" s="3" t="n">
        <v>21</v>
      </c>
      <c r="B22" s="3" t="n">
        <v>2</v>
      </c>
      <c r="C22" s="3" t="inlineStr">
        <is>
          <t>22</t>
        </is>
      </c>
      <c r="D22" s="4" t="inlineStr">
        <is>
          <t>BA-240 100*16mm</t>
        </is>
      </c>
      <c r="E22" s="3" t="inlineStr">
        <is>
          <t>Cái</t>
        </is>
      </c>
      <c r="F22" s="5" t="n">
        <v>9500</v>
      </c>
      <c r="G22" s="5" t="n">
        <v>11700</v>
      </c>
      <c r="H22" s="6" t="n">
        <v>15000</v>
      </c>
      <c r="I22" s="4" t="inlineStr">
        <is>
          <t>Cái 10c/Lốc 200c/T</t>
        </is>
      </c>
    </row>
    <row r="23">
      <c r="A23" s="3" t="n">
        <v>22</v>
      </c>
      <c r="B23" s="3" t="n">
        <v>2</v>
      </c>
      <c r="C23" s="3" t="inlineStr">
        <is>
          <t>23</t>
        </is>
      </c>
      <c r="D23" s="4" t="inlineStr">
        <is>
          <t>BA-320 100*16mm</t>
        </is>
      </c>
      <c r="E23" s="3" t="inlineStr">
        <is>
          <t>Cái</t>
        </is>
      </c>
      <c r="F23" s="5" t="n">
        <v>9500</v>
      </c>
      <c r="G23" s="5" t="n">
        <v>11700</v>
      </c>
      <c r="H23" s="6" t="n">
        <v>15000</v>
      </c>
      <c r="I23" s="4" t="inlineStr">
        <is>
          <t>Cái 10c/Lốc 200c/T</t>
        </is>
      </c>
    </row>
    <row r="24">
      <c r="A24" s="3" t="n">
        <v>23</v>
      </c>
      <c r="B24" s="3" t="n">
        <v>2</v>
      </c>
      <c r="C24" s="3" t="inlineStr">
        <is>
          <t>24</t>
        </is>
      </c>
      <c r="D24" s="4" t="inlineStr">
        <is>
          <t>KZ-040 NEW 100*16mm</t>
        </is>
      </c>
      <c r="E24" s="3" t="inlineStr">
        <is>
          <t>Cái</t>
        </is>
      </c>
      <c r="F24" s="5" t="n">
        <v>9500</v>
      </c>
      <c r="G24" s="5" t="n">
        <v>11700</v>
      </c>
      <c r="H24" s="6" t="n">
        <v>15000</v>
      </c>
      <c r="I24" s="4" t="inlineStr">
        <is>
          <t>Cái 10c/Lốc 200c/T</t>
        </is>
      </c>
    </row>
    <row r="25">
      <c r="A25" s="3" t="n">
        <v>24</v>
      </c>
      <c r="B25" s="3" t="n">
        <v>2</v>
      </c>
      <c r="C25" s="3" t="inlineStr">
        <is>
          <t>25</t>
        </is>
      </c>
      <c r="D25" s="4" t="inlineStr">
        <is>
          <t>KZ-060 NEW 100*16mm</t>
        </is>
      </c>
      <c r="E25" s="3" t="inlineStr">
        <is>
          <t>Cái</t>
        </is>
      </c>
      <c r="F25" s="5" t="n">
        <v>9500</v>
      </c>
      <c r="G25" s="5" t="n">
        <v>11700</v>
      </c>
      <c r="H25" s="6" t="n">
        <v>15000</v>
      </c>
      <c r="I25" s="4" t="inlineStr">
        <is>
          <t>Cái 10c/Lốc 200c/T</t>
        </is>
      </c>
    </row>
    <row r="26">
      <c r="A26" s="3" t="n">
        <v>25</v>
      </c>
      <c r="B26" s="3" t="n">
        <v>2</v>
      </c>
      <c r="C26" s="3" t="inlineStr">
        <is>
          <t>26</t>
        </is>
      </c>
      <c r="D26" s="4" t="inlineStr">
        <is>
          <t>KZ-080 NEW 100*16mm</t>
        </is>
      </c>
      <c r="E26" s="3" t="inlineStr">
        <is>
          <t>Cái</t>
        </is>
      </c>
      <c r="F26" s="5" t="n">
        <v>9500</v>
      </c>
      <c r="G26" s="5" t="n">
        <v>11700</v>
      </c>
      <c r="H26" s="6" t="n">
        <v>15000</v>
      </c>
      <c r="I26" s="4" t="inlineStr">
        <is>
          <t>Cái 10c/Lốc 200c/T</t>
        </is>
      </c>
    </row>
    <row r="27">
      <c r="A27" s="3" t="n">
        <v>26</v>
      </c>
      <c r="B27" s="3" t="n">
        <v>2</v>
      </c>
      <c r="C27" s="3" t="inlineStr">
        <is>
          <t>27</t>
        </is>
      </c>
      <c r="D27" s="4" t="inlineStr">
        <is>
          <t>KZ-100 NEW 100*16mm</t>
        </is>
      </c>
      <c r="E27" s="3" t="inlineStr">
        <is>
          <t>Cái</t>
        </is>
      </c>
      <c r="F27" s="5" t="n">
        <v>9500</v>
      </c>
      <c r="G27" s="5" t="n">
        <v>11700</v>
      </c>
      <c r="H27" s="6" t="n">
        <v>15000</v>
      </c>
      <c r="I27" s="4" t="inlineStr">
        <is>
          <t>Cái 10c/Lốc 200c/T</t>
        </is>
      </c>
    </row>
    <row r="28">
      <c r="A28" s="3" t="n">
        <v>27</v>
      </c>
      <c r="B28" s="3" t="n">
        <v>2</v>
      </c>
      <c r="C28" s="3" t="inlineStr">
        <is>
          <t>28</t>
        </is>
      </c>
      <c r="D28" s="4" t="inlineStr">
        <is>
          <t>KZ-120 NEW 100*16mm</t>
        </is>
      </c>
      <c r="E28" s="3" t="inlineStr">
        <is>
          <t>Cái</t>
        </is>
      </c>
      <c r="F28" s="5" t="n">
        <v>9500</v>
      </c>
      <c r="G28" s="5" t="n">
        <v>11700</v>
      </c>
      <c r="H28" s="6" t="n">
        <v>15000</v>
      </c>
      <c r="I28" s="4" t="inlineStr">
        <is>
          <t>Cái 10c/Lốc 200c/T</t>
        </is>
      </c>
    </row>
    <row r="29">
      <c r="A29" s="3" t="n">
        <v>28</v>
      </c>
      <c r="B29" s="3" t="n">
        <v>2</v>
      </c>
      <c r="C29" s="3" t="inlineStr">
        <is>
          <t>29</t>
        </is>
      </c>
      <c r="D29" s="4" t="inlineStr">
        <is>
          <t>KZ-150 NEW 100*16mm</t>
        </is>
      </c>
      <c r="E29" s="3" t="inlineStr">
        <is>
          <t>Cái</t>
        </is>
      </c>
      <c r="F29" s="5" t="n">
        <v>9500</v>
      </c>
      <c r="G29" s="5" t="n">
        <v>11700</v>
      </c>
      <c r="H29" s="6" t="n">
        <v>15000</v>
      </c>
      <c r="I29" s="4" t="inlineStr">
        <is>
          <t>Cái 10c/Lốc 200c/T</t>
        </is>
      </c>
    </row>
    <row r="30">
      <c r="A30" s="3" t="n">
        <v>29</v>
      </c>
      <c r="B30" s="3" t="n">
        <v>3</v>
      </c>
      <c r="C30" s="3" t="inlineStr"/>
      <c r="D30" s="4" t="inlineStr">
        <is>
          <t>E2-110X20 110*20mm</t>
        </is>
      </c>
      <c r="E30" s="3" t="inlineStr">
        <is>
          <t>Cái</t>
        </is>
      </c>
      <c r="F30" s="5" t="n">
        <v>48000</v>
      </c>
      <c r="G30" s="5" t="n">
        <v>57000</v>
      </c>
      <c r="H30" s="6" t="n">
        <v>70000</v>
      </c>
      <c r="I30" s="4" t="inlineStr">
        <is>
          <t>Cái 10c/H 200c/T</t>
        </is>
      </c>
    </row>
    <row r="31">
      <c r="A31" s="3" t="n">
        <v>30</v>
      </c>
      <c r="B31" s="3" t="n">
        <v>3</v>
      </c>
      <c r="C31" s="3" t="inlineStr"/>
      <c r="D31" s="4" t="inlineStr">
        <is>
          <t>E3-105DN 105*20mm</t>
        </is>
      </c>
      <c r="E31" s="3" t="inlineStr">
        <is>
          <t>Cái</t>
        </is>
      </c>
      <c r="F31" s="5" t="n">
        <v>70000</v>
      </c>
      <c r="G31" s="5" t="n">
        <v>83000</v>
      </c>
      <c r="H31" s="6" t="n">
        <v>102000</v>
      </c>
      <c r="I31" s="4" t="inlineStr">
        <is>
          <t>Cái 10c/H 200c/T</t>
        </is>
      </c>
    </row>
    <row r="32">
      <c r="A32" s="3" t="n">
        <v>31</v>
      </c>
      <c r="B32" s="3" t="n">
        <v>3</v>
      </c>
      <c r="C32" s="3" t="inlineStr">
        <is>
          <t>3</t>
        </is>
      </c>
      <c r="D32" s="4" t="inlineStr">
        <is>
          <t>Lưỡi cắt Kingblue E3-125DN E3-125DN 125*22.23mm</t>
        </is>
      </c>
      <c r="E32" s="3" t="inlineStr">
        <is>
          <t>Cái</t>
        </is>
      </c>
      <c r="F32" s="5" t="n">
        <v>88000</v>
      </c>
      <c r="G32" s="5" t="n">
        <v>104000</v>
      </c>
      <c r="H32" s="6" t="n">
        <v>128000</v>
      </c>
      <c r="I32" s="4" t="inlineStr">
        <is>
          <t>Cái 10c/H 200c/T</t>
        </is>
      </c>
    </row>
    <row r="33">
      <c r="A33" s="3" t="n">
        <v>32</v>
      </c>
      <c r="B33" s="3" t="n">
        <v>3</v>
      </c>
      <c r="C33" s="3" t="inlineStr">
        <is>
          <t>4</t>
        </is>
      </c>
      <c r="D33" s="4" t="inlineStr">
        <is>
          <t>Lưỡi cắt KingBlueV1 110DN V1-110DN 105*10*1.3 mmØlỗ 20/16 mm</t>
        </is>
      </c>
      <c r="E33" s="3" t="inlineStr">
        <is>
          <t>Cái</t>
        </is>
      </c>
      <c r="F33" s="5" t="n">
        <v>59000</v>
      </c>
      <c r="G33" s="5" t="n">
        <v>70000</v>
      </c>
      <c r="H33" s="6" t="n">
        <v>86000</v>
      </c>
      <c r="I33" s="4" t="inlineStr">
        <is>
          <t>Cái 10c/H 200c/T</t>
        </is>
      </c>
    </row>
    <row r="34">
      <c r="A34" s="3" t="n">
        <v>33</v>
      </c>
      <c r="B34" s="3" t="n">
        <v>3</v>
      </c>
      <c r="C34" s="3" t="inlineStr"/>
      <c r="D34" s="4" t="inlineStr">
        <is>
          <t>V2-110 NEW 110*10*1.3 mmØlỗ 20/16 mm</t>
        </is>
      </c>
      <c r="E34" s="3" t="inlineStr">
        <is>
          <t>Cái</t>
        </is>
      </c>
      <c r="F34" s="5" t="n">
        <v>85000</v>
      </c>
      <c r="G34" s="5" t="n">
        <v>100000</v>
      </c>
      <c r="H34" s="6" t="n">
        <v>123000</v>
      </c>
      <c r="I34" s="4" t="inlineStr">
        <is>
          <t>Cái 10c/H 200c/T</t>
        </is>
      </c>
    </row>
    <row r="35">
      <c r="A35" s="3" t="n">
        <v>34</v>
      </c>
      <c r="B35" s="3" t="n">
        <v>3</v>
      </c>
      <c r="C35" s="3" t="inlineStr"/>
      <c r="D35" s="4" t="inlineStr">
        <is>
          <t>Ølỗ 20/16 mm</t>
        </is>
      </c>
      <c r="E35" s="3" t="inlineStr">
        <is>
          <t>Cái</t>
        </is>
      </c>
      <c r="F35" s="5" t="n">
        <v>110000</v>
      </c>
      <c r="G35" s="5" t="n">
        <v>130000</v>
      </c>
      <c r="H35" s="6" t="n">
        <v>160000</v>
      </c>
      <c r="I35" s="4" t="inlineStr">
        <is>
          <t>Cái 10c/H 200c/T Mua 100c tặng 10c</t>
        </is>
      </c>
    </row>
    <row r="36">
      <c r="A36" s="3" t="n">
        <v>35</v>
      </c>
      <c r="B36" s="3" t="n">
        <v>3</v>
      </c>
      <c r="C36" s="3" t="inlineStr">
        <is>
          <t>7</t>
        </is>
      </c>
      <c r="D36" s="4" t="inlineStr">
        <is>
          <t>Lưỡi cắt KingBlueV3-125DN V3-125DN 125*10*1.8 mmØlỗ 22.2/20 mm</t>
        </is>
      </c>
      <c r="E36" s="3" t="inlineStr">
        <is>
          <t>Cái</t>
        </is>
      </c>
      <c r="F36" s="5" t="n">
        <v>128000</v>
      </c>
      <c r="G36" s="5" t="n">
        <v>151000</v>
      </c>
      <c r="H36" s="6" t="n">
        <v>186000</v>
      </c>
      <c r="I36" s="4" t="inlineStr">
        <is>
          <t>Cái 10c/H 200c/T Chuyên cắt đá Granite, Marble, đá trắng sứMua 100c tặng 10c</t>
        </is>
      </c>
    </row>
    <row r="37">
      <c r="A37" s="3" t="n">
        <v>36</v>
      </c>
      <c r="B37" s="3" t="n">
        <v>3</v>
      </c>
      <c r="C37" s="3" t="inlineStr"/>
      <c r="D37" s="4" t="inlineStr">
        <is>
          <t>V3-150DN 150*10*2.0 mmØlỗ 22.2 mm</t>
        </is>
      </c>
      <c r="E37" s="3" t="inlineStr">
        <is>
          <t>Cái</t>
        </is>
      </c>
      <c r="F37" s="5" t="n">
        <v>164000</v>
      </c>
      <c r="G37" s="5" t="n">
        <v>194000</v>
      </c>
      <c r="H37" s="6" t="n">
        <v>238000</v>
      </c>
      <c r="I37" s="4" t="inlineStr">
        <is>
          <t>Cái 100c/T</t>
        </is>
      </c>
    </row>
    <row r="38">
      <c r="A38" s="3" t="n">
        <v>37</v>
      </c>
      <c r="B38" s="3" t="n">
        <v>3</v>
      </c>
      <c r="C38" s="3" t="inlineStr"/>
      <c r="D38" s="4" t="inlineStr">
        <is>
          <t>V3-180DN 180*12*2.0 mmØlỗ 22.2 mm</t>
        </is>
      </c>
      <c r="E38" s="3" t="inlineStr">
        <is>
          <t>Cái</t>
        </is>
      </c>
      <c r="F38" s="5" t="n">
        <v>191000</v>
      </c>
      <c r="G38" s="5" t="n">
        <v>225000</v>
      </c>
      <c r="H38" s="6" t="n">
        <v>277000</v>
      </c>
      <c r="I38" s="4" t="inlineStr">
        <is>
          <t>Cái 50c/T</t>
        </is>
      </c>
    </row>
    <row r="39">
      <c r="A39" s="3" t="n">
        <v>38</v>
      </c>
      <c r="B39" s="3" t="n">
        <v>3</v>
      </c>
      <c r="C39" s="3" t="inlineStr"/>
      <c r="D39" s="4" t="inlineStr"/>
      <c r="E39" s="3" t="inlineStr">
        <is>
          <t>Cái</t>
        </is>
      </c>
      <c r="F39" s="5" t="n">
        <v>269000</v>
      </c>
      <c r="G39" s="5" t="n">
        <v>317000</v>
      </c>
      <c r="H39" s="6" t="n">
        <v>390000</v>
      </c>
      <c r="I39" s="4" t="inlineStr">
        <is>
          <t>Cái 25c/T</t>
        </is>
      </c>
    </row>
    <row r="40">
      <c r="A40" s="3" t="n">
        <v>39</v>
      </c>
      <c r="B40" s="3" t="n">
        <v>3</v>
      </c>
      <c r="C40" s="3" t="inlineStr"/>
      <c r="D40" s="4" t="inlineStr">
        <is>
          <t>S1-105DN 105*10*1.3 mmØlỗ 20/16 mm</t>
        </is>
      </c>
      <c r="E40" s="3" t="inlineStr">
        <is>
          <t>Cái</t>
        </is>
      </c>
      <c r="F40" s="5" t="n">
        <v>60000</v>
      </c>
      <c r="G40" s="5" t="n">
        <v>71000</v>
      </c>
      <c r="H40" s="6" t="n">
        <v>87000</v>
      </c>
      <c r="I40" s="4" t="inlineStr">
        <is>
          <t>Cái 10c/H 200c/T</t>
        </is>
      </c>
    </row>
    <row r="41">
      <c r="A41" s="3" t="n">
        <v>40</v>
      </c>
      <c r="B41" s="3" t="n">
        <v>3</v>
      </c>
      <c r="C41" s="3" t="inlineStr"/>
      <c r="D41" s="4" t="inlineStr">
        <is>
          <t>S1-125DN 125*10*1.6 mmØlỗ 22.2/20 mm</t>
        </is>
      </c>
      <c r="E41" s="3" t="inlineStr">
        <is>
          <t>Cái</t>
        </is>
      </c>
      <c r="F41" s="5" t="n">
        <v>80000</v>
      </c>
      <c r="G41" s="5" t="n">
        <v>94000</v>
      </c>
      <c r="H41" s="6" t="n">
        <v>116000</v>
      </c>
      <c r="I41" s="4" t="inlineStr">
        <is>
          <t>Cái 10c/H 200c/T Chuyên cắt đá Granite,đá trắng sứ, MarbleMua 100c tặng 10c</t>
        </is>
      </c>
    </row>
    <row r="42">
      <c r="A42" s="3" t="n">
        <v>41</v>
      </c>
      <c r="B42" s="3" t="n">
        <v>4</v>
      </c>
      <c r="C42" s="3" t="inlineStr"/>
      <c r="D42" s="4" t="inlineStr">
        <is>
          <t>S2-105DN 105*10*1.3 mmØlỗ 20/16 mm</t>
        </is>
      </c>
      <c r="E42" s="3" t="inlineStr">
        <is>
          <t>Cái</t>
        </is>
      </c>
      <c r="F42" s="5" t="n">
        <v>77000</v>
      </c>
      <c r="G42" s="5" t="n">
        <v>91000</v>
      </c>
      <c r="H42" s="6" t="n">
        <v>112000</v>
      </c>
      <c r="I42" s="4" t="inlineStr">
        <is>
          <t>Cái 10c/H 200c/T</t>
        </is>
      </c>
    </row>
    <row r="43">
      <c r="A43" s="3" t="n">
        <v>42</v>
      </c>
      <c r="B43" s="3" t="n">
        <v>4</v>
      </c>
      <c r="C43" s="3" t="inlineStr"/>
      <c r="D43" s="4" t="inlineStr">
        <is>
          <t>Ølỗ 22.2/20 mm</t>
        </is>
      </c>
      <c r="E43" s="3" t="inlineStr">
        <is>
          <t>Cái</t>
        </is>
      </c>
      <c r="F43" s="5" t="n">
        <v>99000</v>
      </c>
      <c r="G43" s="5" t="n">
        <v>117000</v>
      </c>
      <c r="H43" s="6" t="n">
        <v>144000</v>
      </c>
      <c r="I43" s="4" t="inlineStr">
        <is>
          <t>Cái 10c/H 200c/T</t>
        </is>
      </c>
    </row>
    <row r="44">
      <c r="A44" s="3" t="n">
        <v>43</v>
      </c>
      <c r="B44" s="3" t="n">
        <v>4</v>
      </c>
      <c r="C44" s="3" t="inlineStr"/>
      <c r="D44" s="4" t="inlineStr">
        <is>
          <t>Ølỗ 20/16 mm</t>
        </is>
      </c>
      <c r="E44" s="3" t="inlineStr">
        <is>
          <t>Cái</t>
        </is>
      </c>
      <c r="F44" s="5" t="n">
        <v>99000</v>
      </c>
      <c r="G44" s="5" t="n">
        <v>117000</v>
      </c>
      <c r="H44" s="6" t="n">
        <v>144000</v>
      </c>
      <c r="I44" s="4" t="inlineStr">
        <is>
          <t>Cái 10c/H 200c/T</t>
        </is>
      </c>
    </row>
    <row r="45">
      <c r="A45" s="3" t="n">
        <v>44</v>
      </c>
      <c r="B45" s="3" t="n">
        <v>4</v>
      </c>
      <c r="C45" s="3" t="inlineStr">
        <is>
          <t>16</t>
        </is>
      </c>
      <c r="D45" s="4" t="inlineStr">
        <is>
          <t>S4-105DN 105*10*1.3 mmØlỗ 20/16 mm</t>
        </is>
      </c>
      <c r="E45" s="3" t="inlineStr">
        <is>
          <t>Cái</t>
        </is>
      </c>
      <c r="F45" s="5" t="n">
        <v>125000</v>
      </c>
      <c r="G45" s="5" t="n">
        <v>147000</v>
      </c>
      <c r="H45" s="6" t="n">
        <v>181000</v>
      </c>
      <c r="I45" s="4" t="inlineStr">
        <is>
          <t>Cái 10c/H 200c/T</t>
        </is>
      </c>
    </row>
    <row r="46">
      <c r="A46" s="3" t="n">
        <v>45</v>
      </c>
      <c r="B46" s="3" t="n">
        <v>4</v>
      </c>
      <c r="C46" s="3" t="inlineStr">
        <is>
          <t>17</t>
        </is>
      </c>
      <c r="D46" s="4" t="inlineStr">
        <is>
          <t>S4-125DN 125*10*1.8 mmØlỗ 22.2/20 mm</t>
        </is>
      </c>
      <c r="E46" s="3" t="inlineStr">
        <is>
          <t>Cái</t>
        </is>
      </c>
      <c r="F46" s="5" t="n">
        <v>150000</v>
      </c>
      <c r="G46" s="5" t="n">
        <v>177000</v>
      </c>
      <c r="H46" s="6" t="n">
        <v>218000</v>
      </c>
      <c r="I46" s="4" t="inlineStr">
        <is>
          <t>Cái 10c/Lốc 200c/T</t>
        </is>
      </c>
    </row>
    <row r="47">
      <c r="A47" s="3" t="n">
        <v>46</v>
      </c>
      <c r="B47" s="3" t="n">
        <v>4</v>
      </c>
      <c r="C47" s="3" t="inlineStr">
        <is>
          <t>18</t>
        </is>
      </c>
      <c r="D47" s="4" t="inlineStr">
        <is>
          <t>S4-150DN 150*10*2.0 mmØlỗ 22.2 mm</t>
        </is>
      </c>
      <c r="E47" s="3" t="inlineStr">
        <is>
          <t>Cái</t>
        </is>
      </c>
      <c r="F47" s="5" t="n">
        <v>180000</v>
      </c>
      <c r="G47" s="5" t="n">
        <v>212000</v>
      </c>
      <c r="H47" s="6" t="n">
        <v>261000</v>
      </c>
      <c r="I47" s="4" t="inlineStr">
        <is>
          <t>Cái 10c/Lốc 200c/T Mua 50c tặng 5c</t>
        </is>
      </c>
    </row>
    <row r="48">
      <c r="A48" s="3" t="n">
        <v>47</v>
      </c>
      <c r="B48" s="3" t="n">
        <v>4</v>
      </c>
      <c r="C48" s="3" t="inlineStr">
        <is>
          <t>19</t>
        </is>
      </c>
      <c r="D48" s="4" t="inlineStr">
        <is>
          <t>F1-110DN 110*10*1.4 mmØlỗ 20/16 mm</t>
        </is>
      </c>
      <c r="E48" s="3" t="inlineStr">
        <is>
          <t>Cái</t>
        </is>
      </c>
      <c r="F48" s="5" t="n">
        <v>92000</v>
      </c>
      <c r="G48" s="5" t="n">
        <v>108000</v>
      </c>
      <c r="H48" s="6" t="n">
        <v>133000</v>
      </c>
      <c r="I48" s="4" t="inlineStr">
        <is>
          <t>Cái 10c/Lốc 200c/T</t>
        </is>
      </c>
    </row>
    <row r="49">
      <c r="A49" s="3" t="n">
        <v>48</v>
      </c>
      <c r="B49" s="3" t="n">
        <v>4</v>
      </c>
      <c r="C49" s="3" t="inlineStr">
        <is>
          <t>20</t>
        </is>
      </c>
      <c r="D49" s="4" t="inlineStr">
        <is>
          <t>F1-125DN 125*10*1.8 mmØlỗ 22.2/20 mm</t>
        </is>
      </c>
      <c r="E49" s="3" t="inlineStr">
        <is>
          <t>Cái</t>
        </is>
      </c>
      <c r="F49" s="5" t="n">
        <v>107000</v>
      </c>
      <c r="G49" s="5" t="n">
        <v>126000</v>
      </c>
      <c r="H49" s="6" t="n">
        <v>155000</v>
      </c>
      <c r="I49" s="4" t="inlineStr">
        <is>
          <t>Cái 10c/H 200c/T</t>
        </is>
      </c>
    </row>
    <row r="50">
      <c r="A50" s="3" t="n">
        <v>49</v>
      </c>
      <c r="B50" s="3" t="n">
        <v>4</v>
      </c>
      <c r="C50" s="3" t="inlineStr">
        <is>
          <t>21</t>
        </is>
      </c>
      <c r="D50" s="4" t="inlineStr">
        <is>
          <t>F1-150DN 150*10*2.0 mmØlỗ 22.2 mm</t>
        </is>
      </c>
      <c r="E50" s="3" t="inlineStr">
        <is>
          <t>Cái</t>
        </is>
      </c>
      <c r="F50" s="5" t="n">
        <v>141000</v>
      </c>
      <c r="G50" s="5" t="n">
        <v>167000</v>
      </c>
      <c r="H50" s="6" t="n">
        <v>205000</v>
      </c>
      <c r="I50" s="4" t="inlineStr">
        <is>
          <t>Cái 100c/T</t>
        </is>
      </c>
    </row>
    <row r="51">
      <c r="A51" s="3" t="n">
        <v>50</v>
      </c>
      <c r="B51" s="3" t="n">
        <v>4</v>
      </c>
      <c r="C51" s="3" t="inlineStr">
        <is>
          <t>22</t>
        </is>
      </c>
      <c r="D51" s="4" t="inlineStr">
        <is>
          <t>F1-180DN 180*12*2.0 mmØlỗ 22.2 mm</t>
        </is>
      </c>
      <c r="E51" s="3" t="inlineStr">
        <is>
          <t>Cái</t>
        </is>
      </c>
      <c r="F51" s="5" t="n">
        <v>169000</v>
      </c>
      <c r="G51" s="5" t="n">
        <v>199000</v>
      </c>
      <c r="H51" s="6" t="n">
        <v>245000</v>
      </c>
      <c r="I51" s="4" t="inlineStr">
        <is>
          <t>Cái 50c/T</t>
        </is>
      </c>
    </row>
    <row r="52">
      <c r="A52" s="3" t="n">
        <v>51</v>
      </c>
      <c r="B52" s="3" t="n">
        <v>4</v>
      </c>
      <c r="C52" s="3" t="inlineStr"/>
      <c r="D52" s="4" t="inlineStr">
        <is>
          <t>G1-156R 156*15*2.5mmØlỗ 22.2mm</t>
        </is>
      </c>
      <c r="E52" s="3" t="inlineStr">
        <is>
          <t>Cái</t>
        </is>
      </c>
      <c r="F52" s="5" t="n">
        <v>125000</v>
      </c>
      <c r="G52" s="5" t="n">
        <v>147000</v>
      </c>
      <c r="H52" s="6" t="n">
        <v>181000</v>
      </c>
      <c r="I52" s="4" t="inlineStr">
        <is>
          <t>Cái 100c/T</t>
        </is>
      </c>
    </row>
    <row r="53">
      <c r="A53" s="3" t="n">
        <v>52</v>
      </c>
      <c r="B53" s="3" t="n">
        <v>4</v>
      </c>
      <c r="C53" s="3" t="inlineStr">
        <is>
          <t>2</t>
        </is>
      </c>
      <c r="D53" s="4" t="inlineStr">
        <is>
          <t>G1-133R 133*15*2.4mmØlỗ 22.2/20 mm</t>
        </is>
      </c>
      <c r="E53" s="3" t="inlineStr">
        <is>
          <t>Cái</t>
        </is>
      </c>
      <c r="F53" s="5" t="n">
        <v>92000</v>
      </c>
      <c r="G53" s="5" t="n">
        <v>108000</v>
      </c>
      <c r="H53" s="6" t="n">
        <v>133000</v>
      </c>
      <c r="I53" s="4" t="inlineStr">
        <is>
          <t>Cái 100c/T Chuyên cắt tường, bê tông.Mua 100c tặng 10c</t>
        </is>
      </c>
    </row>
    <row r="54">
      <c r="A54" s="3" t="n">
        <v>53</v>
      </c>
      <c r="B54" s="3" t="n">
        <v>4</v>
      </c>
      <c r="C54" s="3" t="inlineStr">
        <is>
          <t>3</t>
        </is>
      </c>
      <c r="D54" s="4" t="inlineStr">
        <is>
          <t>G1-125R 125*15*2.4mmØlỗ 22.2/20 mm</t>
        </is>
      </c>
      <c r="E54" s="3" t="inlineStr">
        <is>
          <t>Cái</t>
        </is>
      </c>
      <c r="F54" s="5" t="n">
        <v>83000</v>
      </c>
      <c r="G54" s="5" t="n">
        <v>98000</v>
      </c>
      <c r="H54" s="6" t="n">
        <v>120000</v>
      </c>
      <c r="I54" s="4" t="inlineStr">
        <is>
          <t>Cái 200c/T Chuyên cắt tường, bê tông.</t>
        </is>
      </c>
    </row>
    <row r="55">
      <c r="A55" s="3" t="n">
        <v>54</v>
      </c>
      <c r="B55" s="3" t="n">
        <v>4</v>
      </c>
      <c r="C55" s="3" t="inlineStr">
        <is>
          <t>4</t>
        </is>
      </c>
      <c r="D55" s="4" t="inlineStr">
        <is>
          <t>G1-350R 14 inch (350*12*3.2*50)</t>
        </is>
      </c>
      <c r="E55" s="3" t="inlineStr">
        <is>
          <t>Cái</t>
        </is>
      </c>
      <c r="F55" s="5" t="n">
        <v>551000</v>
      </c>
      <c r="G55" s="5" t="n">
        <v>650000</v>
      </c>
      <c r="H55" s="6" t="n">
        <v>799000</v>
      </c>
      <c r="I55" s="4" t="inlineStr">
        <is>
          <t>Cái 10c/T Chuyên cắt tường, bê tông</t>
        </is>
      </c>
    </row>
    <row r="56">
      <c r="A56" s="3" t="n">
        <v>55</v>
      </c>
      <c r="B56" s="3" t="n">
        <v>5</v>
      </c>
      <c r="C56" s="3" t="inlineStr">
        <is>
          <t>5</t>
        </is>
      </c>
      <c r="D56" s="4" t="inlineStr">
        <is>
          <t>Lưỡi cắt KingblueG1 G1-400R 16 inch (400*12*3.6*50)</t>
        </is>
      </c>
      <c r="E56" s="3" t="inlineStr">
        <is>
          <t>Cái</t>
        </is>
      </c>
      <c r="F56" s="5" t="n">
        <v>796000</v>
      </c>
      <c r="G56" s="5" t="n">
        <v>939000</v>
      </c>
      <c r="H56" s="6" t="n">
        <v>1154000</v>
      </c>
      <c r="I56" s="4" t="inlineStr">
        <is>
          <t>Cái 10c/T Chuyên cắt tường, bê tông</t>
        </is>
      </c>
    </row>
    <row r="57">
      <c r="A57" s="3" t="n">
        <v>56</v>
      </c>
      <c r="B57" s="3" t="n">
        <v>5</v>
      </c>
      <c r="C57" s="3" t="inlineStr">
        <is>
          <t>6</t>
        </is>
      </c>
      <c r="D57" s="4" t="inlineStr">
        <is>
          <t>G3-300R 300*12*3.2mmØlỗ 25.4mm</t>
        </is>
      </c>
      <c r="E57" s="3" t="inlineStr">
        <is>
          <t>Cái</t>
        </is>
      </c>
      <c r="F57" s="5" t="n">
        <v>943000</v>
      </c>
      <c r="G57" s="5" t="n">
        <v>1113000</v>
      </c>
      <c r="H57" s="6" t="n">
        <v>1367000</v>
      </c>
      <c r="I57" s="4" t="inlineStr">
        <is>
          <t>Cái 10c/T</t>
        </is>
      </c>
    </row>
    <row r="58">
      <c r="A58" s="3" t="n">
        <v>57</v>
      </c>
      <c r="B58" s="3" t="n">
        <v>5</v>
      </c>
      <c r="C58" s="3" t="inlineStr">
        <is>
          <t>7</t>
        </is>
      </c>
      <c r="D58" s="4" t="inlineStr">
        <is>
          <t>G3-300RX50 300*12*3.2mmØlỗ 50mm</t>
        </is>
      </c>
      <c r="E58" s="3" t="inlineStr">
        <is>
          <t>Cái</t>
        </is>
      </c>
      <c r="F58" s="5" t="n">
        <v>943000</v>
      </c>
      <c r="G58" s="5" t="n">
        <v>1113000</v>
      </c>
      <c r="H58" s="6" t="n">
        <v>1367000</v>
      </c>
      <c r="I58" s="4" t="inlineStr">
        <is>
          <t>Cái 10c/T</t>
        </is>
      </c>
    </row>
    <row r="59">
      <c r="A59" s="3" t="n">
        <v>58</v>
      </c>
      <c r="B59" s="3" t="n">
        <v>5</v>
      </c>
      <c r="C59" s="3" t="inlineStr">
        <is>
          <t>8</t>
        </is>
      </c>
      <c r="D59" s="4" t="inlineStr">
        <is>
          <t>G3-450R 450*12*4.0mmØlỗ 50mm</t>
        </is>
      </c>
      <c r="E59" s="3" t="inlineStr">
        <is>
          <t>Cái</t>
        </is>
      </c>
      <c r="F59" s="5" t="n">
        <v>2014000</v>
      </c>
      <c r="G59" s="5" t="n">
        <v>2376000</v>
      </c>
      <c r="H59" s="6" t="n">
        <v>2920000</v>
      </c>
      <c r="I59" s="4" t="inlineStr">
        <is>
          <t>Cái 5c/T</t>
        </is>
      </c>
    </row>
    <row r="60">
      <c r="A60" s="3" t="n">
        <v>59</v>
      </c>
      <c r="B60" s="3" t="n">
        <v>5</v>
      </c>
      <c r="C60" s="3" t="inlineStr">
        <is>
          <t>9</t>
        </is>
      </c>
      <c r="D60" s="4" t="inlineStr">
        <is>
          <t>G3-500R 500*12*4.0mmØlỗ 25.4mm</t>
        </is>
      </c>
      <c r="E60" s="3" t="inlineStr">
        <is>
          <t>Cái</t>
        </is>
      </c>
      <c r="F60" s="5" t="n">
        <v>2468000</v>
      </c>
      <c r="G60" s="5" t="n">
        <v>2912000</v>
      </c>
      <c r="H60" s="6" t="n">
        <v>3579000</v>
      </c>
      <c r="I60" s="4" t="inlineStr">
        <is>
          <t>Cái 5c/T</t>
        </is>
      </c>
    </row>
    <row r="61">
      <c r="A61" s="3" t="n">
        <v>60</v>
      </c>
      <c r="B61" s="3" t="n">
        <v>5</v>
      </c>
      <c r="C61" s="3" t="inlineStr">
        <is>
          <t>10</t>
        </is>
      </c>
      <c r="D61" s="4" t="inlineStr">
        <is>
          <t>G3-600R 600*12*4.6mmØlỗ 50mm</t>
        </is>
      </c>
      <c r="E61" s="3" t="inlineStr">
        <is>
          <t>Cái</t>
        </is>
      </c>
      <c r="F61" s="5" t="n">
        <v>3061000</v>
      </c>
      <c r="G61" s="5" t="n">
        <v>3612000</v>
      </c>
      <c r="H61" s="6" t="n">
        <v>4439000</v>
      </c>
      <c r="I61" s="4" t="inlineStr">
        <is>
          <t>Cái 5c/T</t>
        </is>
      </c>
    </row>
    <row r="62">
      <c r="A62" s="3" t="n">
        <v>61</v>
      </c>
      <c r="B62" s="3" t="n">
        <v>5</v>
      </c>
      <c r="C62" s="3" t="inlineStr"/>
      <c r="D62" s="4" t="inlineStr">
        <is>
          <t>Ølỗ 20/16mm</t>
        </is>
      </c>
      <c r="E62" s="3" t="inlineStr">
        <is>
          <t>Cái</t>
        </is>
      </c>
      <c r="F62" s="5" t="n">
        <v>83000</v>
      </c>
      <c r="G62" s="5" t="n">
        <v>98000</v>
      </c>
      <c r="H62" s="6" t="n">
        <v>120000</v>
      </c>
      <c r="I62" s="4" t="inlineStr">
        <is>
          <t>Cái 10c/H 200c/T Chuyên cắt gạch bóng kính , đá marble</t>
        </is>
      </c>
    </row>
    <row r="63">
      <c r="A63" s="3" t="n">
        <v>62</v>
      </c>
      <c r="B63" s="3" t="n">
        <v>5</v>
      </c>
      <c r="C63" s="3" t="inlineStr"/>
      <c r="D63" s="4" t="inlineStr">
        <is>
          <t>Ølỗ 20/16mm</t>
        </is>
      </c>
      <c r="E63" s="3" t="inlineStr">
        <is>
          <t>Cái</t>
        </is>
      </c>
      <c r="F63" s="5" t="n">
        <v>90000</v>
      </c>
      <c r="G63" s="5" t="n">
        <v>106000</v>
      </c>
      <c r="H63" s="6" t="n">
        <v>131000</v>
      </c>
      <c r="I63" s="4" t="inlineStr">
        <is>
          <t>Cái 10c/H 200c/T</t>
        </is>
      </c>
    </row>
    <row r="64">
      <c r="A64" s="3" t="n">
        <v>63</v>
      </c>
      <c r="B64" s="3" t="n">
        <v>5</v>
      </c>
      <c r="C64" s="3" t="inlineStr">
        <is>
          <t>2</t>
        </is>
      </c>
      <c r="D64" s="4" t="inlineStr">
        <is>
          <t>C2-305R 305*8*2.4mmØlỗ 50mm</t>
        </is>
      </c>
      <c r="E64" s="3" t="inlineStr">
        <is>
          <t>Cái</t>
        </is>
      </c>
      <c r="F64" s="5" t="n">
        <v>973000</v>
      </c>
      <c r="G64" s="5" t="n">
        <v>1148000</v>
      </c>
      <c r="H64" s="6" t="n">
        <v>1411000</v>
      </c>
      <c r="I64" s="4" t="inlineStr">
        <is>
          <t>Cái 1c/H 10c/T Chuyên cắt đá Marble,trắng sứMua 20c tặng 2c</t>
        </is>
      </c>
    </row>
    <row r="65">
      <c r="A65" s="3" t="n">
        <v>64</v>
      </c>
      <c r="B65" s="3" t="n">
        <v>5</v>
      </c>
      <c r="C65" s="3" t="inlineStr">
        <is>
          <t>3</t>
        </is>
      </c>
      <c r="D65" s="4" t="inlineStr">
        <is>
          <t>C2-350R-NEW 350*8*3.0mmØlỗ 50mm</t>
        </is>
      </c>
      <c r="E65" s="3" t="inlineStr">
        <is>
          <t>Cái</t>
        </is>
      </c>
      <c r="F65" s="5" t="n">
        <v>1233000</v>
      </c>
      <c r="G65" s="5" t="n">
        <v>1455000</v>
      </c>
      <c r="H65" s="6" t="n">
        <v>1788000</v>
      </c>
      <c r="I65" s="4" t="inlineStr">
        <is>
          <t>Cái 1c/H 10c/T</t>
        </is>
      </c>
    </row>
    <row r="66">
      <c r="A66" s="3" t="n">
        <v>65</v>
      </c>
      <c r="B66" s="3" t="n">
        <v>5</v>
      </c>
      <c r="C66" s="3" t="inlineStr">
        <is>
          <t>4</t>
        </is>
      </c>
      <c r="D66" s="4" t="inlineStr">
        <is>
          <t>C2-400R 400*8*3.0mmØlỗ 50mm</t>
        </is>
      </c>
      <c r="E66" s="3" t="inlineStr">
        <is>
          <t>Cái</t>
        </is>
      </c>
      <c r="F66" s="5" t="n">
        <v>1623000</v>
      </c>
      <c r="G66" s="5" t="n">
        <v>1915000</v>
      </c>
      <c r="H66" s="6" t="n">
        <v>2353000</v>
      </c>
      <c r="I66" s="4" t="inlineStr">
        <is>
          <t>Cái 10c/T</t>
        </is>
      </c>
    </row>
    <row r="67">
      <c r="A67" s="3" t="n">
        <v>66</v>
      </c>
      <c r="B67" s="3" t="n">
        <v>5</v>
      </c>
      <c r="C67" s="3" t="inlineStr">
        <is>
          <t>5</t>
        </is>
      </c>
      <c r="D67" s="4" t="inlineStr">
        <is>
          <t>C3-120R 120*12*1.8mmØlỗ 20mm</t>
        </is>
      </c>
      <c r="E67" s="3" t="inlineStr">
        <is>
          <t>Cái</t>
        </is>
      </c>
      <c r="F67" s="5" t="n">
        <v>99000</v>
      </c>
      <c r="G67" s="5" t="n">
        <v>117000</v>
      </c>
      <c r="H67" s="6" t="n">
        <v>144000</v>
      </c>
      <c r="I67" s="4" t="inlineStr">
        <is>
          <t>Cái 200c/T</t>
        </is>
      </c>
    </row>
    <row r="68">
      <c r="A68" s="3" t="n">
        <v>67</v>
      </c>
      <c r="B68" s="3" t="n">
        <v>5</v>
      </c>
      <c r="C68" s="3" t="inlineStr">
        <is>
          <t>6</t>
        </is>
      </c>
      <c r="D68" s="4" t="inlineStr">
        <is>
          <t>C3-130R 130*12*1.8mmØlỗ 20mm</t>
        </is>
      </c>
      <c r="E68" s="3" t="inlineStr">
        <is>
          <t>Cái</t>
        </is>
      </c>
      <c r="F68" s="5" t="n">
        <v>102000</v>
      </c>
      <c r="G68" s="5" t="n">
        <v>120000</v>
      </c>
      <c r="H68" s="6" t="n">
        <v>148000</v>
      </c>
      <c r="I68" s="4" t="inlineStr">
        <is>
          <t>Cái 200c/T</t>
        </is>
      </c>
    </row>
    <row r="69">
      <c r="A69" s="3" t="n">
        <v>68</v>
      </c>
      <c r="B69" s="3" t="n">
        <v>5</v>
      </c>
      <c r="C69" s="3" t="inlineStr">
        <is>
          <t>7</t>
        </is>
      </c>
      <c r="D69" s="4" t="inlineStr">
        <is>
          <t>C3-150R 150*12*1.8mmØlỗ 20mm</t>
        </is>
      </c>
      <c r="E69" s="3" t="inlineStr">
        <is>
          <t>Cái</t>
        </is>
      </c>
      <c r="F69" s="5" t="n">
        <v>139000</v>
      </c>
      <c r="G69" s="5" t="n">
        <v>164000</v>
      </c>
      <c r="H69" s="6" t="n">
        <v>202000</v>
      </c>
      <c r="I69" s="4" t="inlineStr">
        <is>
          <t>Cái 100c/T</t>
        </is>
      </c>
    </row>
    <row r="70">
      <c r="A70" s="3" t="n">
        <v>69</v>
      </c>
      <c r="B70" s="3" t="n">
        <v>5</v>
      </c>
      <c r="C70" s="3" t="inlineStr">
        <is>
          <t>8</t>
        </is>
      </c>
      <c r="D70" s="4" t="inlineStr">
        <is>
          <t>C3-180Rx25.4 180*12*1.8mmØlỗ 25.4mm</t>
        </is>
      </c>
      <c r="E70" s="3" t="inlineStr">
        <is>
          <t>Cái</t>
        </is>
      </c>
      <c r="F70" s="5" t="n">
        <v>265000</v>
      </c>
      <c r="G70" s="5" t="n">
        <v>313000</v>
      </c>
      <c r="H70" s="6" t="n">
        <v>384000</v>
      </c>
      <c r="I70" s="4" t="inlineStr">
        <is>
          <t>Cái 50c/T</t>
        </is>
      </c>
    </row>
    <row r="71">
      <c r="A71" s="3" t="n">
        <v>70</v>
      </c>
      <c r="B71" s="3" t="n">
        <v>5</v>
      </c>
      <c r="C71" s="3" t="inlineStr">
        <is>
          <t>9</t>
        </is>
      </c>
      <c r="D71" s="4" t="inlineStr">
        <is>
          <t>C3-180Rx60 180*12*1.8mmØlỗ 60mm</t>
        </is>
      </c>
      <c r="E71" s="3" t="inlineStr">
        <is>
          <t>Cái</t>
        </is>
      </c>
      <c r="F71" s="5" t="n">
        <v>265000</v>
      </c>
      <c r="G71" s="5" t="n">
        <v>313000</v>
      </c>
      <c r="H71" s="6" t="n">
        <v>384000</v>
      </c>
      <c r="I71" s="4" t="inlineStr">
        <is>
          <t>Cái 50c/T</t>
        </is>
      </c>
    </row>
    <row r="72">
      <c r="A72" s="3" t="n">
        <v>71</v>
      </c>
      <c r="B72" s="3" t="n">
        <v>5</v>
      </c>
      <c r="C72" s="3" t="inlineStr">
        <is>
          <t>10</t>
        </is>
      </c>
      <c r="D72" s="4" t="inlineStr">
        <is>
          <t>C3-200R 120*12*1.8mmØlỗ 20mm</t>
        </is>
      </c>
      <c r="E72" s="3" t="inlineStr">
        <is>
          <t>Cái</t>
        </is>
      </c>
      <c r="F72" s="5" t="n">
        <v>578000</v>
      </c>
      <c r="G72" s="5" t="n">
        <v>682000</v>
      </c>
      <c r="H72" s="6" t="n">
        <v>838000</v>
      </c>
      <c r="I72" s="4" t="inlineStr">
        <is>
          <t>Cái 40c/T Mua 20c tặng 2c</t>
        </is>
      </c>
    </row>
    <row r="73">
      <c r="A73" s="3" t="n">
        <v>72</v>
      </c>
      <c r="B73" s="3" t="n">
        <v>5</v>
      </c>
      <c r="C73" s="3" t="inlineStr">
        <is>
          <t>11</t>
        </is>
      </c>
      <c r="D73" s="4" t="inlineStr">
        <is>
          <t>C3-230R 230*10*1.8mmØlỗ 25.4mm</t>
        </is>
      </c>
      <c r="E73" s="3" t="inlineStr">
        <is>
          <t>Cái</t>
        </is>
      </c>
      <c r="F73" s="5" t="n">
        <v>679000</v>
      </c>
      <c r="G73" s="5" t="n">
        <v>801000</v>
      </c>
      <c r="H73" s="6" t="n">
        <v>985000</v>
      </c>
      <c r="I73" s="4" t="inlineStr">
        <is>
          <t>Cái 25c/T</t>
        </is>
      </c>
    </row>
    <row r="74">
      <c r="A74" s="3" t="n">
        <v>73</v>
      </c>
      <c r="B74" s="3" t="n">
        <v>5</v>
      </c>
      <c r="C74" s="3" t="inlineStr">
        <is>
          <t>12</t>
        </is>
      </c>
      <c r="D74" s="4" t="inlineStr">
        <is>
          <t>C3-250R 250*10*2.0mmØlỗ 60mm</t>
        </is>
      </c>
      <c r="E74" s="3" t="inlineStr">
        <is>
          <t>Cái</t>
        </is>
      </c>
      <c r="F74" s="5" t="n">
        <v>902000</v>
      </c>
      <c r="G74" s="5" t="n">
        <v>1064000</v>
      </c>
      <c r="H74" s="6" t="n">
        <v>1308000</v>
      </c>
      <c r="I74" s="4" t="inlineStr">
        <is>
          <t>Cái 40c/T</t>
        </is>
      </c>
    </row>
    <row r="75">
      <c r="A75" s="3" t="n">
        <v>74</v>
      </c>
      <c r="B75" s="3" t="n">
        <v>5</v>
      </c>
      <c r="C75" s="3" t="inlineStr">
        <is>
          <t>13</t>
        </is>
      </c>
      <c r="D75" s="4" t="inlineStr">
        <is>
          <t>C3-300R 300*10*2.2mmØlỗ 60mm</t>
        </is>
      </c>
      <c r="E75" s="3" t="inlineStr">
        <is>
          <t>Cái</t>
        </is>
      </c>
      <c r="F75" s="5" t="n">
        <v>1233000</v>
      </c>
      <c r="G75" s="5" t="n">
        <v>1455000</v>
      </c>
      <c r="H75" s="6" t="n">
        <v>1788000</v>
      </c>
      <c r="I75" s="4" t="inlineStr">
        <is>
          <t>Cái 20c/T</t>
        </is>
      </c>
    </row>
    <row r="76">
      <c r="A76" s="3" t="n">
        <v>75</v>
      </c>
      <c r="B76" s="3" t="n">
        <v>6</v>
      </c>
      <c r="C76" s="3" t="inlineStr"/>
      <c r="D76" s="4" t="inlineStr">
        <is>
          <t>GT-110R 110*12*1.9mmØlỗ 20/16mm</t>
        </is>
      </c>
      <c r="E76" s="3" t="inlineStr">
        <is>
          <t>Cái</t>
        </is>
      </c>
      <c r="F76" s="5" t="n">
        <v>68000</v>
      </c>
      <c r="G76" s="5" t="n">
        <v>80000</v>
      </c>
      <c r="H76" s="6" t="n">
        <v>99000</v>
      </c>
      <c r="I76" s="4" t="inlineStr">
        <is>
          <t>Cái 10c/H 200c/T Chuyên cắt đá Granite, bê tôngMua 100c tặng 10c</t>
        </is>
      </c>
    </row>
    <row r="77">
      <c r="A77" s="3" t="n">
        <v>76</v>
      </c>
      <c r="B77" s="3" t="n">
        <v>6</v>
      </c>
      <c r="C77" s="3" t="inlineStr"/>
      <c r="D77" s="4" t="inlineStr">
        <is>
          <t>GT-110L 110*12*1.9mmØlỗ 20/16mm</t>
        </is>
      </c>
      <c r="E77" s="3" t="inlineStr">
        <is>
          <t>Cái</t>
        </is>
      </c>
      <c r="F77" s="5" t="n">
        <v>68000</v>
      </c>
      <c r="G77" s="5" t="n">
        <v>80000</v>
      </c>
      <c r="H77" s="6" t="n">
        <v>99000</v>
      </c>
      <c r="I77" s="4" t="inlineStr">
        <is>
          <t>Cái 10c/H 200c/T Chuyên cắt đá Granite, bê tôngMua 100c tặng 10c</t>
        </is>
      </c>
    </row>
    <row r="78">
      <c r="A78" s="3" t="n">
        <v>77</v>
      </c>
      <c r="B78" s="3" t="n">
        <v>6</v>
      </c>
      <c r="C78" s="3" t="inlineStr"/>
      <c r="D78" s="4" t="inlineStr">
        <is>
          <t>TS-110L 110*12*2.0mmØlỗ 20/16mm</t>
        </is>
      </c>
      <c r="E78" s="3" t="inlineStr">
        <is>
          <t>Cái</t>
        </is>
      </c>
      <c r="F78" s="5" t="n">
        <v>53000</v>
      </c>
      <c r="G78" s="5" t="n">
        <v>63000</v>
      </c>
      <c r="H78" s="6" t="n">
        <v>77000</v>
      </c>
      <c r="I78" s="4" t="inlineStr">
        <is>
          <t>Cái 10c/H 200c/T</t>
        </is>
      </c>
    </row>
    <row r="79">
      <c r="A79" s="3" t="n">
        <v>78</v>
      </c>
      <c r="B79" s="3" t="n">
        <v>6</v>
      </c>
      <c r="C79" s="3" t="inlineStr">
        <is>
          <t>4</t>
        </is>
      </c>
      <c r="D79" s="4" t="inlineStr">
        <is>
          <t>TS-114R 114*12*2.0mmØlỗ 20/16mm</t>
        </is>
      </c>
      <c r="E79" s="3" t="inlineStr">
        <is>
          <t>Cái</t>
        </is>
      </c>
      <c r="F79" s="5" t="n">
        <v>53000</v>
      </c>
      <c r="G79" s="5" t="n">
        <v>63000</v>
      </c>
      <c r="H79" s="6" t="n">
        <v>77000</v>
      </c>
      <c r="I79" s="4" t="inlineStr">
        <is>
          <t>Cái 10c/H 200c/T Chuyên cắt đá Granite, bê tôngMua 100c tặng 10c</t>
        </is>
      </c>
    </row>
    <row r="80">
      <c r="A80" s="3" t="n">
        <v>79</v>
      </c>
      <c r="B80" s="3" t="n">
        <v>6</v>
      </c>
      <c r="C80" s="3" t="inlineStr">
        <is>
          <t>5</t>
        </is>
      </c>
      <c r="D80" s="4" t="inlineStr">
        <is>
          <t>TS-114L 114*12*2.0mmØlỗ 20/16mm</t>
        </is>
      </c>
      <c r="E80" s="3" t="inlineStr">
        <is>
          <t>Cái</t>
        </is>
      </c>
      <c r="F80" s="5" t="n">
        <v>53000</v>
      </c>
      <c r="G80" s="5" t="n">
        <v>63000</v>
      </c>
      <c r="H80" s="6" t="n">
        <v>77000</v>
      </c>
      <c r="I80" s="4" t="inlineStr">
        <is>
          <t>Cái 10c/H 200c/T Chuyên cắt đá Granite, bê tôngMua 100c tặng 10c</t>
        </is>
      </c>
    </row>
    <row r="81">
      <c r="A81" s="3" t="n">
        <v>80</v>
      </c>
      <c r="B81" s="3" t="n">
        <v>6</v>
      </c>
      <c r="C81" s="3" t="inlineStr">
        <is>
          <t>6</t>
        </is>
      </c>
      <c r="D81" s="4" t="inlineStr">
        <is>
          <t>TS-125R (KB) 125*12*2.0mmØlỗ 22.2/20mm</t>
        </is>
      </c>
      <c r="E81" s="3" t="inlineStr">
        <is>
          <t>Cái</t>
        </is>
      </c>
      <c r="F81" s="5" t="n">
        <v>74000</v>
      </c>
      <c r="G81" s="5" t="n">
        <v>87000</v>
      </c>
      <c r="H81" s="6" t="n">
        <v>107000</v>
      </c>
      <c r="I81" s="4" t="inlineStr">
        <is>
          <t>Cái 10c/H 200c/T</t>
        </is>
      </c>
    </row>
    <row r="82">
      <c r="A82" s="3" t="n">
        <v>81</v>
      </c>
      <c r="B82" s="3" t="n">
        <v>6</v>
      </c>
      <c r="C82" s="3" t="inlineStr">
        <is>
          <t>7</t>
        </is>
      </c>
      <c r="D82" s="4" t="inlineStr">
        <is>
          <t>TS-125L 125*12*2.0mmØlỗ 22.2/20mm</t>
        </is>
      </c>
      <c r="E82" s="3" t="inlineStr">
        <is>
          <t>Cái</t>
        </is>
      </c>
      <c r="F82" s="5" t="n">
        <v>74000</v>
      </c>
      <c r="G82" s="5" t="n">
        <v>87000</v>
      </c>
      <c r="H82" s="6" t="n">
        <v>107000</v>
      </c>
      <c r="I82" s="4" t="inlineStr">
        <is>
          <t>Cái 10c/H 200c/T</t>
        </is>
      </c>
    </row>
    <row r="83">
      <c r="A83" s="3" t="n">
        <v>82</v>
      </c>
      <c r="B83" s="3" t="n">
        <v>6</v>
      </c>
      <c r="C83" s="3" t="inlineStr">
        <is>
          <t>8</t>
        </is>
      </c>
      <c r="D83" s="4" t="inlineStr">
        <is>
          <t>TS-150R 150*12*2.2mmØlỗ 22.2mm</t>
        </is>
      </c>
      <c r="E83" s="3" t="inlineStr">
        <is>
          <t>Cái</t>
        </is>
      </c>
      <c r="F83" s="5" t="n">
        <v>96000</v>
      </c>
      <c r="G83" s="5" t="n">
        <v>113000</v>
      </c>
      <c r="H83" s="6" t="n">
        <v>139000</v>
      </c>
      <c r="I83" s="4" t="inlineStr">
        <is>
          <t>Cái 10c/H 100c/T</t>
        </is>
      </c>
    </row>
    <row r="84">
      <c r="A84" s="3" t="n">
        <v>83</v>
      </c>
      <c r="B84" s="3" t="n">
        <v>6</v>
      </c>
      <c r="C84" s="3" t="inlineStr">
        <is>
          <t>9</t>
        </is>
      </c>
      <c r="D84" s="4" t="inlineStr">
        <is>
          <t>TS-150L 150*12*2.2mmØlỗ 22.2mm</t>
        </is>
      </c>
      <c r="E84" s="3" t="inlineStr">
        <is>
          <t>Cái</t>
        </is>
      </c>
      <c r="F84" s="5" t="n">
        <v>96000</v>
      </c>
      <c r="G84" s="5" t="n">
        <v>113000</v>
      </c>
      <c r="H84" s="6" t="n">
        <v>139000</v>
      </c>
      <c r="I84" s="4" t="inlineStr">
        <is>
          <t>Cái 10c/H 100c/T</t>
        </is>
      </c>
    </row>
    <row r="85">
      <c r="A85" s="3" t="n">
        <v>84</v>
      </c>
      <c r="B85" s="3" t="n">
        <v>6</v>
      </c>
      <c r="C85" s="3" t="inlineStr">
        <is>
          <t>10</t>
        </is>
      </c>
      <c r="D85" s="4" t="inlineStr">
        <is>
          <t>TS-180R 180*12*2.2mmØlỗ 22.2mm</t>
        </is>
      </c>
      <c r="E85" s="3" t="inlineStr">
        <is>
          <t>Cái</t>
        </is>
      </c>
      <c r="F85" s="5" t="n">
        <v>110000</v>
      </c>
      <c r="G85" s="5" t="n">
        <v>130000</v>
      </c>
      <c r="H85" s="6" t="n">
        <v>160000</v>
      </c>
      <c r="I85" s="4" t="inlineStr">
        <is>
          <t>Cái 10c/H 50c/T</t>
        </is>
      </c>
    </row>
    <row r="86">
      <c r="A86" s="3" t="n">
        <v>85</v>
      </c>
      <c r="B86" s="3" t="n">
        <v>6</v>
      </c>
      <c r="C86" s="3" t="inlineStr">
        <is>
          <t>11</t>
        </is>
      </c>
      <c r="D86" s="4" t="inlineStr">
        <is>
          <t>TS-180L 180*12*2.2mmØlỗ 22.2mm</t>
        </is>
      </c>
      <c r="E86" s="3" t="inlineStr">
        <is>
          <t>Cái</t>
        </is>
      </c>
      <c r="F86" s="5" t="n">
        <v>110000</v>
      </c>
      <c r="G86" s="5" t="n">
        <v>130000</v>
      </c>
      <c r="H86" s="6" t="n">
        <v>160000</v>
      </c>
      <c r="I86" s="4" t="inlineStr">
        <is>
          <t>Cái 10c/H 50c/T</t>
        </is>
      </c>
    </row>
    <row r="87">
      <c r="A87" s="3" t="n">
        <v>86</v>
      </c>
      <c r="B87" s="3" t="n">
        <v>6</v>
      </c>
      <c r="C87" s="3" t="inlineStr">
        <is>
          <t>12</t>
        </is>
      </c>
      <c r="D87" s="4" t="inlineStr">
        <is>
          <t>T1-114R 114*12*2.0mmØlỗ 20/16mm</t>
        </is>
      </c>
      <c r="E87" s="3" t="inlineStr">
        <is>
          <t>Cái</t>
        </is>
      </c>
      <c r="F87" s="5" t="n">
        <v>61000</v>
      </c>
      <c r="G87" s="5" t="n">
        <v>72000</v>
      </c>
      <c r="H87" s="6" t="n">
        <v>89000</v>
      </c>
      <c r="I87" s="4" t="inlineStr">
        <is>
          <t>Cái 10c/H 200c/T</t>
        </is>
      </c>
    </row>
    <row r="88">
      <c r="A88" s="3" t="n">
        <v>87</v>
      </c>
      <c r="B88" s="3" t="n">
        <v>6</v>
      </c>
      <c r="C88" s="3" t="inlineStr">
        <is>
          <t>13</t>
        </is>
      </c>
      <c r="D88" s="4" t="inlineStr">
        <is>
          <t>T1-114L 114*12*2.0mmØlỗ 20/16mm</t>
        </is>
      </c>
      <c r="E88" s="3" t="inlineStr">
        <is>
          <t>Cái</t>
        </is>
      </c>
      <c r="F88" s="5" t="n">
        <v>61000</v>
      </c>
      <c r="G88" s="5" t="n">
        <v>72000</v>
      </c>
      <c r="H88" s="6" t="n">
        <v>89000</v>
      </c>
      <c r="I88" s="4" t="inlineStr">
        <is>
          <t>Cái 10c/H 200c/T</t>
        </is>
      </c>
    </row>
    <row r="89">
      <c r="A89" s="3" t="n">
        <v>88</v>
      </c>
      <c r="B89" s="3" t="n">
        <v>6</v>
      </c>
      <c r="C89" s="3" t="inlineStr">
        <is>
          <t>14</t>
        </is>
      </c>
      <c r="D89" s="4" t="inlineStr">
        <is>
          <t>T1-125R 125*12*2.0mmØlỗ 22.2/20mm</t>
        </is>
      </c>
      <c r="E89" s="3" t="inlineStr">
        <is>
          <t>Cái</t>
        </is>
      </c>
      <c r="F89" s="5" t="n">
        <v>83000</v>
      </c>
      <c r="G89" s="5" t="n">
        <v>98000</v>
      </c>
      <c r="H89" s="6" t="n">
        <v>120000</v>
      </c>
      <c r="I89" s="4" t="inlineStr">
        <is>
          <t>Cái 10c/H 200c/T</t>
        </is>
      </c>
    </row>
    <row r="90">
      <c r="A90" s="3" t="n">
        <v>89</v>
      </c>
      <c r="B90" s="3" t="n">
        <v>6</v>
      </c>
      <c r="C90" s="3" t="inlineStr">
        <is>
          <t>15</t>
        </is>
      </c>
      <c r="D90" s="4" t="inlineStr">
        <is>
          <t>T1-125L 125*12*2.0mmØlỗ 22.2/20mm</t>
        </is>
      </c>
      <c r="E90" s="3" t="inlineStr">
        <is>
          <t>Cái</t>
        </is>
      </c>
      <c r="F90" s="5" t="n">
        <v>83000</v>
      </c>
      <c r="G90" s="5" t="n">
        <v>98000</v>
      </c>
      <c r="H90" s="6" t="n">
        <v>120000</v>
      </c>
      <c r="I90" s="4" t="inlineStr">
        <is>
          <t>Cái 10c/H 200c/T</t>
        </is>
      </c>
    </row>
    <row r="91">
      <c r="A91" s="3" t="n">
        <v>90</v>
      </c>
      <c r="B91" s="3" t="n">
        <v>6</v>
      </c>
      <c r="C91" s="3" t="inlineStr"/>
      <c r="D91" s="4" t="inlineStr">
        <is>
          <t>T1-150R 150*12*2.2mmØlỗ 22.2mm</t>
        </is>
      </c>
      <c r="E91" s="3" t="inlineStr">
        <is>
          <t>Cái</t>
        </is>
      </c>
      <c r="F91" s="5" t="n">
        <v>117000</v>
      </c>
      <c r="G91" s="5" t="n">
        <v>138000</v>
      </c>
      <c r="H91" s="6" t="n">
        <v>170000</v>
      </c>
      <c r="I91" s="4" t="inlineStr">
        <is>
          <t>Cái 10c/H 200c/T</t>
        </is>
      </c>
    </row>
    <row r="92">
      <c r="A92" s="3" t="n">
        <v>91</v>
      </c>
      <c r="B92" s="3" t="n">
        <v>6</v>
      </c>
      <c r="C92" s="3" t="inlineStr">
        <is>
          <t>17</t>
        </is>
      </c>
      <c r="D92" s="4" t="inlineStr">
        <is>
          <t>T1-150L 150*12*2.2mmØlỗ 22.2mm</t>
        </is>
      </c>
      <c r="E92" s="3" t="inlineStr">
        <is>
          <t>Cái</t>
        </is>
      </c>
      <c r="F92" s="5" t="n">
        <v>117000</v>
      </c>
      <c r="G92" s="5" t="n">
        <v>138000</v>
      </c>
      <c r="H92" s="6" t="n">
        <v>170000</v>
      </c>
      <c r="I92" s="4" t="inlineStr">
        <is>
          <t>Cái 10c/H 200c/T</t>
        </is>
      </c>
    </row>
    <row r="93">
      <c r="A93" s="3" t="n">
        <v>92</v>
      </c>
      <c r="B93" s="3" t="n">
        <v>6</v>
      </c>
      <c r="C93" s="3" t="inlineStr">
        <is>
          <t>18</t>
        </is>
      </c>
      <c r="D93" s="4" t="inlineStr">
        <is>
          <t>T1-180R 150*12*2.2mmØlỗ 22.2mm</t>
        </is>
      </c>
      <c r="E93" s="3" t="inlineStr">
        <is>
          <t>Cái</t>
        </is>
      </c>
      <c r="F93" s="5" t="n">
        <v>141000</v>
      </c>
      <c r="G93" s="5" t="n">
        <v>167000</v>
      </c>
      <c r="H93" s="6" t="n">
        <v>205000</v>
      </c>
      <c r="I93" s="4" t="inlineStr">
        <is>
          <t>Cái 10c/H 200c/T</t>
        </is>
      </c>
    </row>
    <row r="94">
      <c r="A94" s="3" t="n">
        <v>93</v>
      </c>
      <c r="B94" s="3" t="n">
        <v>6</v>
      </c>
      <c r="C94" s="3" t="inlineStr">
        <is>
          <t>19</t>
        </is>
      </c>
      <c r="D94" s="4" t="inlineStr">
        <is>
          <t>T1-180L 180*12*2.2mmØlỗ 22.2mm</t>
        </is>
      </c>
      <c r="E94" s="3" t="inlineStr">
        <is>
          <t>Cái</t>
        </is>
      </c>
      <c r="F94" s="5" t="n">
        <v>141000</v>
      </c>
      <c r="G94" s="5" t="n">
        <v>167000</v>
      </c>
      <c r="H94" s="6" t="n">
        <v>205000</v>
      </c>
      <c r="I94" s="4" t="inlineStr">
        <is>
          <t>Cái 10c/H 50c/T</t>
        </is>
      </c>
    </row>
    <row r="95">
      <c r="A95" s="3" t="n">
        <v>94</v>
      </c>
      <c r="B95" s="3" t="n">
        <v>7</v>
      </c>
      <c r="C95" s="3" t="inlineStr"/>
      <c r="D95" s="4" t="inlineStr"/>
      <c r="E95" s="3" t="inlineStr">
        <is>
          <t>Cái</t>
        </is>
      </c>
      <c r="F95" s="5" t="n">
        <v>239000</v>
      </c>
      <c r="G95" s="5" t="n">
        <v>282000</v>
      </c>
      <c r="H95" s="6" t="n">
        <v>347000</v>
      </c>
      <c r="I95" s="4" t="inlineStr">
        <is>
          <t>Cái 25c/T</t>
        </is>
      </c>
    </row>
    <row r="96">
      <c r="A96" s="3" t="n">
        <v>95</v>
      </c>
      <c r="B96" s="3" t="n">
        <v>7</v>
      </c>
      <c r="C96" s="3" t="inlineStr"/>
      <c r="D96" s="4" t="inlineStr"/>
      <c r="E96" s="3" t="inlineStr">
        <is>
          <t>Cái</t>
        </is>
      </c>
      <c r="F96" s="5" t="n">
        <v>239000</v>
      </c>
      <c r="G96" s="5" t="n">
        <v>282000</v>
      </c>
      <c r="H96" s="6" t="n">
        <v>347000</v>
      </c>
      <c r="I96" s="4" t="inlineStr">
        <is>
          <t>Cái 25c/T</t>
        </is>
      </c>
    </row>
    <row r="97">
      <c r="A97" s="3" t="n">
        <v>96</v>
      </c>
      <c r="B97" s="3" t="n">
        <v>7</v>
      </c>
      <c r="C97" s="3" t="inlineStr"/>
      <c r="D97" s="4" t="inlineStr"/>
      <c r="E97" s="3" t="inlineStr">
        <is>
          <t>Cái</t>
        </is>
      </c>
      <c r="F97" s="5" t="n">
        <v>269000</v>
      </c>
      <c r="G97" s="5" t="n">
        <v>317000</v>
      </c>
      <c r="H97" s="6" t="n">
        <v>390000</v>
      </c>
      <c r="I97" s="4" t="inlineStr">
        <is>
          <t>Cái 25c/T</t>
        </is>
      </c>
    </row>
    <row r="98">
      <c r="A98" s="3" t="n">
        <v>97</v>
      </c>
      <c r="B98" s="3" t="n">
        <v>7</v>
      </c>
      <c r="C98" s="3" t="inlineStr"/>
      <c r="D98" s="4" t="inlineStr"/>
      <c r="E98" s="3" t="inlineStr">
        <is>
          <t>Cái</t>
        </is>
      </c>
      <c r="F98" s="5" t="n">
        <v>269000</v>
      </c>
      <c r="G98" s="5" t="n">
        <v>317000</v>
      </c>
      <c r="H98" s="6" t="n">
        <v>390000</v>
      </c>
      <c r="I98" s="4" t="inlineStr">
        <is>
          <t>Cái 25c/T</t>
        </is>
      </c>
    </row>
    <row r="99">
      <c r="A99" s="3" t="n">
        <v>98</v>
      </c>
      <c r="B99" s="3" t="n">
        <v>7</v>
      </c>
      <c r="C99" s="3" t="inlineStr"/>
      <c r="D99" s="4" t="inlineStr">
        <is>
          <t>T1-300R 300*12*3.0mmØlỗ 32/25.4mm</t>
        </is>
      </c>
      <c r="E99" s="3" t="inlineStr">
        <is>
          <t>Cái</t>
        </is>
      </c>
      <c r="F99" s="5" t="n">
        <v>428000</v>
      </c>
      <c r="G99" s="5" t="n">
        <v>505000</v>
      </c>
      <c r="H99" s="6" t="n">
        <v>621000</v>
      </c>
      <c r="I99" s="4" t="inlineStr">
        <is>
          <t>Cái 25/T</t>
        </is>
      </c>
    </row>
    <row r="100">
      <c r="A100" s="3" t="n">
        <v>99</v>
      </c>
      <c r="B100" s="3" t="n">
        <v>7</v>
      </c>
      <c r="C100" s="3" t="inlineStr">
        <is>
          <t>25</t>
        </is>
      </c>
      <c r="D100" s="4" t="inlineStr">
        <is>
          <t>T1-300L 300*12*3.0mmØlỗ 32/25.4mm</t>
        </is>
      </c>
      <c r="E100" s="3" t="inlineStr">
        <is>
          <t>Cái</t>
        </is>
      </c>
      <c r="F100" s="5" t="n">
        <v>428000</v>
      </c>
      <c r="G100" s="5" t="n">
        <v>505000</v>
      </c>
      <c r="H100" s="6" t="n">
        <v>621000</v>
      </c>
      <c r="I100" s="4" t="inlineStr">
        <is>
          <t>Cái 25/T</t>
        </is>
      </c>
    </row>
    <row r="101">
      <c r="A101" s="3" t="n">
        <v>100</v>
      </c>
      <c r="B101" s="3" t="n">
        <v>7</v>
      </c>
      <c r="C101" s="3" t="inlineStr">
        <is>
          <t>26</t>
        </is>
      </c>
      <c r="D101" s="4" t="inlineStr">
        <is>
          <t>T1-350R 350*15*3.2mmØlỗ 50mm</t>
        </is>
      </c>
      <c r="E101" s="3" t="inlineStr">
        <is>
          <t>Cái</t>
        </is>
      </c>
      <c r="F101" s="5" t="n">
        <v>649000</v>
      </c>
      <c r="G101" s="5" t="n">
        <v>766000</v>
      </c>
      <c r="H101" s="6" t="n">
        <v>941000</v>
      </c>
      <c r="I101" s="4" t="inlineStr">
        <is>
          <t>Cái 10c/T</t>
        </is>
      </c>
    </row>
    <row r="102">
      <c r="A102" s="3" t="n">
        <v>101</v>
      </c>
      <c r="B102" s="3" t="n">
        <v>7</v>
      </c>
      <c r="C102" s="3" t="inlineStr">
        <is>
          <t>27</t>
        </is>
      </c>
      <c r="D102" s="4" t="inlineStr">
        <is>
          <t>T1-400R 400*15*3.3mmØlỗ 50mm</t>
        </is>
      </c>
      <c r="E102" s="3" t="inlineStr">
        <is>
          <t>Cái</t>
        </is>
      </c>
      <c r="F102" s="5" t="n">
        <v>857000</v>
      </c>
      <c r="G102" s="5" t="n">
        <v>1011000</v>
      </c>
      <c r="H102" s="6" t="n">
        <v>1243000</v>
      </c>
      <c r="I102" s="4" t="inlineStr">
        <is>
          <t>Cái 10c/T</t>
        </is>
      </c>
    </row>
    <row r="103">
      <c r="A103" s="3" t="n">
        <v>102</v>
      </c>
      <c r="B103" s="3" t="n">
        <v>7</v>
      </c>
      <c r="C103" s="3" t="inlineStr">
        <is>
          <t>28</t>
        </is>
      </c>
      <c r="D103" s="4" t="inlineStr">
        <is>
          <t>T2-114R 114*14*2.0mmØlỗ 20/16mm</t>
        </is>
      </c>
      <c r="E103" s="3" t="inlineStr">
        <is>
          <t>Cái</t>
        </is>
      </c>
      <c r="F103" s="5" t="n">
        <v>81000</v>
      </c>
      <c r="G103" s="5" t="n">
        <v>96000</v>
      </c>
      <c r="H103" s="6" t="n">
        <v>118000</v>
      </c>
      <c r="I103" s="4" t="inlineStr">
        <is>
          <t>Cái 10c/H 200c/T</t>
        </is>
      </c>
    </row>
    <row r="104">
      <c r="A104" s="3" t="n">
        <v>103</v>
      </c>
      <c r="B104" s="3" t="n">
        <v>7</v>
      </c>
      <c r="C104" s="3" t="inlineStr">
        <is>
          <t>29</t>
        </is>
      </c>
      <c r="D104" s="4" t="inlineStr">
        <is>
          <t>T2-114L 114*14*2.0mmØlỗ 20/16mm</t>
        </is>
      </c>
      <c r="E104" s="3" t="inlineStr">
        <is>
          <t>Cái</t>
        </is>
      </c>
      <c r="F104" s="5" t="n">
        <v>81000</v>
      </c>
      <c r="G104" s="5" t="n">
        <v>96000</v>
      </c>
      <c r="H104" s="6" t="n">
        <v>118000</v>
      </c>
      <c r="I104" s="4" t="inlineStr">
        <is>
          <t>Cái 10c/H 200c/T</t>
        </is>
      </c>
    </row>
    <row r="105">
      <c r="A105" s="3" t="n">
        <v>104</v>
      </c>
      <c r="B105" s="3" t="n">
        <v>7</v>
      </c>
      <c r="C105" s="3" t="inlineStr">
        <is>
          <t>30</t>
        </is>
      </c>
      <c r="D105" s="4" t="inlineStr">
        <is>
          <t>T2-125R 125*14*2.0mmØlỗ 22.2/20mm</t>
        </is>
      </c>
      <c r="E105" s="3" t="inlineStr">
        <is>
          <t>Cái</t>
        </is>
      </c>
      <c r="F105" s="5" t="n">
        <v>93000</v>
      </c>
      <c r="G105" s="5" t="n">
        <v>110000</v>
      </c>
      <c r="H105" s="6" t="n">
        <v>135000</v>
      </c>
      <c r="I105" s="4" t="inlineStr">
        <is>
          <t>Cái 10c/H 200c/T</t>
        </is>
      </c>
    </row>
    <row r="106">
      <c r="A106" s="3" t="n">
        <v>105</v>
      </c>
      <c r="B106" s="3" t="n">
        <v>7</v>
      </c>
      <c r="C106" s="3" t="inlineStr">
        <is>
          <t>31</t>
        </is>
      </c>
      <c r="D106" s="4" t="inlineStr">
        <is>
          <t>T2-125L 125*14*2.0mmØlỗ 22.2/20mm</t>
        </is>
      </c>
      <c r="E106" s="3" t="inlineStr">
        <is>
          <t>Cái</t>
        </is>
      </c>
      <c r="F106" s="5" t="n">
        <v>93000</v>
      </c>
      <c r="G106" s="5" t="n">
        <v>110000</v>
      </c>
      <c r="H106" s="6" t="n">
        <v>135000</v>
      </c>
      <c r="I106" s="4" t="inlineStr">
        <is>
          <t>Cái 10c/H 200c/T</t>
        </is>
      </c>
    </row>
    <row r="107">
      <c r="A107" s="3" t="n">
        <v>106</v>
      </c>
      <c r="B107" s="3" t="n">
        <v>7</v>
      </c>
      <c r="C107" s="3" t="inlineStr"/>
      <c r="D107" s="4" t="inlineStr"/>
      <c r="E107" s="3" t="inlineStr">
        <is>
          <t>Cái</t>
        </is>
      </c>
      <c r="F107" s="5" t="n">
        <v>260000</v>
      </c>
      <c r="G107" s="5" t="n">
        <v>307000</v>
      </c>
      <c r="H107" s="6" t="n">
        <v>377000</v>
      </c>
      <c r="I107" s="4" t="inlineStr">
        <is>
          <t>Cái 25c/T</t>
        </is>
      </c>
    </row>
    <row r="108">
      <c r="A108" s="3" t="n">
        <v>107</v>
      </c>
      <c r="B108" s="3" t="n">
        <v>7</v>
      </c>
      <c r="C108" s="3" t="inlineStr">
        <is>
          <t>33</t>
        </is>
      </c>
      <c r="D108" s="4" t="inlineStr">
        <is>
          <t>V2-230R 230*12*2.6mmØlỗ 25.4mm</t>
        </is>
      </c>
      <c r="E108" s="3" t="inlineStr">
        <is>
          <t>Cái</t>
        </is>
      </c>
      <c r="F108" s="5" t="n">
        <v>269000</v>
      </c>
      <c r="G108" s="5" t="n">
        <v>317000</v>
      </c>
      <c r="H108" s="6" t="n">
        <v>390000</v>
      </c>
      <c r="I108" s="4" t="inlineStr">
        <is>
          <t>Cái 25c/T</t>
        </is>
      </c>
    </row>
    <row r="109">
      <c r="A109" s="3" t="n">
        <v>108</v>
      </c>
      <c r="B109" s="3" t="n">
        <v>7</v>
      </c>
      <c r="C109" s="3" t="inlineStr">
        <is>
          <t>34</t>
        </is>
      </c>
      <c r="D109" s="4" t="inlineStr">
        <is>
          <t>V2-250R 250*14*2.6mmØlỗ 25.4mm</t>
        </is>
      </c>
      <c r="E109" s="3" t="inlineStr">
        <is>
          <t>Cái</t>
        </is>
      </c>
      <c r="F109" s="5" t="n">
        <v>373000</v>
      </c>
      <c r="G109" s="5" t="n">
        <v>440000</v>
      </c>
      <c r="H109" s="6" t="n">
        <v>541000</v>
      </c>
      <c r="I109" s="4" t="inlineStr">
        <is>
          <t>Cái 40c/T</t>
        </is>
      </c>
    </row>
    <row r="110">
      <c r="A110" s="3" t="n">
        <v>109</v>
      </c>
      <c r="B110" s="3" t="n">
        <v>7</v>
      </c>
      <c r="C110" s="3" t="inlineStr">
        <is>
          <t>35</t>
        </is>
      </c>
      <c r="D110" s="4" t="inlineStr">
        <is>
          <t>V2-300R 300*12*3.2mmØlỗ 32mm</t>
        </is>
      </c>
      <c r="E110" s="3" t="inlineStr">
        <is>
          <t>Cái</t>
        </is>
      </c>
      <c r="F110" s="5" t="n">
        <v>597000</v>
      </c>
      <c r="G110" s="5" t="n">
        <v>705000</v>
      </c>
      <c r="H110" s="6" t="n">
        <v>866000</v>
      </c>
      <c r="I110" s="4" t="inlineStr">
        <is>
          <t>Cái 40c/T</t>
        </is>
      </c>
    </row>
    <row r="111">
      <c r="A111" s="3" t="n">
        <v>110</v>
      </c>
      <c r="B111" s="3" t="n">
        <v>7</v>
      </c>
      <c r="C111" s="3" t="inlineStr">
        <is>
          <t>36</t>
        </is>
      </c>
      <c r="D111" s="4" t="inlineStr">
        <is>
          <t>V2-350RX50 350*12*3.2mmØlỗ 50mm</t>
        </is>
      </c>
      <c r="E111" s="3" t="inlineStr">
        <is>
          <t>Cái</t>
        </is>
      </c>
      <c r="F111" s="5" t="n">
        <v>728000</v>
      </c>
      <c r="G111" s="5" t="n">
        <v>859000</v>
      </c>
      <c r="H111" s="6" t="n">
        <v>1056000</v>
      </c>
      <c r="I111" s="4" t="inlineStr">
        <is>
          <t>Cái 10c/T</t>
        </is>
      </c>
    </row>
    <row r="112">
      <c r="A112" s="3" t="n">
        <v>111</v>
      </c>
      <c r="B112" s="3" t="n">
        <v>7</v>
      </c>
      <c r="C112" s="3" t="inlineStr">
        <is>
          <t>37</t>
        </is>
      </c>
      <c r="D112" s="4" t="inlineStr">
        <is>
          <t>V2-350RX70 350*12*3.2mmØlỗ 70mm</t>
        </is>
      </c>
      <c r="E112" s="3" t="inlineStr">
        <is>
          <t>Cái</t>
        </is>
      </c>
      <c r="F112" s="5" t="n">
        <v>728000</v>
      </c>
      <c r="G112" s="5" t="n">
        <v>859000</v>
      </c>
      <c r="H112" s="6" t="n">
        <v>1056000</v>
      </c>
      <c r="I112" s="4" t="inlineStr">
        <is>
          <t>Cái 10c/T</t>
        </is>
      </c>
    </row>
    <row r="113">
      <c r="A113" s="3" t="n">
        <v>112</v>
      </c>
      <c r="B113" s="3" t="n">
        <v>7</v>
      </c>
      <c r="C113" s="3" t="inlineStr">
        <is>
          <t>38</t>
        </is>
      </c>
      <c r="D113" s="4" t="inlineStr">
        <is>
          <t>V2-400RX50 400*12*3.2mmØlỗ 50mm</t>
        </is>
      </c>
      <c r="E113" s="3" t="inlineStr">
        <is>
          <t>Cái</t>
        </is>
      </c>
      <c r="F113" s="5" t="n">
        <v>947000</v>
      </c>
      <c r="G113" s="5" t="n">
        <v>1117000</v>
      </c>
      <c r="H113" s="6" t="n">
        <v>1373000</v>
      </c>
      <c r="I113" s="4" t="inlineStr">
        <is>
          <t>Cái 10c/T</t>
        </is>
      </c>
    </row>
    <row r="114">
      <c r="A114" s="3" t="n">
        <v>113</v>
      </c>
      <c r="B114" s="3" t="n">
        <v>7</v>
      </c>
      <c r="C114" s="3" t="inlineStr">
        <is>
          <t>39</t>
        </is>
      </c>
      <c r="D114" s="4" t="inlineStr">
        <is>
          <t>Lưỡi cắt KingBlueV3 V3-600R 600*12*4.6mmØlỗ 50mm</t>
        </is>
      </c>
      <c r="E114" s="3" t="inlineStr">
        <is>
          <t>Cái</t>
        </is>
      </c>
      <c r="F114" s="5" t="n">
        <v>2751000</v>
      </c>
      <c r="G114" s="5" t="n">
        <v>3246000</v>
      </c>
      <c r="H114" s="6" t="n">
        <v>3989000</v>
      </c>
      <c r="I114" s="4" t="inlineStr">
        <is>
          <t>Cái 10c/T</t>
        </is>
      </c>
    </row>
    <row r="115">
      <c r="A115" s="3" t="n">
        <v>114</v>
      </c>
      <c r="B115" s="3" t="n">
        <v>8</v>
      </c>
      <c r="C115" s="3" t="inlineStr">
        <is>
          <t>1</t>
        </is>
      </c>
      <c r="D115" s="4" t="inlineStr">
        <is>
          <t>VJ01 22*6*6mm</t>
        </is>
      </c>
      <c r="E115" s="3" t="inlineStr">
        <is>
          <t>Cái</t>
        </is>
      </c>
      <c r="F115" s="5" t="n">
        <v>80000</v>
      </c>
      <c r="G115" s="5" t="n">
        <v>94000</v>
      </c>
      <c r="H115" s="6" t="n">
        <v>116000</v>
      </c>
      <c r="I115" s="4" t="inlineStr">
        <is>
          <t>Cái 25c/H 400c/T</t>
        </is>
      </c>
    </row>
    <row r="116">
      <c r="A116" s="3" t="n">
        <v>115</v>
      </c>
      <c r="B116" s="3" t="n">
        <v>8</v>
      </c>
      <c r="C116" s="3" t="inlineStr">
        <is>
          <t>2</t>
        </is>
      </c>
      <c r="D116" s="4" t="inlineStr">
        <is>
          <t>VJ02 23*6*6mm</t>
        </is>
      </c>
      <c r="E116" s="3" t="inlineStr">
        <is>
          <t>Cái</t>
        </is>
      </c>
      <c r="F116" s="5" t="n">
        <v>101000</v>
      </c>
      <c r="G116" s="5" t="n">
        <v>119000</v>
      </c>
      <c r="H116" s="6" t="n">
        <v>147000</v>
      </c>
      <c r="I116" s="4" t="inlineStr">
        <is>
          <t>Cái 25c/H 400c/T</t>
        </is>
      </c>
    </row>
    <row r="117">
      <c r="A117" s="3" t="n">
        <v>116</v>
      </c>
      <c r="B117" s="3" t="n">
        <v>8</v>
      </c>
      <c r="C117" s="3" t="inlineStr">
        <is>
          <t>1</t>
        </is>
      </c>
      <c r="D117" s="4" t="inlineStr">
        <is>
          <t>MS-110x4R 110*4mmØlỗ 20/16mm</t>
        </is>
      </c>
      <c r="E117" s="3" t="inlineStr">
        <is>
          <t>Cái</t>
        </is>
      </c>
      <c r="F117" s="5" t="n">
        <v>60000</v>
      </c>
      <c r="G117" s="5" t="n">
        <v>71000</v>
      </c>
      <c r="H117" s="6" t="n">
        <v>87000</v>
      </c>
      <c r="I117" s="4" t="inlineStr">
        <is>
          <t>Cái 100c/T</t>
        </is>
      </c>
    </row>
    <row r="118">
      <c r="A118" s="3" t="n">
        <v>117</v>
      </c>
      <c r="B118" s="3" t="n">
        <v>8</v>
      </c>
      <c r="C118" s="3" t="inlineStr">
        <is>
          <t>2</t>
        </is>
      </c>
      <c r="D118" s="4" t="inlineStr">
        <is>
          <t>MS-125x4R 125*4mmØlỗ 22.2/20mm</t>
        </is>
      </c>
      <c r="E118" s="3" t="inlineStr">
        <is>
          <t>Cái</t>
        </is>
      </c>
      <c r="F118" s="5" t="n">
        <v>93000</v>
      </c>
      <c r="G118" s="5" t="n">
        <v>110000</v>
      </c>
      <c r="H118" s="6" t="n">
        <v>135000</v>
      </c>
      <c r="I118" s="4" t="inlineStr">
        <is>
          <t>Cái 50c/T</t>
        </is>
      </c>
    </row>
    <row r="119">
      <c r="A119" s="3" t="n">
        <v>118</v>
      </c>
      <c r="B119" s="3" t="n">
        <v>8</v>
      </c>
      <c r="C119" s="3" t="inlineStr">
        <is>
          <t>3</t>
        </is>
      </c>
      <c r="D119" s="4" t="inlineStr">
        <is>
          <t>Chén mài KingBlueMS - Mài Nước MS-110x4L 110*4mmØlỗ 20/16mm</t>
        </is>
      </c>
      <c r="E119" s="3" t="inlineStr">
        <is>
          <t>Cái</t>
        </is>
      </c>
      <c r="F119" s="5" t="n">
        <v>60000</v>
      </c>
      <c r="G119" s="5" t="n">
        <v>71000</v>
      </c>
      <c r="H119" s="6" t="n">
        <v>87000</v>
      </c>
      <c r="I119" s="4" t="inlineStr">
        <is>
          <t>Cái 100c/T Mài đá hoa cương, bê tông</t>
        </is>
      </c>
    </row>
    <row r="120">
      <c r="A120" s="3" t="n">
        <v>119</v>
      </c>
      <c r="B120" s="3" t="n">
        <v>8</v>
      </c>
      <c r="C120" s="3" t="inlineStr">
        <is>
          <t>4</t>
        </is>
      </c>
      <c r="D120" s="4" t="inlineStr">
        <is>
          <t>Chén mài KingBlueM1 - Mài Nước M1-110x5L 110*5mmØlỗ 20/16mm</t>
        </is>
      </c>
      <c r="E120" s="3" t="inlineStr">
        <is>
          <t>Cái</t>
        </is>
      </c>
      <c r="F120" s="5" t="n">
        <v>77000</v>
      </c>
      <c r="G120" s="5" t="n">
        <v>91000</v>
      </c>
      <c r="H120" s="6" t="n">
        <v>112000</v>
      </c>
      <c r="I120" s="4" t="inlineStr">
        <is>
          <t>Cái 100c/T Mài đá hoa cương.</t>
        </is>
      </c>
    </row>
    <row r="121">
      <c r="A121" s="3" t="n">
        <v>120</v>
      </c>
      <c r="B121" s="3" t="n">
        <v>8</v>
      </c>
      <c r="C121" s="3" t="inlineStr">
        <is>
          <t>5</t>
        </is>
      </c>
      <c r="D121" s="4" t="inlineStr">
        <is>
          <t>M1-110x5R 110*5mmØlỗ 20/16mm</t>
        </is>
      </c>
      <c r="E121" s="3" t="inlineStr">
        <is>
          <t>Cái</t>
        </is>
      </c>
      <c r="F121" s="5" t="n">
        <v>77000</v>
      </c>
      <c r="G121" s="5" t="n">
        <v>91000</v>
      </c>
      <c r="H121" s="6" t="n">
        <v>112000</v>
      </c>
      <c r="I121" s="4" t="inlineStr">
        <is>
          <t>Cái 100c/T</t>
        </is>
      </c>
    </row>
    <row r="122">
      <c r="A122" s="3" t="n">
        <v>121</v>
      </c>
      <c r="B122" s="3" t="n">
        <v>8</v>
      </c>
      <c r="C122" s="3" t="inlineStr">
        <is>
          <t>6</t>
        </is>
      </c>
      <c r="D122" s="4" t="inlineStr">
        <is>
          <t>M1-125x5R 125*5mmØlỗ 22.2/20mm</t>
        </is>
      </c>
      <c r="E122" s="3" t="inlineStr">
        <is>
          <t>Cái</t>
        </is>
      </c>
      <c r="F122" s="5" t="n">
        <v>110000</v>
      </c>
      <c r="G122" s="5" t="n">
        <v>130000</v>
      </c>
      <c r="H122" s="6" t="n">
        <v>160000</v>
      </c>
      <c r="I122" s="4" t="inlineStr">
        <is>
          <t>Cái 50c/T</t>
        </is>
      </c>
    </row>
    <row r="123">
      <c r="A123" s="3" t="n">
        <v>122</v>
      </c>
      <c r="B123" s="3" t="n">
        <v>8</v>
      </c>
      <c r="C123" s="3" t="inlineStr">
        <is>
          <t>7</t>
        </is>
      </c>
      <c r="D123" s="4" t="inlineStr">
        <is>
          <t>Chén mài KingBlueM2 - Mài Nước    M2-110x5L 110*5mmØlỗ 20/16mm</t>
        </is>
      </c>
      <c r="E123" s="3" t="inlineStr">
        <is>
          <t>Cái</t>
        </is>
      </c>
      <c r="F123" s="5" t="n">
        <v>92000</v>
      </c>
      <c r="G123" s="5" t="n">
        <v>108000</v>
      </c>
      <c r="H123" s="6" t="n">
        <v>133000</v>
      </c>
      <c r="I123" s="4" t="inlineStr">
        <is>
          <t>Cái 100c/T Mài đá hoa cương</t>
        </is>
      </c>
    </row>
    <row r="124">
      <c r="A124" s="3" t="n">
        <v>123</v>
      </c>
      <c r="B124" s="3" t="n">
        <v>8</v>
      </c>
      <c r="C124" s="3" t="inlineStr">
        <is>
          <t>8</t>
        </is>
      </c>
      <c r="D124" s="4" t="inlineStr">
        <is>
          <t>M2-110x5R 110*5mmØlỗ 20/16mm</t>
        </is>
      </c>
      <c r="E124" s="3" t="inlineStr">
        <is>
          <t>Cái</t>
        </is>
      </c>
      <c r="F124" s="5" t="n">
        <v>92000</v>
      </c>
      <c r="G124" s="5" t="n">
        <v>108000</v>
      </c>
      <c r="H124" s="6" t="n">
        <v>133000</v>
      </c>
      <c r="I124" s="4" t="inlineStr">
        <is>
          <t>Cái 100c/T Mài đá hoa cương,bê tông Mua 100c tặng 10c</t>
        </is>
      </c>
    </row>
    <row r="125">
      <c r="A125" s="3" t="n">
        <v>124</v>
      </c>
      <c r="B125" s="3" t="n">
        <v>8</v>
      </c>
      <c r="C125" s="3" t="inlineStr">
        <is>
          <t>9</t>
        </is>
      </c>
      <c r="D125" s="4" t="inlineStr">
        <is>
          <t>M2-125x5R 125*5mmØlỗ 22.2/20mm</t>
        </is>
      </c>
      <c r="E125" s="3" t="inlineStr">
        <is>
          <t>Cái</t>
        </is>
      </c>
      <c r="F125" s="5" t="n">
        <v>125000</v>
      </c>
      <c r="G125" s="5" t="n">
        <v>147000</v>
      </c>
      <c r="H125" s="6" t="n">
        <v>181000</v>
      </c>
      <c r="I125" s="4" t="inlineStr">
        <is>
          <t>Cái 50c/T</t>
        </is>
      </c>
    </row>
    <row r="126">
      <c r="A126" s="3" t="n">
        <v>125</v>
      </c>
      <c r="B126" s="3" t="n">
        <v>8</v>
      </c>
      <c r="C126" s="3" t="inlineStr">
        <is>
          <t>10</t>
        </is>
      </c>
      <c r="D126" s="4" t="inlineStr">
        <is>
          <t>M2-150x5R 150*5mmØlỗ 22.2mm</t>
        </is>
      </c>
      <c r="E126" s="3" t="inlineStr">
        <is>
          <t>Cái</t>
        </is>
      </c>
      <c r="F126" s="5" t="n">
        <v>380000</v>
      </c>
      <c r="G126" s="5" t="n">
        <v>448000</v>
      </c>
      <c r="H126" s="6" t="n">
        <v>551000</v>
      </c>
      <c r="I126" s="4" t="inlineStr">
        <is>
          <t>Cái 25c/T</t>
        </is>
      </c>
    </row>
    <row r="127">
      <c r="A127" s="3" t="n">
        <v>126</v>
      </c>
      <c r="B127" s="3" t="n">
        <v>8</v>
      </c>
      <c r="C127" s="3" t="inlineStr">
        <is>
          <t>11</t>
        </is>
      </c>
      <c r="D127" s="4" t="inlineStr">
        <is>
          <t>M2-180x5R 180*5mmØlỗ 22.2mm</t>
        </is>
      </c>
      <c r="E127" s="3" t="inlineStr">
        <is>
          <t>Cái</t>
        </is>
      </c>
      <c r="F127" s="5" t="n">
        <v>477000</v>
      </c>
      <c r="G127" s="5" t="n">
        <v>563000</v>
      </c>
      <c r="H127" s="6" t="n">
        <v>692000</v>
      </c>
      <c r="I127" s="4" t="inlineStr">
        <is>
          <t>Cái 25c/T</t>
        </is>
      </c>
    </row>
    <row r="128">
      <c r="A128" s="3" t="n">
        <v>127</v>
      </c>
      <c r="B128" s="3" t="n">
        <v>9</v>
      </c>
      <c r="C128" s="3" t="inlineStr">
        <is>
          <t>1</t>
        </is>
      </c>
      <c r="D128" s="4" t="inlineStr">
        <is>
          <t>K2-110X30T 110*20mm30T</t>
        </is>
      </c>
      <c r="E128" s="3" t="inlineStr">
        <is>
          <t>Cái</t>
        </is>
      </c>
      <c r="F128" s="5" t="n">
        <v>124000</v>
      </c>
      <c r="G128" s="5" t="n">
        <v>146000</v>
      </c>
      <c r="H128" s="6" t="n">
        <v>180000</v>
      </c>
      <c r="I128" s="4" t="inlineStr">
        <is>
          <t>Cái 10c/H 100c/T</t>
        </is>
      </c>
    </row>
    <row r="129">
      <c r="A129" s="3" t="n">
        <v>128</v>
      </c>
      <c r="B129" s="3" t="n">
        <v>9</v>
      </c>
      <c r="C129" s="3" t="inlineStr">
        <is>
          <t>2</t>
        </is>
      </c>
      <c r="D129" s="4" t="inlineStr">
        <is>
          <t>K2-110X40T 110*20mm40T</t>
        </is>
      </c>
      <c r="E129" s="3" t="inlineStr">
        <is>
          <t>Cái</t>
        </is>
      </c>
      <c r="F129" s="5" t="n">
        <v>132000</v>
      </c>
      <c r="G129" s="5" t="n">
        <v>156000</v>
      </c>
      <c r="H129" s="6" t="n">
        <v>191000</v>
      </c>
      <c r="I129" s="4" t="inlineStr">
        <is>
          <t>Cái 10c/H 100c/T</t>
        </is>
      </c>
    </row>
    <row r="130">
      <c r="A130" s="3" t="n">
        <v>129</v>
      </c>
      <c r="B130" s="3" t="n">
        <v>9</v>
      </c>
      <c r="C130" s="3" t="inlineStr">
        <is>
          <t>1</t>
        </is>
      </c>
      <c r="D130" s="4" t="inlineStr">
        <is>
          <t>XS-110X30T-NEW 110*20mm30T</t>
        </is>
      </c>
      <c r="E130" s="3" t="inlineStr">
        <is>
          <t>Cái</t>
        </is>
      </c>
      <c r="F130" s="5" t="n">
        <v>72000</v>
      </c>
      <c r="G130" s="5" t="n">
        <v>85000</v>
      </c>
      <c r="H130" s="6" t="n">
        <v>104000</v>
      </c>
      <c r="I130" s="4" t="inlineStr">
        <is>
          <t>Cái 10c/H 100c/T</t>
        </is>
      </c>
    </row>
    <row r="131">
      <c r="A131" s="3" t="n">
        <v>130</v>
      </c>
      <c r="B131" s="3" t="n">
        <v>9</v>
      </c>
      <c r="C131" s="3" t="inlineStr">
        <is>
          <t>2</t>
        </is>
      </c>
      <c r="D131" s="4" t="inlineStr">
        <is>
          <t>XS-125x40T 125*20mm40T</t>
        </is>
      </c>
      <c r="E131" s="3" t="inlineStr">
        <is>
          <t>Cái</t>
        </is>
      </c>
      <c r="F131" s="5" t="n">
        <v>77000</v>
      </c>
      <c r="G131" s="5" t="n">
        <v>91000</v>
      </c>
      <c r="H131" s="6" t="n">
        <v>112000</v>
      </c>
      <c r="I131" s="4" t="inlineStr">
        <is>
          <t>Cái 10c/H 100c/T</t>
        </is>
      </c>
    </row>
    <row r="132">
      <c r="A132" s="3" t="n">
        <v>131</v>
      </c>
      <c r="B132" s="3" t="n">
        <v>9</v>
      </c>
      <c r="C132" s="3" t="inlineStr">
        <is>
          <t>3</t>
        </is>
      </c>
      <c r="D132" s="4" t="inlineStr">
        <is>
          <t>X1-150x40T 150*25.4*2.0mm40T</t>
        </is>
      </c>
      <c r="E132" s="3" t="inlineStr">
        <is>
          <t>Cái</t>
        </is>
      </c>
      <c r="F132" s="5" t="n">
        <v>135000</v>
      </c>
      <c r="G132" s="5" t="n">
        <v>159000</v>
      </c>
      <c r="H132" s="6" t="n">
        <v>196000</v>
      </c>
      <c r="I132" s="4" t="inlineStr">
        <is>
          <t>Cái 100c/T</t>
        </is>
      </c>
    </row>
    <row r="133">
      <c r="A133" s="3" t="n">
        <v>132</v>
      </c>
      <c r="B133" s="3" t="n">
        <v>9</v>
      </c>
      <c r="C133" s="3" t="inlineStr">
        <is>
          <t>4</t>
        </is>
      </c>
      <c r="D133" s="4" t="inlineStr">
        <is>
          <t>X1-150x60T 150*25.4*2.0mm60T</t>
        </is>
      </c>
      <c r="E133" s="3" t="inlineStr">
        <is>
          <t>Cái</t>
        </is>
      </c>
      <c r="F133" s="5" t="n">
        <v>149000</v>
      </c>
      <c r="G133" s="5" t="n">
        <v>176000</v>
      </c>
      <c r="H133" s="6" t="n">
        <v>216000</v>
      </c>
      <c r="I133" s="4" t="inlineStr">
        <is>
          <t>Cái 100c/T</t>
        </is>
      </c>
    </row>
    <row r="134">
      <c r="A134" s="3" t="n">
        <v>133</v>
      </c>
      <c r="B134" s="3" t="n">
        <v>9</v>
      </c>
      <c r="C134" s="3" t="inlineStr">
        <is>
          <t>5</t>
        </is>
      </c>
      <c r="D134" s="4" t="inlineStr">
        <is>
          <t>X1-110x30T-NEW 110*20*1.5mm30T</t>
        </is>
      </c>
      <c r="E134" s="3" t="inlineStr">
        <is>
          <t>Cái</t>
        </is>
      </c>
      <c r="F134" s="5" t="n">
        <v>88000</v>
      </c>
      <c r="G134" s="5" t="n">
        <v>104000</v>
      </c>
      <c r="H134" s="6" t="n">
        <v>128000</v>
      </c>
      <c r="I134" s="4" t="inlineStr">
        <is>
          <t>Cái 10c/H 200c/T</t>
        </is>
      </c>
    </row>
    <row r="135">
      <c r="A135" s="3" t="n">
        <v>134</v>
      </c>
      <c r="B135" s="3" t="n">
        <v>9</v>
      </c>
      <c r="C135" s="3" t="inlineStr">
        <is>
          <t>6</t>
        </is>
      </c>
      <c r="D135" s="4" t="inlineStr">
        <is>
          <t>X1-110x40T 110*20*1.8mm40T</t>
        </is>
      </c>
      <c r="E135" s="3" t="inlineStr">
        <is>
          <t>Cái</t>
        </is>
      </c>
      <c r="F135" s="5" t="n">
        <v>91000</v>
      </c>
      <c r="G135" s="5" t="n">
        <v>107000</v>
      </c>
      <c r="H135" s="6" t="n">
        <v>132000</v>
      </c>
      <c r="I135" s="4" t="inlineStr">
        <is>
          <t>Cái 300c/T</t>
        </is>
      </c>
    </row>
    <row r="136">
      <c r="A136" s="3" t="n">
        <v>135</v>
      </c>
      <c r="B136" s="3" t="n">
        <v>9</v>
      </c>
      <c r="C136" s="3" t="inlineStr">
        <is>
          <t>7</t>
        </is>
      </c>
      <c r="D136" s="4" t="inlineStr">
        <is>
          <t>X1-125x40T-NEW 125*20mm40T</t>
        </is>
      </c>
      <c r="E136" s="3" t="inlineStr">
        <is>
          <t>Cái</t>
        </is>
      </c>
      <c r="F136" s="5" t="n">
        <v>95000</v>
      </c>
      <c r="G136" s="5" t="n">
        <v>112000</v>
      </c>
      <c r="H136" s="6" t="n">
        <v>138000</v>
      </c>
      <c r="I136" s="4" t="inlineStr">
        <is>
          <t>Cái 100c/T</t>
        </is>
      </c>
    </row>
    <row r="137">
      <c r="A137" s="3" t="n">
        <v>136</v>
      </c>
      <c r="B137" s="3" t="n">
        <v>9</v>
      </c>
      <c r="C137" s="3" t="inlineStr">
        <is>
          <t>8</t>
        </is>
      </c>
      <c r="D137" s="4" t="inlineStr">
        <is>
          <t>X1-150x40T-NEW 150*25.4*2.0mm40T</t>
        </is>
      </c>
      <c r="E137" s="3" t="inlineStr">
        <is>
          <t>Cái</t>
        </is>
      </c>
      <c r="F137" s="5" t="n">
        <v>135000</v>
      </c>
      <c r="G137" s="5" t="n">
        <v>159000</v>
      </c>
      <c r="H137" s="6" t="n">
        <v>196000</v>
      </c>
      <c r="I137" s="4" t="inlineStr">
        <is>
          <t>Cái 40c/T</t>
        </is>
      </c>
    </row>
    <row r="138">
      <c r="A138" s="3" t="n">
        <v>137</v>
      </c>
      <c r="B138" s="3" t="n">
        <v>9</v>
      </c>
      <c r="C138" s="3" t="inlineStr">
        <is>
          <t>9</t>
        </is>
      </c>
      <c r="D138" s="4" t="inlineStr">
        <is>
          <t>X1-180x40T-NEW 180*25.4*2.0mm40T</t>
        </is>
      </c>
      <c r="E138" s="3" t="inlineStr">
        <is>
          <t>Cái</t>
        </is>
      </c>
      <c r="F138" s="5" t="n">
        <v>190000</v>
      </c>
      <c r="G138" s="5" t="n">
        <v>224000</v>
      </c>
      <c r="H138" s="6" t="n">
        <v>276000</v>
      </c>
      <c r="I138" s="4" t="inlineStr">
        <is>
          <t>Cái 40c/T</t>
        </is>
      </c>
    </row>
    <row r="139">
      <c r="A139" s="3" t="n">
        <v>138</v>
      </c>
      <c r="B139" s="3" t="n">
        <v>9</v>
      </c>
      <c r="C139" s="3" t="inlineStr">
        <is>
          <t>10</t>
        </is>
      </c>
      <c r="D139" s="4" t="inlineStr">
        <is>
          <t>X1-230x40T-NEW 230*25.4*2.0mm40T</t>
        </is>
      </c>
      <c r="E139" s="3" t="inlineStr">
        <is>
          <t>Cái</t>
        </is>
      </c>
      <c r="F139" s="5" t="n">
        <v>319000</v>
      </c>
      <c r="G139" s="5" t="n">
        <v>377000</v>
      </c>
      <c r="H139" s="6" t="n">
        <v>463000</v>
      </c>
      <c r="I139" s="4" t="inlineStr">
        <is>
          <t>Cái 30c/T</t>
        </is>
      </c>
    </row>
    <row r="140">
      <c r="A140" s="3" t="n">
        <v>139</v>
      </c>
      <c r="B140" s="3" t="n">
        <v>9</v>
      </c>
      <c r="C140" s="3" t="inlineStr">
        <is>
          <t>11</t>
        </is>
      </c>
      <c r="D140" s="4" t="inlineStr">
        <is>
          <t>X1-250x40T-NEW 250*25.4*2.5mm40T</t>
        </is>
      </c>
      <c r="E140" s="3" t="inlineStr">
        <is>
          <t>Cái</t>
        </is>
      </c>
      <c r="F140" s="5" t="n">
        <v>407000</v>
      </c>
      <c r="G140" s="5" t="n">
        <v>480000</v>
      </c>
      <c r="H140" s="6" t="n">
        <v>590000</v>
      </c>
      <c r="I140" s="4" t="inlineStr">
        <is>
          <t>Cái 30c/T</t>
        </is>
      </c>
    </row>
    <row r="141">
      <c r="A141" s="3" t="n">
        <v>140</v>
      </c>
      <c r="B141" s="3" t="n">
        <v>9</v>
      </c>
      <c r="C141" s="3" t="inlineStr">
        <is>
          <t>12</t>
        </is>
      </c>
      <c r="D141" s="4" t="inlineStr">
        <is>
          <t>X1-300x40T-NEW 300*30*3.0mm40T</t>
        </is>
      </c>
      <c r="E141" s="3" t="inlineStr">
        <is>
          <t>Cái</t>
        </is>
      </c>
      <c r="F141" s="5" t="n">
        <v>557000</v>
      </c>
      <c r="G141" s="5" t="n">
        <v>657000</v>
      </c>
      <c r="H141" s="6" t="n">
        <v>808000</v>
      </c>
      <c r="I141" s="4" t="inlineStr">
        <is>
          <t>Cái 10c/T</t>
        </is>
      </c>
    </row>
    <row r="142">
      <c r="A142" s="3" t="n">
        <v>141</v>
      </c>
      <c r="B142" s="3" t="n">
        <v>9</v>
      </c>
      <c r="C142" s="3" t="inlineStr">
        <is>
          <t>13</t>
        </is>
      </c>
      <c r="D142" s="4" t="inlineStr">
        <is>
          <t>X1-350X40T-NEW 350*30mm40T</t>
        </is>
      </c>
      <c r="E142" s="3" t="inlineStr">
        <is>
          <t>Cái</t>
        </is>
      </c>
      <c r="F142" s="5" t="n">
        <v>627000</v>
      </c>
      <c r="G142" s="5" t="n">
        <v>740000</v>
      </c>
      <c r="H142" s="6" t="n">
        <v>909000</v>
      </c>
      <c r="I142" s="4" t="inlineStr">
        <is>
          <t>Cái 10c/T</t>
        </is>
      </c>
    </row>
    <row r="143">
      <c r="A143" s="3" t="n">
        <v>142</v>
      </c>
      <c r="B143" s="3" t="n">
        <v>9</v>
      </c>
      <c r="C143" s="3" t="inlineStr">
        <is>
          <t>14</t>
        </is>
      </c>
      <c r="D143" s="4" t="inlineStr">
        <is>
          <t>X1-350X60T-NEW 350*30mm60T</t>
        </is>
      </c>
      <c r="E143" s="3" t="inlineStr">
        <is>
          <t>Cái</t>
        </is>
      </c>
      <c r="F143" s="5" t="n">
        <v>668000</v>
      </c>
      <c r="G143" s="5" t="n">
        <v>788000</v>
      </c>
      <c r="H143" s="6" t="n">
        <v>969000</v>
      </c>
      <c r="I143" s="4" t="inlineStr">
        <is>
          <t>Cái 10c/T</t>
        </is>
      </c>
    </row>
    <row r="144">
      <c r="A144" s="3" t="n">
        <v>143</v>
      </c>
      <c r="B144" s="3" t="n">
        <v>9</v>
      </c>
      <c r="C144" s="3" t="inlineStr">
        <is>
          <t>15</t>
        </is>
      </c>
      <c r="D144" s="4" t="inlineStr">
        <is>
          <t>X2-125x40T 125*20mm40T</t>
        </is>
      </c>
      <c r="E144" s="3" t="inlineStr">
        <is>
          <t>Cái</t>
        </is>
      </c>
      <c r="F144" s="5" t="n">
        <v>111000</v>
      </c>
      <c r="G144" s="5" t="n">
        <v>131000</v>
      </c>
      <c r="H144" s="6" t="n">
        <v>161000</v>
      </c>
      <c r="I144" s="4" t="inlineStr">
        <is>
          <t>Cái 10c/H 200c/T</t>
        </is>
      </c>
    </row>
    <row r="145">
      <c r="A145" s="3" t="n">
        <v>144</v>
      </c>
      <c r="B145" s="3" t="n">
        <v>9</v>
      </c>
      <c r="C145" s="3" t="inlineStr">
        <is>
          <t>16</t>
        </is>
      </c>
      <c r="D145" s="4" t="inlineStr">
        <is>
          <t>X2-150x40T 150*25.4*2.0mm40T</t>
        </is>
      </c>
      <c r="E145" s="3" t="inlineStr">
        <is>
          <t>Cái</t>
        </is>
      </c>
      <c r="F145" s="5" t="n">
        <v>136000</v>
      </c>
      <c r="G145" s="5" t="n">
        <v>160000</v>
      </c>
      <c r="H145" s="6" t="n">
        <v>197000</v>
      </c>
      <c r="I145" s="4" t="inlineStr">
        <is>
          <t>Cái 10c/H 100c/T</t>
        </is>
      </c>
    </row>
    <row r="146">
      <c r="A146" s="3" t="n">
        <v>145</v>
      </c>
      <c r="B146" s="3" t="n">
        <v>9</v>
      </c>
      <c r="C146" s="3" t="inlineStr">
        <is>
          <t>17</t>
        </is>
      </c>
      <c r="D146" s="4" t="inlineStr">
        <is>
          <t>X2-150x60T 150*25.4*2.0mm60T</t>
        </is>
      </c>
      <c r="E146" s="3" t="inlineStr">
        <is>
          <t>Cái</t>
        </is>
      </c>
      <c r="F146" s="5" t="n">
        <v>164000</v>
      </c>
      <c r="G146" s="5" t="n">
        <v>194000</v>
      </c>
      <c r="H146" s="6" t="n">
        <v>238000</v>
      </c>
      <c r="I146" s="4" t="inlineStr">
        <is>
          <t>Cái 10c/H 100c/T</t>
        </is>
      </c>
    </row>
    <row r="147">
      <c r="A147" s="3" t="n">
        <v>146</v>
      </c>
      <c r="B147" s="3" t="n">
        <v>9</v>
      </c>
      <c r="C147" s="3" t="inlineStr">
        <is>
          <t>18</t>
        </is>
      </c>
      <c r="D147" s="4" t="inlineStr">
        <is>
          <t>X2-230x40T 230*25.4mm40T</t>
        </is>
      </c>
      <c r="E147" s="3" t="inlineStr">
        <is>
          <t>Cái</t>
        </is>
      </c>
      <c r="F147" s="5" t="n">
        <v>278000</v>
      </c>
      <c r="G147" s="5" t="n">
        <v>328000</v>
      </c>
      <c r="H147" s="6" t="n">
        <v>403000</v>
      </c>
      <c r="I147" s="4" t="inlineStr">
        <is>
          <t>Cái 10c/H 50c/T</t>
        </is>
      </c>
    </row>
    <row r="148">
      <c r="A148" s="3" t="n">
        <v>147</v>
      </c>
      <c r="B148" s="3" t="n">
        <v>9</v>
      </c>
      <c r="C148" s="3" t="inlineStr">
        <is>
          <t>19</t>
        </is>
      </c>
      <c r="D148" s="4" t="inlineStr">
        <is>
          <t>X2-350x60T 350*30*3.4mm60T</t>
        </is>
      </c>
      <c r="E148" s="3" t="inlineStr">
        <is>
          <t>Cái</t>
        </is>
      </c>
      <c r="F148" s="5" t="n">
        <v>787000</v>
      </c>
      <c r="G148" s="5" t="n">
        <v>929000</v>
      </c>
      <c r="H148" s="6" t="n">
        <v>1141000</v>
      </c>
      <c r="I148" s="4" t="inlineStr">
        <is>
          <t>Cái 10c/T</t>
        </is>
      </c>
    </row>
    <row r="149">
      <c r="A149" s="3" t="n">
        <v>148</v>
      </c>
      <c r="B149" s="3" t="n">
        <v>9</v>
      </c>
      <c r="C149" s="3" t="inlineStr">
        <is>
          <t>20</t>
        </is>
      </c>
      <c r="D149" s="4" t="inlineStr">
        <is>
          <t>Lưỡi cưa KingBlueX2 X2-305x96T 305*30mm96T</t>
        </is>
      </c>
      <c r="E149" s="3" t="inlineStr">
        <is>
          <t>Cái</t>
        </is>
      </c>
      <c r="F149" s="5" t="n">
        <v>1029000</v>
      </c>
      <c r="G149" s="5" t="n">
        <v>1214000</v>
      </c>
      <c r="H149" s="6" t="n">
        <v>1492000</v>
      </c>
      <c r="I149" s="4" t="inlineStr">
        <is>
          <t>Cái 10c/T</t>
        </is>
      </c>
    </row>
    <row r="150">
      <c r="A150" s="3" t="n">
        <v>149</v>
      </c>
      <c r="B150" s="3" t="n">
        <v>10</v>
      </c>
      <c r="C150" s="3" t="inlineStr">
        <is>
          <t>1</t>
        </is>
      </c>
      <c r="D150" s="4" t="inlineStr">
        <is>
          <t>Y1-254x120T-NEW 254*25.4mm120T</t>
        </is>
      </c>
      <c r="E150" s="3" t="inlineStr">
        <is>
          <t>Cái</t>
        </is>
      </c>
      <c r="F150" s="5" t="n">
        <v>699000</v>
      </c>
      <c r="G150" s="5" t="n">
        <v>825000</v>
      </c>
      <c r="H150" s="6" t="n">
        <v>1014000</v>
      </c>
      <c r="I150" s="4" t="inlineStr">
        <is>
          <t>Cái 30c/T  Cắt nhôm</t>
        </is>
      </c>
    </row>
    <row r="151">
      <c r="A151" s="3" t="n">
        <v>150</v>
      </c>
      <c r="B151" s="3" t="n">
        <v>10</v>
      </c>
      <c r="C151" s="3" t="inlineStr">
        <is>
          <t>2</t>
        </is>
      </c>
      <c r="D151" s="4" t="inlineStr">
        <is>
          <t>Y1-305X120T-NEW 305*30*3.0mm120T</t>
        </is>
      </c>
      <c r="E151" s="3" t="inlineStr">
        <is>
          <t>Cái</t>
        </is>
      </c>
      <c r="F151" s="5" t="n">
        <v>1080000</v>
      </c>
      <c r="G151" s="5" t="n">
        <v>1274000</v>
      </c>
      <c r="H151" s="6" t="n">
        <v>1566000</v>
      </c>
      <c r="I151" s="4" t="inlineStr">
        <is>
          <t>Cái 10c/T</t>
        </is>
      </c>
    </row>
    <row r="152">
      <c r="A152" s="3" t="n">
        <v>151</v>
      </c>
      <c r="B152" s="3" t="n">
        <v>10</v>
      </c>
      <c r="C152" s="3" t="inlineStr">
        <is>
          <t>3</t>
        </is>
      </c>
      <c r="D152" s="4" t="inlineStr">
        <is>
          <t>Y1-355X120T-NEW 355*30*3.0mm120T</t>
        </is>
      </c>
      <c r="E152" s="3" t="inlineStr">
        <is>
          <t>Cái</t>
        </is>
      </c>
      <c r="F152" s="5" t="n">
        <v>1392000</v>
      </c>
      <c r="G152" s="5" t="n">
        <v>1642000</v>
      </c>
      <c r="H152" s="6" t="n">
        <v>2018000</v>
      </c>
      <c r="I152" s="4" t="inlineStr">
        <is>
          <t>Cái 10c/T</t>
        </is>
      </c>
    </row>
    <row r="153">
      <c r="A153" s="3" t="n">
        <v>152</v>
      </c>
      <c r="B153" s="3" t="n">
        <v>10</v>
      </c>
      <c r="C153" s="3" t="inlineStr">
        <is>
          <t>4</t>
        </is>
      </c>
      <c r="D153" s="4" t="inlineStr">
        <is>
          <t>Y1-405x120T 405*30*3.6mm120T</t>
        </is>
      </c>
      <c r="E153" s="3" t="inlineStr">
        <is>
          <t>Cái</t>
        </is>
      </c>
      <c r="F153" s="5" t="n">
        <v>2118000</v>
      </c>
      <c r="G153" s="5" t="n">
        <v>2499000</v>
      </c>
      <c r="H153" s="6" t="n">
        <v>3071000</v>
      </c>
      <c r="I153" s="4" t="inlineStr">
        <is>
          <t>Cái 5c/T</t>
        </is>
      </c>
    </row>
    <row r="154">
      <c r="A154" s="3" t="n">
        <v>153</v>
      </c>
      <c r="B154" s="3" t="n">
        <v>10</v>
      </c>
      <c r="C154" s="3" t="inlineStr">
        <is>
          <t>5</t>
        </is>
      </c>
      <c r="D154" s="4" t="inlineStr">
        <is>
          <t>Y1-450x120T 450*30*4.0mm120T</t>
        </is>
      </c>
      <c r="E154" s="3" t="inlineStr">
        <is>
          <t>Cái</t>
        </is>
      </c>
      <c r="F154" s="5" t="n">
        <v>2662000</v>
      </c>
      <c r="G154" s="5" t="n">
        <v>3141000</v>
      </c>
      <c r="H154" s="6" t="n">
        <v>3860000</v>
      </c>
      <c r="I154" s="4" t="inlineStr">
        <is>
          <t>Cái 5c/T</t>
        </is>
      </c>
    </row>
    <row r="155">
      <c r="A155" s="3" t="n">
        <v>154</v>
      </c>
      <c r="B155" s="3" t="n">
        <v>10</v>
      </c>
      <c r="C155" s="3" t="inlineStr"/>
      <c r="D155" s="4" t="inlineStr">
        <is>
          <t>YZ-254X120T 254*25.4mm120T</t>
        </is>
      </c>
      <c r="E155" s="3" t="inlineStr">
        <is>
          <t>Cái</t>
        </is>
      </c>
      <c r="F155" s="5" t="n">
        <v>508000</v>
      </c>
      <c r="G155" s="5" t="n">
        <v>600000</v>
      </c>
      <c r="H155" s="6" t="n">
        <v>737000</v>
      </c>
      <c r="I155" s="4" t="inlineStr">
        <is>
          <t>Cái 30c/T</t>
        </is>
      </c>
    </row>
    <row r="156">
      <c r="A156" s="3" t="n">
        <v>155</v>
      </c>
      <c r="B156" s="3" t="n">
        <v>10</v>
      </c>
      <c r="C156" s="3" t="inlineStr">
        <is>
          <t>1</t>
        </is>
      </c>
      <c r="D156" s="4" t="inlineStr">
        <is>
          <t>K1-110x24T 110*20*1.8mm24T</t>
        </is>
      </c>
      <c r="E156" s="3" t="inlineStr">
        <is>
          <t>Cái</t>
        </is>
      </c>
      <c r="F156" s="5" t="n">
        <v>193000</v>
      </c>
      <c r="G156" s="5" t="n">
        <v>228000</v>
      </c>
      <c r="H156" s="6" t="n">
        <v>280000</v>
      </c>
      <c r="I156" s="4" t="inlineStr">
        <is>
          <t>Cái 200c/T</t>
        </is>
      </c>
    </row>
    <row r="157">
      <c r="A157" s="3" t="n">
        <v>156</v>
      </c>
      <c r="B157" s="3" t="n">
        <v>10</v>
      </c>
      <c r="C157" s="3" t="inlineStr">
        <is>
          <t>2</t>
        </is>
      </c>
      <c r="D157" s="4" t="inlineStr">
        <is>
          <t>K1-305x80T 305*25.4*2.5mm80T</t>
        </is>
      </c>
      <c r="E157" s="3" t="inlineStr">
        <is>
          <t>Cái</t>
        </is>
      </c>
      <c r="F157" s="5" t="n">
        <v>1411000</v>
      </c>
      <c r="G157" s="5" t="n">
        <v>1665000</v>
      </c>
      <c r="H157" s="6" t="n">
        <v>2046000</v>
      </c>
      <c r="I157" s="4" t="inlineStr">
        <is>
          <t>Cái 25c/T</t>
        </is>
      </c>
    </row>
    <row r="158">
      <c r="A158" s="3" t="n">
        <v>157</v>
      </c>
      <c r="B158" s="3" t="n">
        <v>10</v>
      </c>
      <c r="C158" s="3" t="inlineStr">
        <is>
          <t>3</t>
        </is>
      </c>
      <c r="D158" s="4" t="inlineStr">
        <is>
          <t>K1-305x80T-NEW 305*25.4*2.5mm80T</t>
        </is>
      </c>
      <c r="E158" s="3" t="inlineStr">
        <is>
          <t>Cái</t>
        </is>
      </c>
      <c r="F158" s="5" t="n">
        <v>1634000</v>
      </c>
      <c r="G158" s="5" t="n">
        <v>1928000</v>
      </c>
      <c r="H158" s="6" t="n">
        <v>2369000</v>
      </c>
      <c r="I158" s="4" t="inlineStr">
        <is>
          <t>Cái 10c/T Cắt kim loại (tua chậm)MAX 1500R.P.M</t>
        </is>
      </c>
    </row>
    <row r="159">
      <c r="A159" s="3" t="n">
        <v>158</v>
      </c>
      <c r="B159" s="3" t="n">
        <v>10</v>
      </c>
      <c r="C159" s="3" t="inlineStr">
        <is>
          <t>4</t>
        </is>
      </c>
      <c r="D159" s="4" t="inlineStr">
        <is>
          <t>K1-355x80T 355*25.4*2.5mm80T</t>
        </is>
      </c>
      <c r="E159" s="3" t="inlineStr">
        <is>
          <t>Cái</t>
        </is>
      </c>
      <c r="F159" s="5" t="n">
        <v>1682000</v>
      </c>
      <c r="G159" s="5" t="n">
        <v>1985000</v>
      </c>
      <c r="H159" s="6" t="n">
        <v>2439000</v>
      </c>
      <c r="I159" s="4" t="inlineStr">
        <is>
          <t>Cái 10c/T Cắt kim loại (tua chậm)MAX 1500R.P.M</t>
        </is>
      </c>
    </row>
    <row r="160">
      <c r="A160" s="3" t="n">
        <v>159</v>
      </c>
      <c r="B160" s="3" t="n">
        <v>10</v>
      </c>
      <c r="C160" s="3" t="inlineStr">
        <is>
          <t>5</t>
        </is>
      </c>
      <c r="D160" s="4" t="inlineStr">
        <is>
          <t>K1-355x80T-NEW 355*25.4*2.5mm80T</t>
        </is>
      </c>
      <c r="E160" s="3" t="inlineStr">
        <is>
          <t>Cái</t>
        </is>
      </c>
      <c r="F160" s="5" t="n">
        <v>1936000</v>
      </c>
      <c r="G160" s="5" t="n">
        <v>2284000</v>
      </c>
      <c r="H160" s="6" t="n">
        <v>2807000</v>
      </c>
      <c r="I160" s="4" t="inlineStr">
        <is>
          <t>Cái 10c/T Cắt kim loại (tua chậm)MAX 1500R.P.M</t>
        </is>
      </c>
    </row>
    <row r="161">
      <c r="A161" s="3" t="n">
        <v>160</v>
      </c>
      <c r="B161" s="3" t="n">
        <v>10</v>
      </c>
      <c r="C161" s="3" t="inlineStr">
        <is>
          <t>6</t>
        </is>
      </c>
      <c r="D161" s="4" t="inlineStr">
        <is>
          <t>K1-405x100T 405*25.4*2.5mm100T</t>
        </is>
      </c>
      <c r="E161" s="3" t="inlineStr">
        <is>
          <t>Cái</t>
        </is>
      </c>
      <c r="F161" s="5" t="n">
        <v>1997000</v>
      </c>
      <c r="G161" s="5" t="n">
        <v>2357000</v>
      </c>
      <c r="H161" s="6" t="n">
        <v>2896000</v>
      </c>
      <c r="I161" s="4" t="inlineStr">
        <is>
          <t>Cái 10c/T</t>
        </is>
      </c>
    </row>
    <row r="162">
      <c r="A162" s="3" t="n">
        <v>161</v>
      </c>
      <c r="B162" s="3" t="n">
        <v>10</v>
      </c>
      <c r="C162" s="3" t="inlineStr">
        <is>
          <t>7</t>
        </is>
      </c>
      <c r="D162" s="4" t="inlineStr">
        <is>
          <t>K1-455x100T 150*20mm100T</t>
        </is>
      </c>
      <c r="E162" s="3" t="inlineStr">
        <is>
          <t>Cái</t>
        </is>
      </c>
      <c r="F162" s="5" t="n">
        <v>2904000</v>
      </c>
      <c r="G162" s="5" t="n">
        <v>3427000</v>
      </c>
      <c r="H162" s="6" t="n">
        <v>4211000</v>
      </c>
      <c r="I162" s="4" t="inlineStr">
        <is>
          <t>Cái 10c/T</t>
        </is>
      </c>
    </row>
    <row r="163">
      <c r="A163" s="3" t="n">
        <v>162</v>
      </c>
      <c r="B163" s="3" t="n">
        <v>10</v>
      </c>
      <c r="C163" s="3" t="inlineStr">
        <is>
          <t>8</t>
        </is>
      </c>
      <c r="D163" s="4" t="inlineStr">
        <is>
          <t>K1-150*20*32T 150*20mm32T</t>
        </is>
      </c>
      <c r="E163" s="3" t="inlineStr">
        <is>
          <t>Cái</t>
        </is>
      </c>
      <c r="F163" s="5" t="n">
        <v>273000</v>
      </c>
      <c r="G163" s="5" t="n">
        <v>322000</v>
      </c>
      <c r="H163" s="6" t="n">
        <v>396000</v>
      </c>
      <c r="I163" s="4" t="inlineStr">
        <is>
          <t>Cái 1c/H 50c/T</t>
        </is>
      </c>
    </row>
    <row r="164">
      <c r="A164" s="3" t="n">
        <v>163</v>
      </c>
      <c r="B164" s="3" t="n">
        <v>10</v>
      </c>
      <c r="C164" s="3" t="inlineStr">
        <is>
          <t>9</t>
        </is>
      </c>
      <c r="D164" s="4" t="inlineStr">
        <is>
          <t>K1-185X32T 185*20mm32T</t>
        </is>
      </c>
      <c r="E164" s="3" t="inlineStr">
        <is>
          <t>Cái</t>
        </is>
      </c>
      <c r="F164" s="5" t="n">
        <v>273000</v>
      </c>
      <c r="G164" s="5" t="n">
        <v>322000</v>
      </c>
      <c r="H164" s="6" t="n">
        <v>396000</v>
      </c>
      <c r="I164" s="4" t="inlineStr">
        <is>
          <t>Cái 1c/H 50c/T</t>
        </is>
      </c>
    </row>
    <row r="165">
      <c r="A165" s="3" t="n">
        <v>164</v>
      </c>
      <c r="B165" s="3" t="n">
        <v>10</v>
      </c>
      <c r="C165" s="3" t="inlineStr">
        <is>
          <t>1</t>
        </is>
      </c>
      <c r="D165" s="4" t="inlineStr">
        <is>
          <t>Lưỡi cưa KingBlueM2 HSS-M2-275x2.0 275*32*2mm220T</t>
        </is>
      </c>
      <c r="E165" s="3" t="inlineStr">
        <is>
          <t>Cái</t>
        </is>
      </c>
      <c r="F165" s="5" t="n">
        <v>1089000</v>
      </c>
      <c r="G165" s="5" t="n">
        <v>1285000</v>
      </c>
      <c r="H165" s="6" t="n">
        <v>1579000</v>
      </c>
      <c r="I165" s="4" t="inlineStr">
        <is>
          <t>Cái 1c/H Cắt kim loại (tua chậm)</t>
        </is>
      </c>
    </row>
    <row r="166">
      <c r="A166" s="3" t="n">
        <v>165</v>
      </c>
      <c r="B166" s="3" t="n">
        <v>11</v>
      </c>
      <c r="C166" s="3" t="inlineStr">
        <is>
          <t>2</t>
        </is>
      </c>
      <c r="D166" s="4" t="inlineStr">
        <is>
          <t>HSS-M42A-275x1.6 275*32*1.6mm220T</t>
        </is>
      </c>
      <c r="E166" s="3" t="inlineStr">
        <is>
          <t>Cái</t>
        </is>
      </c>
      <c r="F166" s="5" t="n">
        <v>1452000</v>
      </c>
      <c r="G166" s="5" t="n">
        <v>1713000</v>
      </c>
      <c r="H166" s="6" t="n">
        <v>2105000</v>
      </c>
      <c r="I166" s="4" t="inlineStr">
        <is>
          <t>Cái 1c/H</t>
        </is>
      </c>
    </row>
    <row r="167">
      <c r="A167" s="3" t="n">
        <v>166</v>
      </c>
      <c r="B167" s="3" t="n">
        <v>11</v>
      </c>
      <c r="C167" s="3" t="inlineStr">
        <is>
          <t>3</t>
        </is>
      </c>
      <c r="D167" s="4" t="inlineStr">
        <is>
          <t>HSS-M42A-300x1.6 300*32*1.6mm260T</t>
        </is>
      </c>
      <c r="E167" s="3" t="inlineStr">
        <is>
          <t>Cái</t>
        </is>
      </c>
      <c r="F167" s="5" t="n">
        <v>1634000</v>
      </c>
      <c r="G167" s="5" t="n">
        <v>1928000</v>
      </c>
      <c r="H167" s="6" t="n">
        <v>2369000</v>
      </c>
      <c r="I167" s="4" t="inlineStr">
        <is>
          <t>Cái 1c/H</t>
        </is>
      </c>
    </row>
    <row r="168">
      <c r="A168" s="3" t="n">
        <v>167</v>
      </c>
      <c r="B168" s="3" t="n">
        <v>11</v>
      </c>
      <c r="C168" s="3" t="inlineStr">
        <is>
          <t>4</t>
        </is>
      </c>
      <c r="D168" s="4" t="inlineStr">
        <is>
          <t>HSS-M42A-350x2.0 350*32*2.0mm220T</t>
        </is>
      </c>
      <c r="E168" s="3" t="inlineStr">
        <is>
          <t>Cái</t>
        </is>
      </c>
      <c r="F168" s="5" t="n">
        <v>2844000</v>
      </c>
      <c r="G168" s="5" t="n">
        <v>3356000</v>
      </c>
      <c r="H168" s="6" t="n">
        <v>4124000</v>
      </c>
      <c r="I168" s="4" t="inlineStr">
        <is>
          <t>Cái 1c/H</t>
        </is>
      </c>
    </row>
    <row r="169">
      <c r="A169" s="3" t="n">
        <v>168</v>
      </c>
      <c r="B169" s="3" t="n">
        <v>11</v>
      </c>
      <c r="C169" s="3" t="inlineStr">
        <is>
          <t>5</t>
        </is>
      </c>
      <c r="D169" s="4" t="inlineStr">
        <is>
          <t>HSS-M42A-400x2.0 400*32*2.0mm320T</t>
        </is>
      </c>
      <c r="E169" s="3" t="inlineStr">
        <is>
          <t>Cái</t>
        </is>
      </c>
      <c r="F169" s="5" t="n">
        <v>4054000</v>
      </c>
      <c r="G169" s="5" t="n">
        <v>4784000</v>
      </c>
      <c r="H169" s="6" t="n">
        <v>5878000</v>
      </c>
      <c r="I169" s="4" t="inlineStr">
        <is>
          <t>Cái 1c/H</t>
        </is>
      </c>
    </row>
    <row r="170">
      <c r="A170" s="3" t="n">
        <v>169</v>
      </c>
      <c r="B170" s="3" t="n">
        <v>11</v>
      </c>
      <c r="C170" s="3" t="inlineStr">
        <is>
          <t>6</t>
        </is>
      </c>
      <c r="D170" s="4" t="inlineStr">
        <is>
          <t>HSS-M42A-400x2.5 400*32*2.5mm320T</t>
        </is>
      </c>
      <c r="E170" s="3" t="inlineStr">
        <is>
          <t>Cái</t>
        </is>
      </c>
      <c r="F170" s="5" t="n">
        <v>4429000</v>
      </c>
      <c r="G170" s="5" t="n">
        <v>5226000</v>
      </c>
      <c r="H170" s="6" t="n">
        <v>6422000</v>
      </c>
      <c r="I170" s="4" t="inlineStr">
        <is>
          <t>Cái 1c/H</t>
        </is>
      </c>
    </row>
    <row r="171">
      <c r="A171" s="3" t="n">
        <v>170</v>
      </c>
      <c r="B171" s="3" t="n">
        <v>11</v>
      </c>
      <c r="C171" s="3" t="inlineStr">
        <is>
          <t>7</t>
        </is>
      </c>
      <c r="D171" s="4" t="inlineStr">
        <is>
          <t>HSS-M42A-450x2.5 450*32*2.5mm320T</t>
        </is>
      </c>
      <c r="E171" s="3" t="inlineStr">
        <is>
          <t>Cái</t>
        </is>
      </c>
      <c r="F171" s="5" t="n">
        <v>6534000</v>
      </c>
      <c r="G171" s="5" t="n">
        <v>7710000</v>
      </c>
      <c r="H171" s="6" t="n">
        <v>9474000</v>
      </c>
      <c r="I171" s="4" t="inlineStr">
        <is>
          <t>Cái 1c/H</t>
        </is>
      </c>
    </row>
    <row r="172">
      <c r="A172" s="3" t="n">
        <v>171</v>
      </c>
      <c r="B172" s="3" t="n">
        <v>11</v>
      </c>
      <c r="C172" s="3" t="inlineStr">
        <is>
          <t>8</t>
        </is>
      </c>
      <c r="D172" s="4" t="inlineStr">
        <is>
          <t>HSS-M42A-500x3.0 500*32*3.0mm320T</t>
        </is>
      </c>
      <c r="E172" s="3" t="inlineStr">
        <is>
          <t>Cái</t>
        </is>
      </c>
      <c r="F172" s="5" t="n">
        <v>11495000</v>
      </c>
      <c r="G172" s="5" t="n">
        <v>13564000</v>
      </c>
      <c r="H172" s="6" t="n">
        <v>16668000</v>
      </c>
      <c r="I172" s="4" t="inlineStr">
        <is>
          <t>Cái 1c/H</t>
        </is>
      </c>
    </row>
    <row r="173">
      <c r="A173" s="3" t="n">
        <v>172</v>
      </c>
      <c r="B173" s="3" t="n">
        <v>12</v>
      </c>
      <c r="C173" s="3" t="inlineStr">
        <is>
          <t>1</t>
        </is>
      </c>
      <c r="D173" s="4" t="inlineStr">
        <is>
          <t>Lưỡi cắt OMG ĐN AA OMG-110AA 110*1.4mm</t>
        </is>
      </c>
      <c r="E173" s="3" t="inlineStr">
        <is>
          <t>Cái</t>
        </is>
      </c>
      <c r="F173" s="5" t="n">
        <v>94000</v>
      </c>
      <c r="G173" s="5" t="n">
        <v>136000</v>
      </c>
      <c r="H173" s="6" t="n"/>
      <c r="I173" s="4" t="inlineStr">
        <is>
          <t>Cái 10v/H 200v/T</t>
        </is>
      </c>
    </row>
    <row r="174">
      <c r="A174" s="3" t="n">
        <v>173</v>
      </c>
      <c r="B174" s="3" t="n">
        <v>12</v>
      </c>
      <c r="C174" s="3" t="inlineStr">
        <is>
          <t>2</t>
        </is>
      </c>
      <c r="D174" s="4" t="inlineStr">
        <is>
          <t>Lưỡi cắt OMG ĐN A OMG-110A 110*1.4mm</t>
        </is>
      </c>
      <c r="E174" s="3" t="inlineStr">
        <is>
          <t>Cái</t>
        </is>
      </c>
      <c r="F174" s="5" t="n">
        <v>83000</v>
      </c>
      <c r="G174" s="5" t="n">
        <v>120000</v>
      </c>
      <c r="H174" s="6" t="n"/>
      <c r="I174" s="4" t="inlineStr">
        <is>
          <t>Cái 10v/H 200v/T</t>
        </is>
      </c>
    </row>
    <row r="175">
      <c r="A175" s="3" t="n">
        <v>174</v>
      </c>
      <c r="B175" s="3" t="n">
        <v>12</v>
      </c>
      <c r="C175" s="3" t="inlineStr">
        <is>
          <t>3</t>
        </is>
      </c>
      <c r="D175" s="4" t="inlineStr">
        <is>
          <t>Lưỡi cắt OMG ĐN B OMG-110B 110*1.4mm</t>
        </is>
      </c>
      <c r="E175" s="3" t="inlineStr">
        <is>
          <t>Cái</t>
        </is>
      </c>
      <c r="F175" s="5" t="n">
        <v>68000</v>
      </c>
      <c r="G175" s="5" t="n">
        <v>99000</v>
      </c>
      <c r="H175" s="6" t="n"/>
      <c r="I175" s="4" t="inlineStr">
        <is>
          <t>Cái 10v/H 200v/T</t>
        </is>
      </c>
    </row>
    <row r="176">
      <c r="A176" s="3" t="n">
        <v>175</v>
      </c>
      <c r="B176" s="3" t="n">
        <v>12</v>
      </c>
      <c r="C176" s="3" t="inlineStr">
        <is>
          <t>4</t>
        </is>
      </c>
      <c r="D176" s="4" t="inlineStr">
        <is>
          <t>Lưỡi cắt OMG ĐN A OMG-125A 125*1.5mm</t>
        </is>
      </c>
      <c r="E176" s="3" t="inlineStr">
        <is>
          <t>Cái</t>
        </is>
      </c>
      <c r="F176" s="5" t="n">
        <v>99000</v>
      </c>
      <c r="G176" s="5" t="n">
        <v>144000</v>
      </c>
      <c r="H176" s="6" t="n"/>
      <c r="I176" s="4" t="inlineStr">
        <is>
          <t>Cái 10v/H 200v/T</t>
        </is>
      </c>
    </row>
    <row r="177">
      <c r="A177" s="3" t="n">
        <v>176</v>
      </c>
      <c r="B177" s="3" t="n">
        <v>12</v>
      </c>
      <c r="C177" s="3" t="inlineStr">
        <is>
          <t>5</t>
        </is>
      </c>
      <c r="D177" s="4" t="inlineStr">
        <is>
          <t>Lưỡi cắt OMG ĐN B OMG-125B 125*1.5mm</t>
        </is>
      </c>
      <c r="E177" s="3" t="inlineStr">
        <is>
          <t>Cái</t>
        </is>
      </c>
      <c r="F177" s="5" t="n">
        <v>79000</v>
      </c>
      <c r="G177" s="5" t="n">
        <v>115000</v>
      </c>
      <c r="H177" s="6" t="n"/>
      <c r="I177" s="4" t="inlineStr">
        <is>
          <t>Cái 10v/H 200v/T</t>
        </is>
      </c>
    </row>
    <row r="178">
      <c r="A178" s="3" t="n">
        <v>177</v>
      </c>
      <c r="B178" s="3" t="n">
        <v>12</v>
      </c>
      <c r="C178" s="3" t="inlineStr">
        <is>
          <t>6</t>
        </is>
      </c>
      <c r="D178" s="4" t="inlineStr">
        <is>
          <t>Lưỡi cắt Rồng ĐN AA LCR DN AA105 105*1.4mm</t>
        </is>
      </c>
      <c r="E178" s="3" t="inlineStr">
        <is>
          <t>Cái</t>
        </is>
      </c>
      <c r="F178" s="5" t="n">
        <v>91000</v>
      </c>
      <c r="G178" s="5" t="n">
        <v>132000</v>
      </c>
      <c r="H178" s="6" t="n"/>
      <c r="I178" s="4" t="inlineStr">
        <is>
          <t>Cái 10v/H 200v/T</t>
        </is>
      </c>
    </row>
    <row r="179">
      <c r="A179" s="3" t="n">
        <v>178</v>
      </c>
      <c r="B179" s="3" t="n">
        <v>12</v>
      </c>
      <c r="C179" s="3" t="inlineStr">
        <is>
          <t>7</t>
        </is>
      </c>
      <c r="D179" s="4" t="inlineStr">
        <is>
          <t>Lưỡi cắt Rồng ĐN A LCR DN A 105 105*1.4mm</t>
        </is>
      </c>
      <c r="E179" s="3" t="inlineStr">
        <is>
          <t>Cái</t>
        </is>
      </c>
      <c r="F179" s="5" t="n">
        <v>69000</v>
      </c>
      <c r="G179" s="5" t="n">
        <v>100000</v>
      </c>
      <c r="H179" s="6" t="n"/>
      <c r="I179" s="4" t="inlineStr">
        <is>
          <t>Cái 10v/H 200v/T</t>
        </is>
      </c>
    </row>
    <row r="180">
      <c r="A180" s="3" t="n">
        <v>179</v>
      </c>
      <c r="B180" s="3" t="n">
        <v>12</v>
      </c>
      <c r="C180" s="3" t="inlineStr">
        <is>
          <t>8</t>
        </is>
      </c>
      <c r="D180" s="4" t="inlineStr">
        <is>
          <t>Lưỡi cắt Rồng ĐN B LCR DN B 105 105*1.4mm</t>
        </is>
      </c>
      <c r="E180" s="3" t="inlineStr">
        <is>
          <t>Cái</t>
        </is>
      </c>
      <c r="F180" s="5" t="n">
        <v>55000</v>
      </c>
      <c r="G180" s="5" t="n">
        <v>80000</v>
      </c>
      <c r="H180" s="6" t="n"/>
      <c r="I180" s="4" t="inlineStr">
        <is>
          <t>Cái 10v/H 200v/T</t>
        </is>
      </c>
    </row>
    <row r="181">
      <c r="A181" s="3" t="n">
        <v>180</v>
      </c>
      <c r="B181" s="3" t="n">
        <v>12</v>
      </c>
      <c r="C181" s="3" t="inlineStr">
        <is>
          <t>9</t>
        </is>
      </c>
      <c r="D181" s="4" t="inlineStr">
        <is>
          <t>Lưỡi cắt Rồng ĐN A LCR DN A 125 125*1.5mm</t>
        </is>
      </c>
      <c r="E181" s="3" t="inlineStr">
        <is>
          <t>Cái</t>
        </is>
      </c>
      <c r="F181" s="5" t="n">
        <v>99000</v>
      </c>
      <c r="G181" s="5" t="n">
        <v>144000</v>
      </c>
      <c r="H181" s="6" t="n"/>
      <c r="I181" s="4" t="inlineStr">
        <is>
          <t>Cái 10v/H 200v/T</t>
        </is>
      </c>
    </row>
    <row r="182">
      <c r="A182" s="3" t="n">
        <v>181</v>
      </c>
      <c r="B182" s="3" t="n">
        <v>12</v>
      </c>
      <c r="C182" s="3" t="inlineStr">
        <is>
          <t>10</t>
        </is>
      </c>
      <c r="D182" s="4" t="inlineStr">
        <is>
          <t>Lưỡi cắt Rồng ĐN B LCR DN B 125 125*1.5mm</t>
        </is>
      </c>
      <c r="E182" s="3" t="inlineStr">
        <is>
          <t>Cái</t>
        </is>
      </c>
      <c r="F182" s="5" t="n">
        <v>79000</v>
      </c>
      <c r="G182" s="5" t="n">
        <v>115000</v>
      </c>
      <c r="H182" s="6" t="n"/>
      <c r="I182" s="4" t="inlineStr">
        <is>
          <t>Cái 10v/H 200v/T</t>
        </is>
      </c>
    </row>
    <row r="183">
      <c r="A183" s="3" t="n">
        <v>182</v>
      </c>
      <c r="B183" s="3" t="n">
        <v>12</v>
      </c>
      <c r="C183" s="3" t="inlineStr">
        <is>
          <t>11</t>
        </is>
      </c>
      <c r="D183" s="4" t="inlineStr">
        <is>
          <t>Lưỡi cắt Rồng AA LCRXAA114R/L 114*2.0mm</t>
        </is>
      </c>
      <c r="E183" s="3" t="inlineStr">
        <is>
          <t>Cái</t>
        </is>
      </c>
      <c r="F183" s="5" t="n">
        <v>75000</v>
      </c>
      <c r="G183" s="5" t="n">
        <v>109000</v>
      </c>
      <c r="H183" s="6" t="n"/>
      <c r="I183" s="4" t="inlineStr">
        <is>
          <t>Cái 10v/H 200v/T</t>
        </is>
      </c>
    </row>
    <row r="184">
      <c r="A184" s="3" t="n">
        <v>183</v>
      </c>
      <c r="B184" s="3" t="n">
        <v>12</v>
      </c>
      <c r="C184" s="3" t="inlineStr">
        <is>
          <t>12</t>
        </is>
      </c>
      <c r="D184" s="4" t="inlineStr">
        <is>
          <t>Lưỡi cắt Rồng A LCRX A114R/L 114*2.0mm</t>
        </is>
      </c>
      <c r="E184" s="3" t="inlineStr">
        <is>
          <t>Cái</t>
        </is>
      </c>
      <c r="F184" s="5" t="n">
        <v>62000</v>
      </c>
      <c r="G184" s="5" t="n">
        <v>90000</v>
      </c>
      <c r="H184" s="6" t="n"/>
      <c r="I184" s="4" t="inlineStr">
        <is>
          <t>Cái 10v/H 200v/T</t>
        </is>
      </c>
    </row>
    <row r="185">
      <c r="A185" s="3" t="n">
        <v>184</v>
      </c>
      <c r="B185" s="3" t="n">
        <v>12</v>
      </c>
      <c r="C185" s="3" t="inlineStr">
        <is>
          <t>13</t>
        </is>
      </c>
      <c r="D185" s="4" t="inlineStr">
        <is>
          <t>Lưỡi cắt Rồng B LCRX B 114R/L 114*2.0mm</t>
        </is>
      </c>
      <c r="E185" s="3" t="inlineStr">
        <is>
          <t>Cái</t>
        </is>
      </c>
      <c r="F185" s="5" t="n">
        <v>48000</v>
      </c>
      <c r="G185" s="5" t="n">
        <v>70000</v>
      </c>
      <c r="H185" s="6" t="n"/>
      <c r="I185" s="4" t="inlineStr">
        <is>
          <t>Cái 10v/H 200v/T</t>
        </is>
      </c>
    </row>
    <row r="186">
      <c r="A186" s="3" t="n">
        <v>185</v>
      </c>
      <c r="B186" s="3" t="n">
        <v>12</v>
      </c>
      <c r="C186" s="3" t="inlineStr">
        <is>
          <t>14</t>
        </is>
      </c>
      <c r="D186" s="4" t="inlineStr">
        <is>
          <t>Lưỡi cắt Rồng AA LCR AA 125 x 2 R/L 125*2.0mm</t>
        </is>
      </c>
      <c r="E186" s="3" t="inlineStr">
        <is>
          <t>Cái</t>
        </is>
      </c>
      <c r="F186" s="5" t="n">
        <v>89000</v>
      </c>
      <c r="G186" s="5" t="n">
        <v>129000</v>
      </c>
      <c r="H186" s="6" t="n"/>
      <c r="I186" s="4" t="inlineStr">
        <is>
          <t>Cái 10v/H 200v/T</t>
        </is>
      </c>
    </row>
    <row r="187">
      <c r="A187" s="3" t="n">
        <v>186</v>
      </c>
      <c r="B187" s="3" t="n">
        <v>12</v>
      </c>
      <c r="C187" s="3" t="inlineStr">
        <is>
          <t>15</t>
        </is>
      </c>
      <c r="D187" s="4" t="inlineStr">
        <is>
          <t>Lưỡi cắt Rồng A LCRX A 125R/L 125*2.0mm</t>
        </is>
      </c>
      <c r="E187" s="3" t="inlineStr">
        <is>
          <t>Cái</t>
        </is>
      </c>
      <c r="F187" s="5" t="n">
        <v>77000</v>
      </c>
      <c r="G187" s="5" t="n">
        <v>112000</v>
      </c>
      <c r="H187" s="6" t="n"/>
      <c r="I187" s="4" t="inlineStr">
        <is>
          <t>Cái 10v/H 200v/T</t>
        </is>
      </c>
    </row>
    <row r="188">
      <c r="A188" s="3" t="n">
        <v>187</v>
      </c>
      <c r="B188" s="3" t="n">
        <v>12</v>
      </c>
      <c r="C188" s="3" t="inlineStr">
        <is>
          <t>16</t>
        </is>
      </c>
      <c r="D188" s="4" t="inlineStr">
        <is>
          <t>Lưỡi cắt Rồng B LCRX B 125R/L 125*2.0mm</t>
        </is>
      </c>
      <c r="E188" s="3" t="inlineStr">
        <is>
          <t>Cái</t>
        </is>
      </c>
      <c r="F188" s="5" t="n">
        <v>62000</v>
      </c>
      <c r="G188" s="5" t="n">
        <v>90000</v>
      </c>
      <c r="H188" s="6" t="n"/>
      <c r="I188" s="4" t="inlineStr">
        <is>
          <t>Cái 10v/H 200v/T</t>
        </is>
      </c>
    </row>
    <row r="189">
      <c r="A189" s="3" t="n">
        <v>188</v>
      </c>
      <c r="B189" s="3" t="n">
        <v>12</v>
      </c>
      <c r="C189" s="3" t="inlineStr">
        <is>
          <t>17</t>
        </is>
      </c>
      <c r="D189" s="4" t="inlineStr">
        <is>
          <t>Lưỡi cắt Rồng A LCRX A 150R/L 150*2.2mm</t>
        </is>
      </c>
      <c r="E189" s="3" t="inlineStr">
        <is>
          <t>Cái</t>
        </is>
      </c>
      <c r="F189" s="5" t="n">
        <v>100000</v>
      </c>
      <c r="G189" s="5" t="n">
        <v>145000</v>
      </c>
      <c r="H189" s="6" t="n"/>
      <c r="I189" s="4" t="inlineStr">
        <is>
          <t>Cái 10v/H 100v/T</t>
        </is>
      </c>
    </row>
    <row r="190">
      <c r="A190" s="3" t="n">
        <v>189</v>
      </c>
      <c r="B190" s="3" t="n">
        <v>12</v>
      </c>
      <c r="C190" s="3" t="inlineStr">
        <is>
          <t>18</t>
        </is>
      </c>
      <c r="D190" s="4" t="inlineStr">
        <is>
          <t>Lưỡi cắt Rồng A LCRX A 180R/L 180*2.2mm</t>
        </is>
      </c>
      <c r="E190" s="3" t="inlineStr">
        <is>
          <t>Cái</t>
        </is>
      </c>
      <c r="F190" s="5" t="n">
        <v>117000</v>
      </c>
      <c r="G190" s="5" t="n">
        <v>170000</v>
      </c>
      <c r="H190" s="6" t="n"/>
      <c r="I190" s="4" t="inlineStr">
        <is>
          <t>Cái 10v/H 50v/T</t>
        </is>
      </c>
    </row>
    <row r="191">
      <c r="A191" s="3" t="n">
        <v>190</v>
      </c>
      <c r="B191" s="3" t="n">
        <v>13</v>
      </c>
      <c r="C191" s="3" t="inlineStr">
        <is>
          <t>1</t>
        </is>
      </c>
      <c r="D191" s="4" t="inlineStr">
        <is>
          <t>Cưa Kingblue KB-E350 350mm</t>
        </is>
      </c>
      <c r="E191" s="3" t="inlineStr">
        <is>
          <t>Cái</t>
        </is>
      </c>
      <c r="F191" s="5" t="n">
        <v>242000</v>
      </c>
      <c r="G191" s="5" t="n">
        <v>286000</v>
      </c>
      <c r="H191" s="6" t="n">
        <v>351000</v>
      </c>
      <c r="I191" s="4" t="inlineStr">
        <is>
          <t>Cái  12c/H 48c/T Thép SK5 JAPAN</t>
        </is>
      </c>
    </row>
    <row r="192">
      <c r="A192" s="3" t="n">
        <v>191</v>
      </c>
      <c r="B192" s="3" t="n">
        <v>13</v>
      </c>
      <c r="C192" s="3" t="inlineStr">
        <is>
          <t>2</t>
        </is>
      </c>
      <c r="D192" s="4" t="inlineStr">
        <is>
          <t>Cưa Kingblue KB-S330 330mm</t>
        </is>
      </c>
      <c r="E192" s="3" t="inlineStr">
        <is>
          <t>Cái</t>
        </is>
      </c>
      <c r="F192" s="5" t="n">
        <v>263000</v>
      </c>
      <c r="G192" s="5" t="n">
        <v>310000</v>
      </c>
      <c r="H192" s="6" t="n">
        <v>381000</v>
      </c>
      <c r="I192" s="4" t="inlineStr">
        <is>
          <t>Cái  12c/H 48c/T Thép SK5 JAPAN</t>
        </is>
      </c>
    </row>
    <row r="193">
      <c r="A193" s="3" t="n">
        <v>192</v>
      </c>
      <c r="B193" s="3" t="n">
        <v>13</v>
      </c>
      <c r="C193" s="3" t="inlineStr">
        <is>
          <t>3</t>
        </is>
      </c>
      <c r="D193" s="4" t="inlineStr">
        <is>
          <t>Lưỡi Cưa Kingblue KB-LE350 350mm</t>
        </is>
      </c>
      <c r="E193" s="3" t="inlineStr">
        <is>
          <t>Cái</t>
        </is>
      </c>
      <c r="F193" s="5" t="n">
        <v>158000</v>
      </c>
      <c r="G193" s="5" t="n">
        <v>186000</v>
      </c>
      <c r="H193" s="6" t="n">
        <v>229000</v>
      </c>
      <c r="I193" s="4" t="inlineStr">
        <is>
          <t>Cái  50c/H 200c/T Thép SK5 JAP AN</t>
        </is>
      </c>
    </row>
    <row r="194">
      <c r="A194" s="3" t="n">
        <v>193</v>
      </c>
      <c r="B194" s="3" t="n">
        <v>13</v>
      </c>
      <c r="C194" s="3" t="inlineStr">
        <is>
          <t>4</t>
        </is>
      </c>
      <c r="D194" s="4" t="inlineStr">
        <is>
          <t>Lưỡi Cưa Kingblue KB-LS330 330mm</t>
        </is>
      </c>
      <c r="E194" s="3" t="inlineStr">
        <is>
          <t>Cái</t>
        </is>
      </c>
      <c r="F194" s="5" t="n">
        <v>184000</v>
      </c>
      <c r="G194" s="5" t="n">
        <v>217000</v>
      </c>
      <c r="H194" s="6" t="n">
        <v>267000</v>
      </c>
      <c r="I194" s="4" t="inlineStr">
        <is>
          <t>Cái  50c/H 200c/T Thép SK5 JAP AN</t>
        </is>
      </c>
    </row>
    <row r="195">
      <c r="A195" s="3" t="n">
        <v>194</v>
      </c>
      <c r="B195" s="3" t="n">
        <v>13</v>
      </c>
      <c r="C195" s="3" t="inlineStr">
        <is>
          <t>5</t>
        </is>
      </c>
      <c r="D195" s="4" t="inlineStr">
        <is>
          <t>Cưa gấp Kingblue ES180i 180mm</t>
        </is>
      </c>
      <c r="E195" s="3" t="inlineStr">
        <is>
          <t>Cái</t>
        </is>
      </c>
      <c r="F195" s="5" t="n">
        <v>139000</v>
      </c>
      <c r="G195" s="5" t="n">
        <v>164000</v>
      </c>
      <c r="H195" s="6" t="n">
        <v>202000</v>
      </c>
      <c r="I195" s="4" t="inlineStr">
        <is>
          <t>Cái  12c/H 72c/T Thép SK5 JAP AN</t>
        </is>
      </c>
    </row>
    <row r="196">
      <c r="A196" s="3" t="n">
        <v>195</v>
      </c>
      <c r="B196" s="3" t="n">
        <v>13</v>
      </c>
      <c r="C196" s="3" t="inlineStr">
        <is>
          <t>6</t>
        </is>
      </c>
      <c r="D196" s="4" t="inlineStr">
        <is>
          <t>Cưa gấp Kingblue ES250 250mm</t>
        </is>
      </c>
      <c r="E196" s="3" t="inlineStr">
        <is>
          <t>Cái</t>
        </is>
      </c>
      <c r="F196" s="5" t="n">
        <v>185000</v>
      </c>
      <c r="G196" s="5" t="n">
        <v>218000</v>
      </c>
      <c r="H196" s="6" t="n">
        <v>268000</v>
      </c>
      <c r="I196" s="4" t="inlineStr">
        <is>
          <t>Cái  12c/H 72c/T Thép SK5 JAP AN</t>
        </is>
      </c>
    </row>
    <row r="197">
      <c r="A197" s="3" t="n">
        <v>196</v>
      </c>
      <c r="B197" s="3" t="n">
        <v>13</v>
      </c>
      <c r="C197" s="3" t="inlineStr">
        <is>
          <t>7</t>
        </is>
      </c>
      <c r="D197" s="4" t="inlineStr">
        <is>
          <t>Cưa Kingblue KB-D300 300mm</t>
        </is>
      </c>
      <c r="E197" s="3" t="inlineStr">
        <is>
          <t>Cái</t>
        </is>
      </c>
      <c r="F197" s="5" t="n">
        <v>208000</v>
      </c>
      <c r="G197" s="5" t="n">
        <v>246000</v>
      </c>
      <c r="H197" s="6" t="n">
        <v>302000</v>
      </c>
      <c r="I197" s="4" t="inlineStr">
        <is>
          <t>Cái 20c/H 80c/T Thép SK5 JAPAN</t>
        </is>
      </c>
    </row>
    <row r="198">
      <c r="A198" s="3" t="n">
        <v>197</v>
      </c>
      <c r="B198" s="3" t="n">
        <v>13</v>
      </c>
      <c r="C198" s="3" t="inlineStr">
        <is>
          <t>8</t>
        </is>
      </c>
      <c r="D198" s="4" t="inlineStr">
        <is>
          <t>Lưỡi cưa Kingblue QLE300 300mm</t>
        </is>
      </c>
      <c r="E198" s="3" t="inlineStr">
        <is>
          <t>Cái</t>
        </is>
      </c>
      <c r="F198" s="5" t="n">
        <v>110000</v>
      </c>
      <c r="G198" s="5" t="n">
        <v>130000</v>
      </c>
      <c r="H198" s="6" t="n">
        <v>160000</v>
      </c>
      <c r="I198" s="4" t="inlineStr">
        <is>
          <t>Cái  40c/H 320c/T Thép SK5 JAPAN Lắp bổ sung cho kéo QE</t>
        </is>
      </c>
    </row>
    <row r="199">
      <c r="A199" s="3" t="n">
        <v>198</v>
      </c>
      <c r="B199" s="3" t="n">
        <v>13</v>
      </c>
      <c r="C199" s="3" t="inlineStr">
        <is>
          <t>9</t>
        </is>
      </c>
      <c r="D199" s="4" t="inlineStr">
        <is>
          <t>Lưỡi cưa Kingblue CLE-300 300mm</t>
        </is>
      </c>
      <c r="E199" s="3" t="inlineStr">
        <is>
          <t>Cái</t>
        </is>
      </c>
      <c r="F199" s="5" t="n">
        <v>98000</v>
      </c>
      <c r="G199" s="5" t="n">
        <v>116000</v>
      </c>
      <c r="H199" s="6" t="n">
        <v>142000</v>
      </c>
      <c r="I199" s="4" t="inlineStr">
        <is>
          <t>Cái  40c/H 320c/T Thép SK5 JAPANThay cho cưa CE</t>
        </is>
      </c>
    </row>
    <row r="200">
      <c r="A200" s="3" t="n">
        <v>199</v>
      </c>
      <c r="B200" s="3" t="n">
        <v>13</v>
      </c>
      <c r="C200" s="3" t="inlineStr">
        <is>
          <t>10</t>
        </is>
      </c>
      <c r="D200" s="4" t="inlineStr">
        <is>
          <t>Cưa cànhtrên cao CE215 2,1m</t>
        </is>
      </c>
      <c r="E200" s="3" t="inlineStr">
        <is>
          <t>Cái</t>
        </is>
      </c>
      <c r="F200" s="5" t="n">
        <v>466000</v>
      </c>
      <c r="G200" s="5" t="n">
        <v>550000</v>
      </c>
      <c r="H200" s="6" t="n">
        <v>676000</v>
      </c>
      <c r="I200" s="4" t="inlineStr">
        <is>
          <t>Cái  1c/H 24c/T</t>
        </is>
      </c>
    </row>
    <row r="201">
      <c r="A201" s="3" t="n">
        <v>200</v>
      </c>
      <c r="B201" s="3" t="n">
        <v>13</v>
      </c>
      <c r="C201" s="3" t="inlineStr">
        <is>
          <t>11</t>
        </is>
      </c>
      <c r="D201" s="4" t="inlineStr">
        <is>
          <t>Cưa cànhtrên cao CE280 2,8m</t>
        </is>
      </c>
      <c r="E201" s="3" t="inlineStr">
        <is>
          <t>Cái</t>
        </is>
      </c>
      <c r="F201" s="5" t="n">
        <v>490000</v>
      </c>
      <c r="G201" s="5" t="n">
        <v>578000</v>
      </c>
      <c r="H201" s="6" t="n">
        <v>711000</v>
      </c>
      <c r="I201" s="4" t="inlineStr">
        <is>
          <t>Cái  1c/H 24c/T</t>
        </is>
      </c>
    </row>
    <row r="202">
      <c r="A202" s="3" t="n">
        <v>201</v>
      </c>
      <c r="B202" s="3" t="n">
        <v>13</v>
      </c>
      <c r="C202" s="3" t="inlineStr"/>
      <c r="D202" s="4" t="inlineStr"/>
      <c r="E202" s="3" t="inlineStr">
        <is>
          <t>Cái</t>
        </is>
      </c>
      <c r="F202" s="5" t="n">
        <v>102000</v>
      </c>
      <c r="G202" s="5" t="n">
        <v>120000</v>
      </c>
      <c r="H202" s="6" t="n">
        <v>148000</v>
      </c>
      <c r="I202" s="4" t="inlineStr">
        <is>
          <t>Cái  6c/H 36c/T</t>
        </is>
      </c>
    </row>
    <row r="203">
      <c r="A203" s="3" t="n">
        <v>202</v>
      </c>
      <c r="B203" s="3" t="n">
        <v>13</v>
      </c>
      <c r="C203" s="3" t="inlineStr">
        <is>
          <t>13</t>
        </is>
      </c>
      <c r="D203" s="4" t="inlineStr">
        <is>
          <t>KB001-B7 7"</t>
        </is>
      </c>
      <c r="E203" s="3" t="inlineStr">
        <is>
          <t>Cái</t>
        </is>
      </c>
      <c r="F203" s="5" t="n">
        <v>98000</v>
      </c>
      <c r="G203" s="5" t="n">
        <v>116000</v>
      </c>
      <c r="H203" s="6" t="n">
        <v>142000</v>
      </c>
      <c r="I203" s="4" t="inlineStr">
        <is>
          <t>Cái  12c/H 72c/T Thép SK5 JAPAN Lưỡi made in Taiwan</t>
        </is>
      </c>
    </row>
    <row r="204">
      <c r="A204" s="3" t="n">
        <v>203</v>
      </c>
      <c r="B204" s="3" t="n">
        <v>13</v>
      </c>
      <c r="C204" s="3" t="inlineStr">
        <is>
          <t>14</t>
        </is>
      </c>
      <c r="D204" s="4" t="inlineStr">
        <is>
          <t>KB002-E7 8"</t>
        </is>
      </c>
      <c r="E204" s="3" t="inlineStr">
        <is>
          <t>Cái</t>
        </is>
      </c>
      <c r="F204" s="5" t="n">
        <v>145000</v>
      </c>
      <c r="G204" s="5" t="n">
        <v>171000</v>
      </c>
      <c r="H204" s="6" t="n">
        <v>210000</v>
      </c>
      <c r="I204" s="4" t="inlineStr">
        <is>
          <t>Cái  12c/H 72c/T Thép SK5 Japan</t>
        </is>
      </c>
    </row>
    <row r="205">
      <c r="A205" s="3" t="n">
        <v>204</v>
      </c>
      <c r="B205" s="3" t="n">
        <v>13</v>
      </c>
      <c r="C205" s="3" t="inlineStr">
        <is>
          <t>15</t>
        </is>
      </c>
      <c r="D205" s="4" t="inlineStr">
        <is>
          <t>KB002-E8 8"</t>
        </is>
      </c>
      <c r="E205" s="3" t="inlineStr">
        <is>
          <t>Cái</t>
        </is>
      </c>
      <c r="F205" s="5" t="n">
        <v>142000</v>
      </c>
      <c r="G205" s="5" t="n">
        <v>168000</v>
      </c>
      <c r="H205" s="6" t="n">
        <v>206000</v>
      </c>
      <c r="I205" s="4" t="inlineStr">
        <is>
          <t>Cái  12c/H 72c/T Thép SK5 JAPAN Lưỡi made in Taiwan</t>
        </is>
      </c>
    </row>
    <row r="206">
      <c r="A206" s="3" t="n">
        <v>205</v>
      </c>
      <c r="B206" s="3" t="n">
        <v>13</v>
      </c>
      <c r="C206" s="3" t="inlineStr">
        <is>
          <t>16</t>
        </is>
      </c>
      <c r="D206" s="4" t="inlineStr">
        <is>
          <t>KB004-S8 8"</t>
        </is>
      </c>
      <c r="E206" s="3" t="inlineStr">
        <is>
          <t>Cái</t>
        </is>
      </c>
      <c r="F206" s="5" t="n">
        <v>244000</v>
      </c>
      <c r="G206" s="5" t="n">
        <v>288000</v>
      </c>
      <c r="H206" s="6" t="n">
        <v>354000</v>
      </c>
      <c r="I206" s="4" t="inlineStr">
        <is>
          <t>Cái  12c/H 72c/T Thép SK5 JAPAN</t>
        </is>
      </c>
    </row>
    <row r="207">
      <c r="A207" s="3" t="n">
        <v>206</v>
      </c>
      <c r="B207" s="3" t="n">
        <v>14</v>
      </c>
      <c r="C207" s="3" t="inlineStr">
        <is>
          <t>17</t>
        </is>
      </c>
      <c r="D207" s="4" t="inlineStr">
        <is>
          <t>Kéo cắt cành cây màu đỏ S8-PA đỏ</t>
        </is>
      </c>
      <c r="E207" s="3" t="inlineStr">
        <is>
          <t>Cái</t>
        </is>
      </c>
      <c r="F207" s="5" t="n">
        <v>617000</v>
      </c>
      <c r="G207" s="5" t="n">
        <v>728000</v>
      </c>
      <c r="H207" s="6" t="n">
        <v>895000</v>
      </c>
      <c r="I207" s="4" t="inlineStr">
        <is>
          <t>Cái  10c/H 60c/T</t>
        </is>
      </c>
    </row>
    <row r="208">
      <c r="A208" s="3" t="n">
        <v>207</v>
      </c>
      <c r="B208" s="3" t="n">
        <v>14</v>
      </c>
      <c r="C208" s="3" t="inlineStr">
        <is>
          <t>18</t>
        </is>
      </c>
      <c r="D208" s="4" t="inlineStr">
        <is>
          <t>Kéo cắt cành cây màu xanh S8-PA xanh</t>
        </is>
      </c>
      <c r="E208" s="3" t="inlineStr">
        <is>
          <t>Cái</t>
        </is>
      </c>
      <c r="F208" s="5" t="n">
        <v>617000</v>
      </c>
      <c r="G208" s="5" t="n">
        <v>728000</v>
      </c>
      <c r="H208" s="6" t="n">
        <v>895000</v>
      </c>
      <c r="I208" s="4" t="inlineStr">
        <is>
          <t>Cái  10c/H 60c/T</t>
        </is>
      </c>
    </row>
    <row r="209">
      <c r="A209" s="3" t="n">
        <v>208</v>
      </c>
      <c r="B209" s="3" t="n">
        <v>14</v>
      </c>
      <c r="C209" s="3" t="inlineStr">
        <is>
          <t>19</t>
        </is>
      </c>
      <c r="D209" s="4" t="inlineStr">
        <is>
          <t>KB001-Q1 8"</t>
        </is>
      </c>
      <c r="E209" s="3" t="inlineStr">
        <is>
          <t>Cái</t>
        </is>
      </c>
      <c r="F209" s="5" t="n">
        <v>79000</v>
      </c>
      <c r="G209" s="5" t="n">
        <v>93000</v>
      </c>
      <c r="H209" s="6" t="n">
        <v>115000</v>
      </c>
      <c r="I209" s="4" t="inlineStr">
        <is>
          <t>Cái  12c/H 72c/T</t>
        </is>
      </c>
    </row>
    <row r="210">
      <c r="A210" s="3" t="n">
        <v>209</v>
      </c>
      <c r="B210" s="3" t="n">
        <v>14</v>
      </c>
      <c r="C210" s="3" t="inlineStr">
        <is>
          <t>20</t>
        </is>
      </c>
      <c r="D210" s="4" t="inlineStr">
        <is>
          <t>KB003-Q2 7"</t>
        </is>
      </c>
      <c r="E210" s="3" t="inlineStr">
        <is>
          <t>Cái</t>
        </is>
      </c>
      <c r="F210" s="5" t="n">
        <v>98000</v>
      </c>
      <c r="G210" s="5" t="n">
        <v>116000</v>
      </c>
      <c r="H210" s="6" t="n">
        <v>142000</v>
      </c>
      <c r="I210" s="4" t="inlineStr">
        <is>
          <t>Cái  12c/H 72c/T</t>
        </is>
      </c>
    </row>
    <row r="211">
      <c r="A211" s="3" t="n">
        <v>210</v>
      </c>
      <c r="B211" s="3" t="n">
        <v>14</v>
      </c>
      <c r="C211" s="3" t="inlineStr">
        <is>
          <t>21</t>
        </is>
      </c>
      <c r="D211" s="4" t="inlineStr">
        <is>
          <t>KB004-Q3 8"</t>
        </is>
      </c>
      <c r="E211" s="3" t="inlineStr">
        <is>
          <t>Cái</t>
        </is>
      </c>
      <c r="F211" s="5" t="n">
        <v>103000</v>
      </c>
      <c r="G211" s="5" t="n">
        <v>121000</v>
      </c>
      <c r="H211" s="6" t="n">
        <v>149000</v>
      </c>
      <c r="I211" s="4" t="inlineStr">
        <is>
          <t>Cái  12c/H 72c/T</t>
        </is>
      </c>
    </row>
    <row r="212">
      <c r="A212" s="3" t="n">
        <v>211</v>
      </c>
      <c r="B212" s="3" t="n">
        <v>14</v>
      </c>
      <c r="C212" s="3" t="inlineStr">
        <is>
          <t>22</t>
        </is>
      </c>
      <c r="D212" s="4" t="inlineStr">
        <is>
          <t>KB006-Q5 8"</t>
        </is>
      </c>
      <c r="E212" s="3" t="inlineStr">
        <is>
          <t>Cái</t>
        </is>
      </c>
      <c r="F212" s="5" t="n">
        <v>128000</v>
      </c>
      <c r="G212" s="5" t="n">
        <v>151000</v>
      </c>
      <c r="H212" s="6" t="n">
        <v>186000</v>
      </c>
      <c r="I212" s="4" t="inlineStr">
        <is>
          <t>Cái  12c/H 72c/T</t>
        </is>
      </c>
    </row>
    <row r="213">
      <c r="A213" s="3" t="n">
        <v>212</v>
      </c>
      <c r="B213" s="3" t="n">
        <v>14</v>
      </c>
      <c r="C213" s="3" t="inlineStr">
        <is>
          <t>23</t>
        </is>
      </c>
      <c r="D213" s="4" t="inlineStr">
        <is>
          <t>KB006-Q6 8"</t>
        </is>
      </c>
      <c r="E213" s="3" t="inlineStr">
        <is>
          <t>Cái</t>
        </is>
      </c>
      <c r="F213" s="5" t="n">
        <v>141000</v>
      </c>
      <c r="G213" s="5" t="n">
        <v>167000</v>
      </c>
      <c r="H213" s="6" t="n">
        <v>205000</v>
      </c>
      <c r="I213" s="4" t="inlineStr">
        <is>
          <t>Cái  12c/H 72c/T</t>
        </is>
      </c>
    </row>
    <row r="214">
      <c r="A214" s="3" t="n">
        <v>213</v>
      </c>
      <c r="B214" s="3" t="n">
        <v>14</v>
      </c>
      <c r="C214" s="3" t="inlineStr">
        <is>
          <t>24</t>
        </is>
      </c>
      <c r="D214" s="4" t="inlineStr">
        <is>
          <t>Kéo Kingblue Q8 8"</t>
        </is>
      </c>
      <c r="E214" s="3" t="inlineStr">
        <is>
          <t>Cái</t>
        </is>
      </c>
      <c r="F214" s="5" t="n">
        <v>145000</v>
      </c>
      <c r="G214" s="5" t="n">
        <v>171000</v>
      </c>
      <c r="H214" s="6" t="n">
        <v>210000</v>
      </c>
      <c r="I214" s="4" t="inlineStr">
        <is>
          <t>Cái  12c/H 72c/T Thép SK5 JAPAN</t>
        </is>
      </c>
    </row>
    <row r="215">
      <c r="A215" s="3" t="n">
        <v>214</v>
      </c>
      <c r="B215" s="3" t="n">
        <v>14</v>
      </c>
      <c r="C215" s="3" t="inlineStr">
        <is>
          <t>25</t>
        </is>
      </c>
      <c r="D215" s="4" t="inlineStr">
        <is>
          <t>Kéo cắt cành Kingblue Q9 8"</t>
        </is>
      </c>
      <c r="E215" s="3" t="inlineStr">
        <is>
          <t>Cái</t>
        </is>
      </c>
      <c r="F215" s="5" t="n">
        <v>185000</v>
      </c>
      <c r="G215" s="5" t="n">
        <v>218000</v>
      </c>
      <c r="H215" s="6" t="n">
        <v>268000</v>
      </c>
      <c r="I215" s="4" t="inlineStr">
        <is>
          <t>Cái  12c/H 72c/T Thép SK5 Japan</t>
        </is>
      </c>
    </row>
    <row r="216">
      <c r="A216" s="3" t="n">
        <v>215</v>
      </c>
      <c r="B216" s="3" t="n">
        <v>14</v>
      </c>
      <c r="C216" s="3" t="inlineStr">
        <is>
          <t>26</t>
        </is>
      </c>
      <c r="D216" s="4" t="inlineStr">
        <is>
          <t>QC1 8"</t>
        </is>
      </c>
      <c r="E216" s="3" t="inlineStr">
        <is>
          <t>Cái</t>
        </is>
      </c>
      <c r="F216" s="5" t="n">
        <v>38000</v>
      </c>
      <c r="G216" s="5" t="n">
        <v>45000</v>
      </c>
      <c r="H216" s="6" t="n">
        <v>55000</v>
      </c>
      <c r="I216" s="4" t="inlineStr">
        <is>
          <t>Cái  20c/H 160c/T Thép carbon</t>
        </is>
      </c>
    </row>
    <row r="217">
      <c r="A217" s="3" t="n">
        <v>216</v>
      </c>
      <c r="B217" s="3" t="n">
        <v>14</v>
      </c>
      <c r="C217" s="3" t="inlineStr">
        <is>
          <t>27</t>
        </is>
      </c>
      <c r="D217" s="4" t="inlineStr">
        <is>
          <t>QC2 8"</t>
        </is>
      </c>
      <c r="E217" s="3" t="inlineStr">
        <is>
          <t>Cái</t>
        </is>
      </c>
      <c r="F217" s="5" t="n">
        <v>65000</v>
      </c>
      <c r="G217" s="5" t="n">
        <v>77000</v>
      </c>
      <c r="H217" s="6" t="n">
        <v>94000</v>
      </c>
      <c r="I217" s="4" t="inlineStr">
        <is>
          <t>Cái  20c/H 160c/T Thép carbon</t>
        </is>
      </c>
    </row>
    <row r="218">
      <c r="A218" s="3" t="n">
        <v>217</v>
      </c>
      <c r="B218" s="3" t="n">
        <v>14</v>
      </c>
      <c r="C218" s="3" t="inlineStr">
        <is>
          <t>28</t>
        </is>
      </c>
      <c r="D218" s="4" t="inlineStr">
        <is>
          <t>QC3 8"</t>
        </is>
      </c>
      <c r="E218" s="3" t="inlineStr">
        <is>
          <t>Cái</t>
        </is>
      </c>
      <c r="F218" s="5" t="n">
        <v>80000</v>
      </c>
      <c r="G218" s="5" t="n">
        <v>94000</v>
      </c>
      <c r="H218" s="6" t="n">
        <v>116000</v>
      </c>
      <c r="I218" s="4" t="inlineStr">
        <is>
          <t>Cái 12c/H 96c/T Thép Carbon</t>
        </is>
      </c>
    </row>
    <row r="219">
      <c r="A219" s="3" t="n">
        <v>218</v>
      </c>
      <c r="B219" s="3" t="n">
        <v>14</v>
      </c>
      <c r="C219" s="3" t="inlineStr">
        <is>
          <t>29</t>
        </is>
      </c>
      <c r="D219" s="4" t="inlineStr">
        <is>
          <t>QC4 7.5"</t>
        </is>
      </c>
      <c r="E219" s="3" t="inlineStr">
        <is>
          <t>Cái</t>
        </is>
      </c>
      <c r="F219" s="5" t="n">
        <v>103000</v>
      </c>
      <c r="G219" s="5" t="n">
        <v>121000</v>
      </c>
      <c r="H219" s="6" t="n">
        <v>149000</v>
      </c>
      <c r="I219" s="4" t="inlineStr">
        <is>
          <t>Cái 12c/H 72c/T Thép Carbon</t>
        </is>
      </c>
    </row>
    <row r="220">
      <c r="A220" s="3" t="n">
        <v>219</v>
      </c>
      <c r="B220" s="3" t="n">
        <v>14</v>
      </c>
      <c r="C220" s="3" t="inlineStr">
        <is>
          <t>30</t>
        </is>
      </c>
      <c r="D220" s="4" t="inlineStr">
        <is>
          <t>QE320 3m</t>
        </is>
      </c>
      <c r="E220" s="3" t="inlineStr">
        <is>
          <t>Cái</t>
        </is>
      </c>
      <c r="F220" s="5" t="n">
        <v>712000</v>
      </c>
      <c r="G220" s="5" t="n">
        <v>840000</v>
      </c>
      <c r="H220" s="6" t="n">
        <v>1032000</v>
      </c>
      <c r="I220" s="4" t="inlineStr">
        <is>
          <t>Cái  6c/T</t>
        </is>
      </c>
    </row>
    <row r="221">
      <c r="A221" s="3" t="n">
        <v>220</v>
      </c>
      <c r="B221" s="3" t="n">
        <v>14</v>
      </c>
      <c r="C221" s="3" t="inlineStr">
        <is>
          <t>31</t>
        </is>
      </c>
      <c r="D221" s="4" t="inlineStr">
        <is>
          <t>QE420 4m</t>
        </is>
      </c>
      <c r="E221" s="3" t="inlineStr">
        <is>
          <t>Cái</t>
        </is>
      </c>
      <c r="F221" s="5" t="n">
        <v>797000</v>
      </c>
      <c r="G221" s="5" t="n">
        <v>941000</v>
      </c>
      <c r="H221" s="6" t="n">
        <v>1156000</v>
      </c>
      <c r="I221" s="4" t="inlineStr">
        <is>
          <t>Cái  6c/T</t>
        </is>
      </c>
    </row>
    <row r="222">
      <c r="A222" s="3" t="n">
        <v>221</v>
      </c>
      <c r="B222" s="3" t="n">
        <v>14</v>
      </c>
      <c r="C222" s="3" t="inlineStr">
        <is>
          <t>32</t>
        </is>
      </c>
      <c r="D222" s="4" t="inlineStr">
        <is>
          <t>Mài kéo MK-150</t>
        </is>
      </c>
      <c r="E222" s="3" t="inlineStr">
        <is>
          <t>Cái</t>
        </is>
      </c>
      <c r="F222" s="5" t="n">
        <v>100000</v>
      </c>
      <c r="G222" s="5" t="n">
        <v>118000</v>
      </c>
      <c r="H222" s="6" t="n">
        <v>145000</v>
      </c>
      <c r="I222" s="4" t="inlineStr">
        <is>
          <t>Cái 12c/H 144c/T Lưỡi mài hợp kim cứng, độ bền cao</t>
        </is>
      </c>
    </row>
    <row r="223">
      <c r="A223" s="3" t="n">
        <v>222</v>
      </c>
      <c r="B223" s="3" t="n">
        <v>15</v>
      </c>
      <c r="C223" s="3" t="inlineStr">
        <is>
          <t>1</t>
        </is>
      </c>
      <c r="D223" s="4" t="inlineStr">
        <is>
          <t>Siết tôn KingBlue KB8*48G KB8x48G 8*48mm</t>
        </is>
      </c>
      <c r="E223" s="3" t="inlineStr">
        <is>
          <t>Cái</t>
        </is>
      </c>
      <c r="F223" s="5" t="n">
        <v>7500</v>
      </c>
      <c r="G223" s="5" t="n">
        <v>10000</v>
      </c>
      <c r="H223" s="6" t="n">
        <v>13000</v>
      </c>
      <c r="I223" s="4" t="inlineStr">
        <is>
          <t>Cái  10C/V 1000c/T100c/H     Thép S2 Taiwan, Chống rớt lõi từ</t>
        </is>
      </c>
    </row>
    <row r="224">
      <c r="A224" s="3" t="n">
        <v>223</v>
      </c>
      <c r="B224" s="3" t="n">
        <v>15</v>
      </c>
      <c r="C224" s="3" t="inlineStr">
        <is>
          <t>2</t>
        </is>
      </c>
      <c r="D224" s="4" t="inlineStr">
        <is>
          <t>Siết tôn King Blue ST08x42V ST08x42V 8*42mm</t>
        </is>
      </c>
      <c r="E224" s="3" t="inlineStr">
        <is>
          <t>Vỉ</t>
        </is>
      </c>
      <c r="F224" s="5" t="n">
        <v>22000</v>
      </c>
      <c r="G224" s="5" t="n">
        <v>28000</v>
      </c>
      <c r="H224" s="6" t="n">
        <v>36000</v>
      </c>
      <c r="I224" s="4" t="inlineStr">
        <is>
          <t>Vỉ  2C/V 100c/H1000c/T</t>
        </is>
      </c>
    </row>
    <row r="225">
      <c r="A225" s="3" t="n">
        <v>224</v>
      </c>
      <c r="B225" s="3" t="n">
        <v>15</v>
      </c>
      <c r="C225" s="3" t="inlineStr">
        <is>
          <t>3</t>
        </is>
      </c>
      <c r="D225" s="4" t="inlineStr">
        <is>
          <t>ST08x65G 8*65mm</t>
        </is>
      </c>
      <c r="E225" s="3" t="inlineStr">
        <is>
          <t>Cái</t>
        </is>
      </c>
      <c r="F225" s="5" t="n">
        <v>8500</v>
      </c>
      <c r="G225" s="5" t="n">
        <v>11000</v>
      </c>
      <c r="H225" s="6" t="n">
        <v>14000</v>
      </c>
      <c r="I225" s="4" t="inlineStr">
        <is>
          <t>Cái 5C/V 500c/T50c/H</t>
        </is>
      </c>
    </row>
    <row r="226">
      <c r="A226" s="3" t="n">
        <v>225</v>
      </c>
      <c r="B226" s="3" t="n">
        <v>15</v>
      </c>
      <c r="C226" s="3" t="inlineStr">
        <is>
          <t>4</t>
        </is>
      </c>
      <c r="D226" s="4" t="inlineStr">
        <is>
          <t>ST10x65G 10*65mm</t>
        </is>
      </c>
      <c r="E226" s="3" t="inlineStr">
        <is>
          <t>Cái</t>
        </is>
      </c>
      <c r="F226" s="5" t="n">
        <v>9000</v>
      </c>
      <c r="G226" s="5" t="n">
        <v>11000</v>
      </c>
      <c r="H226" s="6" t="n">
        <v>15000</v>
      </c>
      <c r="I226" s="4" t="inlineStr">
        <is>
          <t>Cái 5C/V 500c/T50c/H</t>
        </is>
      </c>
    </row>
    <row r="227">
      <c r="A227" s="3" t="n">
        <v>226</v>
      </c>
      <c r="B227" s="3" t="n">
        <v>15</v>
      </c>
      <c r="C227" s="3" t="inlineStr">
        <is>
          <t>5</t>
        </is>
      </c>
      <c r="D227" s="4" t="inlineStr">
        <is>
          <t>ST12x65G 12*65mm</t>
        </is>
      </c>
      <c r="E227" s="3" t="inlineStr">
        <is>
          <t>Cái</t>
        </is>
      </c>
      <c r="F227" s="5" t="n">
        <v>11000</v>
      </c>
      <c r="G227" s="5" t="n">
        <v>14000</v>
      </c>
      <c r="H227" s="6" t="n">
        <v>18000</v>
      </c>
      <c r="I227" s="4" t="inlineStr">
        <is>
          <t>Cái 5C/V 400c/T40c/H</t>
        </is>
      </c>
    </row>
    <row r="228">
      <c r="A228" s="3" t="n">
        <v>227</v>
      </c>
      <c r="B228" s="3" t="n">
        <v>15</v>
      </c>
      <c r="C228" s="3" t="inlineStr">
        <is>
          <t>6</t>
        </is>
      </c>
      <c r="D228" s="4" t="inlineStr">
        <is>
          <t>ST13x65G 13*65mm</t>
        </is>
      </c>
      <c r="E228" s="3" t="inlineStr">
        <is>
          <t>Cái</t>
        </is>
      </c>
      <c r="F228" s="5" t="n">
        <v>13500</v>
      </c>
      <c r="G228" s="5" t="n">
        <v>17000</v>
      </c>
      <c r="H228" s="6" t="n">
        <v>22000</v>
      </c>
      <c r="I228" s="4" t="inlineStr">
        <is>
          <t>Cái 5C/V 400c/T40c/H</t>
        </is>
      </c>
    </row>
    <row r="229">
      <c r="A229" s="3" t="n">
        <v>228</v>
      </c>
      <c r="B229" s="3" t="n">
        <v>15</v>
      </c>
      <c r="C229" s="3" t="inlineStr">
        <is>
          <t>7</t>
        </is>
      </c>
      <c r="D229" s="4" t="inlineStr">
        <is>
          <t>ST14x65G 14*65mm</t>
        </is>
      </c>
      <c r="E229" s="3" t="inlineStr">
        <is>
          <t>Cái</t>
        </is>
      </c>
      <c r="F229" s="5" t="n">
        <v>13500</v>
      </c>
      <c r="G229" s="5" t="n">
        <v>17000</v>
      </c>
      <c r="H229" s="6" t="n">
        <v>22000</v>
      </c>
      <c r="I229" s="4" t="inlineStr">
        <is>
          <t>Cái 5C/V 400c/T40c/H</t>
        </is>
      </c>
    </row>
    <row r="230">
      <c r="A230" s="3" t="n">
        <v>229</v>
      </c>
      <c r="B230" s="3" t="n">
        <v>15</v>
      </c>
      <c r="C230" s="3" t="inlineStr">
        <is>
          <t>8</t>
        </is>
      </c>
      <c r="D230" s="4" t="inlineStr">
        <is>
          <t>ST17x65G 17*65mm</t>
        </is>
      </c>
      <c r="E230" s="3" t="inlineStr">
        <is>
          <t>Cái</t>
        </is>
      </c>
      <c r="F230" s="5" t="n">
        <v>21500</v>
      </c>
      <c r="G230" s="5" t="n">
        <v>27000</v>
      </c>
      <c r="H230" s="6" t="n">
        <v>36000</v>
      </c>
      <c r="I230" s="4" t="inlineStr">
        <is>
          <t>Cái 3C/V18C/H 180c/T</t>
        </is>
      </c>
    </row>
    <row r="231">
      <c r="A231" s="3" t="n">
        <v>230</v>
      </c>
      <c r="B231" s="3" t="n">
        <v>16</v>
      </c>
      <c r="C231" s="3" t="inlineStr">
        <is>
          <t>9</t>
        </is>
      </c>
      <c r="D231" s="4" t="inlineStr">
        <is>
          <t>Vít KingBlue KB4x65 KB4*65 65mm</t>
        </is>
      </c>
      <c r="E231" s="3" t="inlineStr">
        <is>
          <t>Cái</t>
        </is>
      </c>
      <c r="F231" s="5" t="n">
        <v>7500</v>
      </c>
      <c r="G231" s="5" t="n">
        <v>10000</v>
      </c>
      <c r="H231" s="6" t="n">
        <v>12500</v>
      </c>
      <c r="I231" s="4" t="inlineStr">
        <is>
          <t>Cái  10C/V 1000c/T</t>
        </is>
      </c>
    </row>
    <row r="232">
      <c r="A232" s="3" t="n">
        <v>231</v>
      </c>
      <c r="B232" s="3" t="n">
        <v>16</v>
      </c>
      <c r="C232" s="3" t="inlineStr">
        <is>
          <t>10</t>
        </is>
      </c>
      <c r="D232" s="4" t="inlineStr">
        <is>
          <t>Vít KingBlue KB4x100 KB4*100 100mm</t>
        </is>
      </c>
      <c r="E232" s="3" t="inlineStr">
        <is>
          <t>Cái</t>
        </is>
      </c>
      <c r="F232" s="5" t="n">
        <v>11000</v>
      </c>
      <c r="G232" s="5" t="n">
        <v>14000</v>
      </c>
      <c r="H232" s="6" t="n">
        <v>18000</v>
      </c>
      <c r="I232" s="4" t="inlineStr">
        <is>
          <t>Cái  5C/V 500c/T</t>
        </is>
      </c>
    </row>
    <row r="233">
      <c r="A233" s="3" t="n">
        <v>232</v>
      </c>
      <c r="B233" s="3" t="n">
        <v>16</v>
      </c>
      <c r="C233" s="3" t="inlineStr"/>
      <c r="D233" s="4" t="inlineStr">
        <is>
          <t>KB4x65T 65mm</t>
        </is>
      </c>
      <c r="E233" s="3" t="inlineStr">
        <is>
          <t>Cái</t>
        </is>
      </c>
      <c r="F233" s="5" t="n">
        <v>7000</v>
      </c>
      <c r="G233" s="5" t="n">
        <v>9000</v>
      </c>
      <c r="H233" s="6" t="n">
        <v>12500</v>
      </c>
      <c r="I233" s="4" t="inlineStr">
        <is>
          <t>Cái  10C/V 1000c/T</t>
        </is>
      </c>
    </row>
    <row r="234">
      <c r="A234" s="3" t="n">
        <v>233</v>
      </c>
      <c r="B234" s="3" t="n">
        <v>16</v>
      </c>
      <c r="C234" s="3" t="inlineStr">
        <is>
          <t>12</t>
        </is>
      </c>
      <c r="D234" s="4" t="inlineStr">
        <is>
          <t>Vít KingBlue KB4x100T KB4*100T 100mm</t>
        </is>
      </c>
      <c r="E234" s="3" t="inlineStr">
        <is>
          <t>Cái</t>
        </is>
      </c>
      <c r="F234" s="5" t="n">
        <v>10000</v>
      </c>
      <c r="G234" s="5" t="n">
        <v>13000</v>
      </c>
      <c r="H234" s="6" t="n">
        <v>17000</v>
      </c>
      <c r="I234" s="4" t="inlineStr">
        <is>
          <t>Cái  5C/V 500c/T</t>
        </is>
      </c>
    </row>
    <row r="235">
      <c r="A235" s="3" t="n">
        <v>234</v>
      </c>
      <c r="B235" s="3" t="n">
        <v>16</v>
      </c>
      <c r="C235" s="3" t="inlineStr">
        <is>
          <t>13</t>
        </is>
      </c>
      <c r="D235" s="4" t="inlineStr">
        <is>
          <t>Vít KingBlue KB4x65S KB4*65S 65mm</t>
        </is>
      </c>
      <c r="E235" s="3" t="inlineStr">
        <is>
          <t>Cái</t>
        </is>
      </c>
      <c r="F235" s="5" t="n">
        <v>11000</v>
      </c>
      <c r="G235" s="5" t="n">
        <v>14000</v>
      </c>
      <c r="H235" s="6" t="n">
        <v>18000</v>
      </c>
      <c r="I235" s="4" t="inlineStr">
        <is>
          <t>Cái  10C/V 1000c/T</t>
        </is>
      </c>
    </row>
    <row r="236">
      <c r="A236" s="3" t="n">
        <v>235</v>
      </c>
      <c r="B236" s="3" t="n">
        <v>16</v>
      </c>
      <c r="C236" s="3" t="inlineStr">
        <is>
          <t>14</t>
        </is>
      </c>
      <c r="D236" s="4" t="inlineStr">
        <is>
          <t>Vít KingBlue KB4x100S KB4*100S 100mm</t>
        </is>
      </c>
      <c r="E236" s="3" t="inlineStr">
        <is>
          <t>Cái</t>
        </is>
      </c>
      <c r="F236" s="5" t="n">
        <v>15000</v>
      </c>
      <c r="G236" s="5" t="n">
        <v>19000</v>
      </c>
      <c r="H236" s="6" t="n">
        <v>25000</v>
      </c>
      <c r="I236" s="4" t="inlineStr">
        <is>
          <t>Cái  10C/V</t>
        </is>
      </c>
    </row>
    <row r="237">
      <c r="A237" s="3" t="n">
        <v>236</v>
      </c>
      <c r="B237" s="3" t="n">
        <v>16</v>
      </c>
      <c r="C237" s="3" t="inlineStr">
        <is>
          <t>15</t>
        </is>
      </c>
      <c r="D237" s="4" t="inlineStr">
        <is>
          <t>V65E 65mm</t>
        </is>
      </c>
      <c r="E237" s="3" t="inlineStr">
        <is>
          <t>Cái</t>
        </is>
      </c>
      <c r="F237" s="5" t="n">
        <v>8000</v>
      </c>
      <c r="G237" s="5" t="n">
        <v>10000</v>
      </c>
      <c r="H237" s="6" t="n">
        <v>14000</v>
      </c>
      <c r="I237" s="4" t="inlineStr">
        <is>
          <t>Cái  10C/V 1000c/T100c/H</t>
        </is>
      </c>
    </row>
    <row r="238">
      <c r="A238" s="3" t="n">
        <v>237</v>
      </c>
      <c r="B238" s="3" t="n">
        <v>16</v>
      </c>
      <c r="C238" s="3" t="inlineStr">
        <is>
          <t>16</t>
        </is>
      </c>
      <c r="D238" s="4" t="inlineStr">
        <is>
          <t>V100E 100mm</t>
        </is>
      </c>
      <c r="E238" s="3" t="inlineStr">
        <is>
          <t>Cái</t>
        </is>
      </c>
      <c r="F238" s="5" t="n">
        <v>11000</v>
      </c>
      <c r="G238" s="5" t="n">
        <v>14000</v>
      </c>
      <c r="H238" s="6" t="n">
        <v>18000</v>
      </c>
      <c r="I238" s="4" t="inlineStr">
        <is>
          <t>Cái 5C/V 500c/T50c/H</t>
        </is>
      </c>
    </row>
    <row r="239">
      <c r="A239" s="3" t="n">
        <v>238</v>
      </c>
      <c r="B239" s="3" t="n">
        <v>16</v>
      </c>
      <c r="C239" s="3" t="inlineStr">
        <is>
          <t>17</t>
        </is>
      </c>
      <c r="D239" s="4" t="inlineStr">
        <is>
          <t>V50S 1/4 inch, 50mm</t>
        </is>
      </c>
      <c r="E239" s="3" t="inlineStr">
        <is>
          <t>Vỉ</t>
        </is>
      </c>
      <c r="F239" s="5" t="n">
        <v>28000</v>
      </c>
      <c r="G239" s="5" t="n">
        <v>36000</v>
      </c>
      <c r="H239" s="6" t="n">
        <v>48000</v>
      </c>
      <c r="I239" s="4" t="inlineStr">
        <is>
          <t>Vỉ 2C/VGiá tính theo Vỉ 100c/H1000c/T Chất liệu: Thép S2 - Taiwan, đầu vít phủ kim cương siêu cứng ,siêu hít</t>
        </is>
      </c>
    </row>
    <row r="240">
      <c r="A240" s="3" t="n">
        <v>239</v>
      </c>
      <c r="B240" s="3" t="n">
        <v>16</v>
      </c>
      <c r="C240" s="3" t="inlineStr">
        <is>
          <t>18</t>
        </is>
      </c>
      <c r="D240" s="4" t="inlineStr">
        <is>
          <t>V65S 1/4 inch, 65mm</t>
        </is>
      </c>
      <c r="E240" s="3" t="inlineStr">
        <is>
          <t>Vỉ</t>
        </is>
      </c>
      <c r="F240" s="5" t="n">
        <v>30000</v>
      </c>
      <c r="G240" s="5" t="n">
        <v>38000</v>
      </c>
      <c r="H240" s="6" t="n">
        <v>50000</v>
      </c>
      <c r="I240" s="4" t="inlineStr">
        <is>
          <t>Vỉ 2C/VGiá tính theo Vỉ 100c/H1000c/T</t>
        </is>
      </c>
    </row>
    <row r="241">
      <c r="A241" s="3" t="n">
        <v>240</v>
      </c>
      <c r="B241" s="3" t="n">
        <v>16</v>
      </c>
      <c r="C241" s="3" t="inlineStr">
        <is>
          <t>19</t>
        </is>
      </c>
      <c r="D241" s="4" t="inlineStr">
        <is>
          <t>V100S 1/4 inch, 100mm</t>
        </is>
      </c>
      <c r="E241" s="3" t="inlineStr">
        <is>
          <t>Vỉ</t>
        </is>
      </c>
      <c r="F241" s="5" t="n">
        <v>44000</v>
      </c>
      <c r="G241" s="5" t="n">
        <v>56000</v>
      </c>
      <c r="H241" s="6" t="n">
        <v>73000</v>
      </c>
      <c r="I241" s="4" t="inlineStr">
        <is>
          <t>Vỉ 2C/VGiá tính theo Vỉ 100c/H1000c/T Chất liệu: Thép S2 - Taiwan, đầu vít phủ kim cương siêu cứng ,siêu hít</t>
        </is>
      </c>
    </row>
    <row r="242">
      <c r="A242" s="3" t="n">
        <v>241</v>
      </c>
      <c r="B242" s="3" t="n">
        <v>16</v>
      </c>
      <c r="C242" s="3" t="inlineStr">
        <is>
          <t>20</t>
        </is>
      </c>
      <c r="D242" s="4" t="inlineStr">
        <is>
          <t>V150S 1/4 inch, 150mm</t>
        </is>
      </c>
      <c r="E242" s="3" t="inlineStr">
        <is>
          <t>Vỉ</t>
        </is>
      </c>
      <c r="F242" s="5" t="n">
        <v>54000</v>
      </c>
      <c r="G242" s="5" t="n">
        <v>68000</v>
      </c>
      <c r="H242" s="6" t="n">
        <v>89000</v>
      </c>
      <c r="I242" s="4" t="inlineStr">
        <is>
          <t>Vỉ 2C/VGiá tính theo Vỉ 40c/H400c/T</t>
        </is>
      </c>
    </row>
    <row r="243">
      <c r="A243" s="3" t="n">
        <v>242</v>
      </c>
      <c r="B243" s="3" t="n">
        <v>17</v>
      </c>
      <c r="C243" s="3" t="inlineStr">
        <is>
          <t>21</t>
        </is>
      </c>
      <c r="D243" s="4" t="inlineStr">
        <is>
          <t>V65R 1/4 inch, 65mm</t>
        </is>
      </c>
      <c r="E243" s="3" t="inlineStr">
        <is>
          <t>Vỉ</t>
        </is>
      </c>
      <c r="F243" s="5" t="n">
        <v>20000</v>
      </c>
      <c r="G243" s="5" t="n">
        <v>25000</v>
      </c>
      <c r="H243" s="6" t="n">
        <v>33000</v>
      </c>
      <c r="I243" s="4" t="inlineStr">
        <is>
          <t>Vỉ 2C/VGiá tính theo Vỉ 100c/H1000c/T</t>
        </is>
      </c>
    </row>
    <row r="244">
      <c r="A244" s="3" t="n">
        <v>243</v>
      </c>
      <c r="B244" s="3" t="n">
        <v>17</v>
      </c>
      <c r="C244" s="3" t="inlineStr">
        <is>
          <t>22</t>
        </is>
      </c>
      <c r="D244" s="4" t="inlineStr">
        <is>
          <t>V100R 1/4 inch, 100mm</t>
        </is>
      </c>
      <c r="E244" s="3" t="inlineStr">
        <is>
          <t>Vỉ</t>
        </is>
      </c>
      <c r="F244" s="5" t="n">
        <v>29000</v>
      </c>
      <c r="G244" s="5" t="n">
        <v>37000</v>
      </c>
      <c r="H244" s="6" t="n">
        <v>48000</v>
      </c>
      <c r="I244" s="4" t="inlineStr">
        <is>
          <t>Vỉ 2C/VỉGiá tính theo Vỉ 50c/H500c/T</t>
        </is>
      </c>
    </row>
    <row r="245">
      <c r="A245" s="3" t="n">
        <v>244</v>
      </c>
      <c r="B245" s="3" t="n">
        <v>17</v>
      </c>
      <c r="C245" s="3" t="inlineStr">
        <is>
          <t>23</t>
        </is>
      </c>
      <c r="D245" s="4" t="inlineStr">
        <is>
          <t>V150R 1/4 inch, 150mm</t>
        </is>
      </c>
      <c r="E245" s="3" t="inlineStr">
        <is>
          <t>Vỉ</t>
        </is>
      </c>
      <c r="F245" s="5" t="n">
        <v>40000</v>
      </c>
      <c r="G245" s="5" t="n">
        <v>50000</v>
      </c>
      <c r="H245" s="6" t="n">
        <v>66000</v>
      </c>
      <c r="I245" s="4" t="inlineStr">
        <is>
          <t>Vỉ 2C/VGiá tính theo Vỉ 50c/H500c/T</t>
        </is>
      </c>
    </row>
    <row r="246">
      <c r="A246" s="3" t="n">
        <v>245</v>
      </c>
      <c r="B246" s="3" t="n">
        <v>17</v>
      </c>
      <c r="C246" s="3" t="inlineStr">
        <is>
          <t>24</t>
        </is>
      </c>
      <c r="D246" s="4" t="inlineStr">
        <is>
          <t>Bộ đầu hoa thị T9100E T9100E</t>
        </is>
      </c>
      <c r="E246" s="3" t="inlineStr">
        <is>
          <t>Bộ</t>
        </is>
      </c>
      <c r="F246" s="5" t="n">
        <v>86000</v>
      </c>
      <c r="G246" s="5" t="n">
        <v>108000</v>
      </c>
      <c r="H246" s="6" t="n">
        <v>142000</v>
      </c>
      <c r="I246" s="4" t="inlineStr">
        <is>
          <t>Bộ 10B/H 100B/T</t>
        </is>
      </c>
    </row>
    <row r="247">
      <c r="A247" s="3" t="n">
        <v>246</v>
      </c>
      <c r="B247" s="3" t="n">
        <v>17</v>
      </c>
      <c r="C247" s="3" t="inlineStr">
        <is>
          <t>25</t>
        </is>
      </c>
      <c r="D247" s="4" t="inlineStr">
        <is>
          <t>Bộ đầu lục giác L8100E L8100E</t>
        </is>
      </c>
      <c r="E247" s="3" t="inlineStr">
        <is>
          <t>Bộ</t>
        </is>
      </c>
      <c r="F247" s="5" t="n">
        <v>86000</v>
      </c>
      <c r="G247" s="5" t="n">
        <v>108000</v>
      </c>
      <c r="H247" s="6" t="n">
        <v>142000</v>
      </c>
      <c r="I247" s="4" t="inlineStr">
        <is>
          <t>Bộ 10B/H 100B/T</t>
        </is>
      </c>
    </row>
    <row r="248">
      <c r="A248" s="3" t="n">
        <v>247</v>
      </c>
      <c r="B248" s="3" t="n">
        <v>17</v>
      </c>
      <c r="C248" s="3" t="inlineStr">
        <is>
          <t>26</t>
        </is>
      </c>
      <c r="D248" s="4" t="inlineStr">
        <is>
          <t>T265E-T10 T10*65mm</t>
        </is>
      </c>
      <c r="E248" s="3" t="inlineStr">
        <is>
          <t>Vỉ</t>
        </is>
      </c>
      <c r="F248" s="5" t="n">
        <v>17000</v>
      </c>
      <c r="G248" s="5" t="n">
        <v>22000</v>
      </c>
      <c r="H248" s="6" t="n">
        <v>29000</v>
      </c>
      <c r="I248" s="4" t="inlineStr">
        <is>
          <t>Vỉ 2C/V16C/dây 160c/H960c/T</t>
        </is>
      </c>
    </row>
    <row r="249">
      <c r="A249" s="3" t="n">
        <v>248</v>
      </c>
      <c r="B249" s="3" t="n">
        <v>17</v>
      </c>
      <c r="C249" s="3" t="inlineStr">
        <is>
          <t>27</t>
        </is>
      </c>
      <c r="D249" s="4" t="inlineStr">
        <is>
          <t>T265E-T15 T15*65mm</t>
        </is>
      </c>
      <c r="E249" s="3" t="inlineStr">
        <is>
          <t>Vỉ</t>
        </is>
      </c>
      <c r="F249" s="5" t="n">
        <v>17000</v>
      </c>
      <c r="G249" s="5" t="n">
        <v>22000</v>
      </c>
      <c r="H249" s="6" t="n">
        <v>29000</v>
      </c>
      <c r="I249" s="4" t="inlineStr">
        <is>
          <t>Vỉ 2C/V16C/dây 160c/H960c/T</t>
        </is>
      </c>
    </row>
    <row r="250">
      <c r="A250" s="3" t="n">
        <v>249</v>
      </c>
      <c r="B250" s="3" t="n">
        <v>17</v>
      </c>
      <c r="C250" s="3" t="inlineStr">
        <is>
          <t>28</t>
        </is>
      </c>
      <c r="D250" s="4" t="inlineStr">
        <is>
          <t>T265E-T20 T20*65mm</t>
        </is>
      </c>
      <c r="E250" s="3" t="inlineStr">
        <is>
          <t>Vỉ</t>
        </is>
      </c>
      <c r="F250" s="5" t="n">
        <v>17000</v>
      </c>
      <c r="G250" s="5" t="n">
        <v>22000</v>
      </c>
      <c r="H250" s="6" t="n">
        <v>29000</v>
      </c>
      <c r="I250" s="4" t="inlineStr">
        <is>
          <t>Vỉ 2C/V16C/dây 160c/H960c/T</t>
        </is>
      </c>
    </row>
    <row r="251">
      <c r="A251" s="3" t="n">
        <v>250</v>
      </c>
      <c r="B251" s="3" t="n">
        <v>17</v>
      </c>
      <c r="C251" s="3" t="inlineStr">
        <is>
          <t>29</t>
        </is>
      </c>
      <c r="D251" s="4" t="inlineStr">
        <is>
          <t>T265E-T25 T25*65mm</t>
        </is>
      </c>
      <c r="E251" s="3" t="inlineStr">
        <is>
          <t>Vỉ</t>
        </is>
      </c>
      <c r="F251" s="5" t="n">
        <v>17000</v>
      </c>
      <c r="G251" s="5" t="n">
        <v>22000</v>
      </c>
      <c r="H251" s="6" t="n">
        <v>29000</v>
      </c>
      <c r="I251" s="4" t="inlineStr">
        <is>
          <t>Vỉ 2C/V16C/dây 160c/H960c/T</t>
        </is>
      </c>
    </row>
    <row r="252">
      <c r="A252" s="3" t="n">
        <v>251</v>
      </c>
      <c r="B252" s="3" t="n">
        <v>17</v>
      </c>
      <c r="C252" s="3" t="inlineStr">
        <is>
          <t>30</t>
        </is>
      </c>
      <c r="D252" s="4" t="inlineStr">
        <is>
          <t>T265E-T27 T27*65mm</t>
        </is>
      </c>
      <c r="E252" s="3" t="inlineStr">
        <is>
          <t>Vỉ</t>
        </is>
      </c>
      <c r="F252" s="5" t="n">
        <v>17000</v>
      </c>
      <c r="G252" s="5" t="n">
        <v>22000</v>
      </c>
      <c r="H252" s="6" t="n">
        <v>29000</v>
      </c>
      <c r="I252" s="4" t="inlineStr">
        <is>
          <t>Vỉ 2C/V16C/dây 160c/H960c/T</t>
        </is>
      </c>
    </row>
    <row r="253">
      <c r="A253" s="3" t="n">
        <v>252</v>
      </c>
      <c r="B253" s="3" t="n">
        <v>17</v>
      </c>
      <c r="C253" s="3" t="inlineStr">
        <is>
          <t>31</t>
        </is>
      </c>
      <c r="D253" s="4" t="inlineStr">
        <is>
          <t>T265E-T30 T30*65mm</t>
        </is>
      </c>
      <c r="E253" s="3" t="inlineStr">
        <is>
          <t>Vỉ</t>
        </is>
      </c>
      <c r="F253" s="5" t="n">
        <v>17000</v>
      </c>
      <c r="G253" s="5" t="n">
        <v>22000</v>
      </c>
      <c r="H253" s="6" t="n">
        <v>29000</v>
      </c>
      <c r="I253" s="4" t="inlineStr">
        <is>
          <t>Vỉ 2C/V16C/dây 160c/H960c/T</t>
        </is>
      </c>
    </row>
    <row r="254">
      <c r="A254" s="3" t="n">
        <v>253</v>
      </c>
      <c r="B254" s="3" t="n">
        <v>17</v>
      </c>
      <c r="C254" s="3" t="inlineStr">
        <is>
          <t>32</t>
        </is>
      </c>
      <c r="D254" s="4" t="inlineStr">
        <is>
          <t>T265E-T40 T40*65mm</t>
        </is>
      </c>
      <c r="E254" s="3" t="inlineStr">
        <is>
          <t>Vỉ</t>
        </is>
      </c>
      <c r="F254" s="5" t="n">
        <v>17000</v>
      </c>
      <c r="G254" s="5" t="n">
        <v>22000</v>
      </c>
      <c r="H254" s="6" t="n">
        <v>29000</v>
      </c>
      <c r="I254" s="4" t="inlineStr">
        <is>
          <t>Vỉ 2C/V16C/dây 160c/H960c/T</t>
        </is>
      </c>
    </row>
    <row r="255">
      <c r="A255" s="3" t="n">
        <v>254</v>
      </c>
      <c r="B255" s="3" t="n">
        <v>17</v>
      </c>
      <c r="C255" s="3" t="inlineStr">
        <is>
          <t>33</t>
        </is>
      </c>
      <c r="D255" s="4" t="inlineStr">
        <is>
          <t>T265E-T50 T50*65mm</t>
        </is>
      </c>
      <c r="E255" s="3" t="inlineStr">
        <is>
          <t>Vỉ</t>
        </is>
      </c>
      <c r="F255" s="5" t="n">
        <v>41000</v>
      </c>
      <c r="G255" s="5" t="n">
        <v>53000</v>
      </c>
      <c r="H255" s="6" t="n">
        <v>70000</v>
      </c>
      <c r="I255" s="4" t="inlineStr">
        <is>
          <t>Vỉ 5C/V 60c/H360c/T</t>
        </is>
      </c>
    </row>
    <row r="256">
      <c r="A256" s="3" t="n">
        <v>255</v>
      </c>
      <c r="B256" s="3" t="n">
        <v>17</v>
      </c>
      <c r="C256" s="3" t="inlineStr">
        <is>
          <t>34</t>
        </is>
      </c>
      <c r="D256" s="4" t="inlineStr">
        <is>
          <t>L265E-H3 H3*65mm</t>
        </is>
      </c>
      <c r="E256" s="3" t="inlineStr">
        <is>
          <t>Vỉ</t>
        </is>
      </c>
      <c r="F256" s="5" t="n">
        <v>17000</v>
      </c>
      <c r="G256" s="5" t="n">
        <v>22000</v>
      </c>
      <c r="H256" s="6" t="n">
        <v>29000</v>
      </c>
      <c r="I256" s="4" t="inlineStr">
        <is>
          <t>Vỉ 2C/V16C/dây 160c/H960c/T</t>
        </is>
      </c>
    </row>
    <row r="257">
      <c r="A257" s="3" t="n">
        <v>256</v>
      </c>
      <c r="B257" s="3" t="n">
        <v>17</v>
      </c>
      <c r="C257" s="3" t="inlineStr">
        <is>
          <t>35</t>
        </is>
      </c>
      <c r="D257" s="4" t="inlineStr">
        <is>
          <t>L265E-H4 H4*65mm</t>
        </is>
      </c>
      <c r="E257" s="3" t="inlineStr">
        <is>
          <t>Vỉ</t>
        </is>
      </c>
      <c r="F257" s="5" t="n">
        <v>17000</v>
      </c>
      <c r="G257" s="5" t="n">
        <v>22000</v>
      </c>
      <c r="H257" s="6" t="n">
        <v>29000</v>
      </c>
      <c r="I257" s="4" t="inlineStr">
        <is>
          <t>Vỉ 2C/V16C/dây 160c/H960c/T</t>
        </is>
      </c>
    </row>
    <row r="258">
      <c r="A258" s="3" t="n">
        <v>257</v>
      </c>
      <c r="B258" s="3" t="n">
        <v>17</v>
      </c>
      <c r="C258" s="3" t="inlineStr">
        <is>
          <t>36</t>
        </is>
      </c>
      <c r="D258" s="4" t="inlineStr">
        <is>
          <t>L265E-H5 H5*65mm</t>
        </is>
      </c>
      <c r="E258" s="3" t="inlineStr">
        <is>
          <t>Vỉ</t>
        </is>
      </c>
      <c r="F258" s="5" t="n">
        <v>17000</v>
      </c>
      <c r="G258" s="5" t="n">
        <v>22000</v>
      </c>
      <c r="H258" s="6" t="n">
        <v>29000</v>
      </c>
      <c r="I258" s="4" t="inlineStr">
        <is>
          <t>Vỉ 2C/V16C/dây 160c/H960c/T</t>
        </is>
      </c>
    </row>
    <row r="259">
      <c r="A259" s="3" t="n">
        <v>258</v>
      </c>
      <c r="B259" s="3" t="n">
        <v>17</v>
      </c>
      <c r="C259" s="3" t="inlineStr">
        <is>
          <t>37</t>
        </is>
      </c>
      <c r="D259" s="4" t="inlineStr">
        <is>
          <t>L265E-H6 H6*65mm</t>
        </is>
      </c>
      <c r="E259" s="3" t="inlineStr">
        <is>
          <t>Vỉ</t>
        </is>
      </c>
      <c r="F259" s="5" t="n">
        <v>17000</v>
      </c>
      <c r="G259" s="5" t="n">
        <v>22000</v>
      </c>
      <c r="H259" s="6" t="n">
        <v>29000</v>
      </c>
      <c r="I259" s="4" t="inlineStr">
        <is>
          <t>Vỉ 2C/V16C/dây 160c/H960c/T</t>
        </is>
      </c>
    </row>
    <row r="260">
      <c r="A260" s="3" t="n">
        <v>259</v>
      </c>
      <c r="B260" s="3" t="n">
        <v>17</v>
      </c>
      <c r="C260" s="3" t="inlineStr">
        <is>
          <t>38</t>
        </is>
      </c>
      <c r="D260" s="4" t="inlineStr">
        <is>
          <t>L265E-H8 H8*65mm</t>
        </is>
      </c>
      <c r="E260" s="3" t="inlineStr">
        <is>
          <t>Vỉ</t>
        </is>
      </c>
      <c r="F260" s="5" t="n">
        <v>41000</v>
      </c>
      <c r="G260" s="5" t="n">
        <v>53000</v>
      </c>
      <c r="H260" s="6" t="n">
        <v>70000</v>
      </c>
      <c r="I260" s="4" t="inlineStr">
        <is>
          <t>Vỉ 5C/V 60c/H360c/T</t>
        </is>
      </c>
    </row>
    <row r="261">
      <c r="A261" s="3" t="n">
        <v>260</v>
      </c>
      <c r="B261" s="3" t="n">
        <v>18</v>
      </c>
      <c r="C261" s="3" t="inlineStr">
        <is>
          <t>39</t>
        </is>
      </c>
      <c r="D261" s="4" t="inlineStr">
        <is>
          <t>CM07 08mm</t>
        </is>
      </c>
      <c r="E261" s="3" t="inlineStr">
        <is>
          <t>Hộp</t>
        </is>
      </c>
      <c r="F261" s="5" t="n">
        <v>143000</v>
      </c>
      <c r="G261" s="5" t="n">
        <v>180000</v>
      </c>
      <c r="H261" s="6" t="n">
        <v>236000</v>
      </c>
      <c r="I261" s="4" t="inlineStr">
        <is>
          <t>Hộp 10C/H nhỏ 100c/H lớn500c/T</t>
        </is>
      </c>
    </row>
    <row r="262">
      <c r="A262" s="3" t="n">
        <v>261</v>
      </c>
      <c r="B262" s="3" t="n">
        <v>18</v>
      </c>
      <c r="C262" s="3" t="inlineStr">
        <is>
          <t>40</t>
        </is>
      </c>
      <c r="D262" s="4" t="inlineStr">
        <is>
          <t>CM08 08mm</t>
        </is>
      </c>
      <c r="E262" s="3" t="inlineStr">
        <is>
          <t>Hộp</t>
        </is>
      </c>
      <c r="F262" s="5" t="n">
        <v>154000</v>
      </c>
      <c r="G262" s="5" t="n">
        <v>194000</v>
      </c>
      <c r="H262" s="6" t="n">
        <v>254000</v>
      </c>
      <c r="I262" s="4" t="inlineStr">
        <is>
          <t>Hộp 10C/H nhỏ 100c/H lớn500c/T</t>
        </is>
      </c>
    </row>
    <row r="263">
      <c r="A263" s="3" t="n">
        <v>262</v>
      </c>
      <c r="B263" s="3" t="n">
        <v>18</v>
      </c>
      <c r="C263" s="3" t="inlineStr">
        <is>
          <t>41</t>
        </is>
      </c>
      <c r="D263" s="4" t="inlineStr">
        <is>
          <t>CM10 10mm</t>
        </is>
      </c>
      <c r="E263" s="3" t="inlineStr">
        <is>
          <t>Hộp</t>
        </is>
      </c>
      <c r="F263" s="5" t="n">
        <v>176000</v>
      </c>
      <c r="G263" s="5" t="n">
        <v>222000</v>
      </c>
      <c r="H263" s="6" t="n">
        <v>290000</v>
      </c>
      <c r="I263" s="4" t="inlineStr">
        <is>
          <t>Hộp 10C/H nhỏ 100c/H lớn500c/T</t>
        </is>
      </c>
    </row>
    <row r="264">
      <c r="A264" s="3" t="n">
        <v>263</v>
      </c>
      <c r="B264" s="3" t="n">
        <v>18</v>
      </c>
      <c r="C264" s="3" t="inlineStr">
        <is>
          <t>42</t>
        </is>
      </c>
      <c r="D264" s="4" t="inlineStr">
        <is>
          <t>CM12 12mm</t>
        </is>
      </c>
      <c r="E264" s="3" t="inlineStr">
        <is>
          <t>Hộp</t>
        </is>
      </c>
      <c r="F264" s="5" t="n">
        <v>99000</v>
      </c>
      <c r="G264" s="5" t="n">
        <v>125000</v>
      </c>
      <c r="H264" s="6" t="n">
        <v>163000</v>
      </c>
      <c r="I264" s="4" t="inlineStr">
        <is>
          <t>Hộp 5C/H nhỏ 50c/H lớn250c/T</t>
        </is>
      </c>
    </row>
    <row r="265">
      <c r="A265" s="3" t="n">
        <v>264</v>
      </c>
      <c r="B265" s="3" t="n">
        <v>18</v>
      </c>
      <c r="C265" s="3" t="inlineStr">
        <is>
          <t>43</t>
        </is>
      </c>
      <c r="D265" s="4" t="inlineStr">
        <is>
          <t>CM13 13mm</t>
        </is>
      </c>
      <c r="E265" s="3" t="inlineStr">
        <is>
          <t>Hộp</t>
        </is>
      </c>
      <c r="F265" s="5" t="n">
        <v>105000</v>
      </c>
      <c r="G265" s="5" t="n">
        <v>132000</v>
      </c>
      <c r="H265" s="6" t="n">
        <v>173000</v>
      </c>
      <c r="I265" s="4" t="inlineStr">
        <is>
          <t>Hộp 5C/H nhỏ 50c/H lớn250c/T</t>
        </is>
      </c>
    </row>
    <row r="266">
      <c r="A266" s="3" t="n">
        <v>265</v>
      </c>
      <c r="B266" s="3" t="n">
        <v>18</v>
      </c>
      <c r="C266" s="3" t="inlineStr">
        <is>
          <t>44</t>
        </is>
      </c>
      <c r="D266" s="4" t="inlineStr">
        <is>
          <t>CM14 14mm</t>
        </is>
      </c>
      <c r="E266" s="3" t="inlineStr">
        <is>
          <t>Hộp</t>
        </is>
      </c>
      <c r="F266" s="5" t="n">
        <v>105000</v>
      </c>
      <c r="G266" s="5" t="n">
        <v>132000</v>
      </c>
      <c r="H266" s="6" t="n">
        <v>173000</v>
      </c>
      <c r="I266" s="4" t="inlineStr">
        <is>
          <t>Hộp 5C/H nhỏ 50c/H lớn250c/T</t>
        </is>
      </c>
    </row>
    <row r="267">
      <c r="A267" s="3" t="n">
        <v>266</v>
      </c>
      <c r="B267" s="3" t="n">
        <v>18</v>
      </c>
      <c r="C267" s="3" t="inlineStr">
        <is>
          <t>45</t>
        </is>
      </c>
      <c r="D267" s="4" t="inlineStr">
        <is>
          <t>CM17 17mm</t>
        </is>
      </c>
      <c r="E267" s="3" t="inlineStr">
        <is>
          <t>Hộp</t>
        </is>
      </c>
      <c r="F267" s="5" t="n">
        <v>110000</v>
      </c>
      <c r="G267" s="5" t="n">
        <v>139000</v>
      </c>
      <c r="H267" s="6" t="n">
        <v>182000</v>
      </c>
      <c r="I267" s="4" t="inlineStr">
        <is>
          <t>Hộp 4C/H nhỏ 40c/H lớn200c/T</t>
        </is>
      </c>
    </row>
    <row r="268">
      <c r="A268" s="3" t="n">
        <v>267</v>
      </c>
      <c r="B268" s="3" t="n">
        <v>18</v>
      </c>
      <c r="C268" s="3" t="inlineStr">
        <is>
          <t>46</t>
        </is>
      </c>
      <c r="D268" s="4" t="inlineStr">
        <is>
          <t>CM19 19mm</t>
        </is>
      </c>
      <c r="E268" s="3" t="inlineStr">
        <is>
          <t>Hộp</t>
        </is>
      </c>
      <c r="F268" s="5" t="n">
        <v>86000</v>
      </c>
      <c r="G268" s="5" t="n">
        <v>108000</v>
      </c>
      <c r="H268" s="6" t="n">
        <v>142000</v>
      </c>
      <c r="I268" s="4" t="inlineStr">
        <is>
          <t>Hộp 3C/H nhỏ 30c/H lớn150c/T</t>
        </is>
      </c>
    </row>
    <row r="269">
      <c r="A269" s="3" t="n">
        <v>268</v>
      </c>
      <c r="B269" s="3" t="n">
        <v>19</v>
      </c>
      <c r="C269" s="3" t="inlineStr">
        <is>
          <t>1</t>
        </is>
      </c>
      <c r="D269" s="4" t="inlineStr">
        <is>
          <t>KBG2-06*100 Ø6*100</t>
        </is>
      </c>
      <c r="E269" s="3" t="inlineStr">
        <is>
          <t>Cái</t>
        </is>
      </c>
      <c r="F269" s="5" t="n">
        <v>13000</v>
      </c>
      <c r="G269" s="5" t="n">
        <v>16000</v>
      </c>
      <c r="H269" s="6" t="n">
        <v>21000</v>
      </c>
      <c r="I269" s="4" t="inlineStr">
        <is>
          <t>Cái 10C/V 1000C/T</t>
        </is>
      </c>
    </row>
    <row r="270">
      <c r="A270" s="3" t="n">
        <v>269</v>
      </c>
      <c r="B270" s="3" t="n">
        <v>19</v>
      </c>
      <c r="C270" s="3" t="inlineStr">
        <is>
          <t>2</t>
        </is>
      </c>
      <c r="D270" s="4" t="inlineStr">
        <is>
          <t>KBG2-08*100 Ø8*100</t>
        </is>
      </c>
      <c r="E270" s="3" t="inlineStr">
        <is>
          <t>Cái</t>
        </is>
      </c>
      <c r="F270" s="5" t="n">
        <v>18000</v>
      </c>
      <c r="G270" s="5" t="n">
        <v>22000</v>
      </c>
      <c r="H270" s="6" t="n">
        <v>29000</v>
      </c>
      <c r="I270" s="4" t="inlineStr">
        <is>
          <t>Cái 10C/V 1000C/T</t>
        </is>
      </c>
    </row>
    <row r="271">
      <c r="A271" s="3" t="n">
        <v>270</v>
      </c>
      <c r="B271" s="3" t="n">
        <v>19</v>
      </c>
      <c r="C271" s="3" t="inlineStr">
        <is>
          <t>3</t>
        </is>
      </c>
      <c r="D271" s="4" t="inlineStr">
        <is>
          <t>KBG2-10*120 Ø10*120</t>
        </is>
      </c>
      <c r="E271" s="3" t="inlineStr">
        <is>
          <t>Cái</t>
        </is>
      </c>
      <c r="F271" s="5" t="n">
        <v>21000</v>
      </c>
      <c r="G271" s="5" t="n">
        <v>26000</v>
      </c>
      <c r="H271" s="6" t="n">
        <v>34000</v>
      </c>
      <c r="I271" s="4" t="inlineStr">
        <is>
          <t>Cái 5C/V 1000C/T</t>
        </is>
      </c>
    </row>
    <row r="272">
      <c r="A272" s="3" t="n">
        <v>271</v>
      </c>
      <c r="B272" s="3" t="n">
        <v>19</v>
      </c>
      <c r="C272" s="3" t="inlineStr">
        <is>
          <t>4</t>
        </is>
      </c>
      <c r="D272" s="4" t="inlineStr">
        <is>
          <t>KBG2-12*120 Ø12*120</t>
        </is>
      </c>
      <c r="E272" s="3" t="inlineStr">
        <is>
          <t>Cái</t>
        </is>
      </c>
      <c r="F272" s="5" t="n">
        <v>26000</v>
      </c>
      <c r="G272" s="5" t="n">
        <v>32000</v>
      </c>
      <c r="H272" s="6" t="n">
        <v>42000</v>
      </c>
      <c r="I272" s="4" t="inlineStr">
        <is>
          <t>Cái 5C/V 1000C/T</t>
        </is>
      </c>
    </row>
    <row r="273">
      <c r="A273" s="3" t="n">
        <v>272</v>
      </c>
      <c r="B273" s="3" t="n">
        <v>19</v>
      </c>
      <c r="C273" s="3" t="inlineStr">
        <is>
          <t>1</t>
        </is>
      </c>
      <c r="D273" s="4" t="inlineStr">
        <is>
          <t>KBG2S-06*100 Ø6*100</t>
        </is>
      </c>
      <c r="E273" s="3" t="inlineStr">
        <is>
          <t>Cái</t>
        </is>
      </c>
      <c r="F273" s="5" t="n">
        <v>17000</v>
      </c>
      <c r="G273" s="5" t="n">
        <v>21000</v>
      </c>
      <c r="H273" s="6" t="n">
        <v>27000</v>
      </c>
      <c r="I273" s="4" t="inlineStr">
        <is>
          <t>Cái 10C/V 1000C/T</t>
        </is>
      </c>
    </row>
    <row r="274">
      <c r="A274" s="3" t="n">
        <v>273</v>
      </c>
      <c r="B274" s="3" t="n">
        <v>19</v>
      </c>
      <c r="C274" s="3" t="inlineStr">
        <is>
          <t>2</t>
        </is>
      </c>
      <c r="D274" s="4" t="inlineStr">
        <is>
          <t>KBG2S-08*100 Ø8*100</t>
        </is>
      </c>
      <c r="E274" s="3" t="inlineStr">
        <is>
          <t>Cái</t>
        </is>
      </c>
      <c r="F274" s="5" t="n">
        <v>21000</v>
      </c>
      <c r="G274" s="5" t="n">
        <v>26000</v>
      </c>
      <c r="H274" s="6" t="n">
        <v>34000</v>
      </c>
      <c r="I274" s="4" t="inlineStr">
        <is>
          <t>Cái 10C/V 1000C/T</t>
        </is>
      </c>
    </row>
    <row r="275">
      <c r="A275" s="3" t="n">
        <v>274</v>
      </c>
      <c r="B275" s="3" t="n">
        <v>19</v>
      </c>
      <c r="C275" s="3" t="inlineStr">
        <is>
          <t>3</t>
        </is>
      </c>
      <c r="D275" s="4" t="inlineStr">
        <is>
          <t>KBG2S-10*120 Ø10*120</t>
        </is>
      </c>
      <c r="E275" s="3" t="inlineStr">
        <is>
          <t>Cái</t>
        </is>
      </c>
      <c r="F275" s="5" t="n">
        <v>26000</v>
      </c>
      <c r="G275" s="5" t="n">
        <v>32000</v>
      </c>
      <c r="H275" s="6" t="n">
        <v>42000</v>
      </c>
      <c r="I275" s="4" t="inlineStr">
        <is>
          <t>Cái 5C/V 1000C/T</t>
        </is>
      </c>
    </row>
    <row r="276">
      <c r="A276" s="3" t="n">
        <v>275</v>
      </c>
      <c r="B276" s="3" t="n">
        <v>19</v>
      </c>
      <c r="C276" s="3" t="inlineStr">
        <is>
          <t>4</t>
        </is>
      </c>
      <c r="D276" s="4" t="inlineStr">
        <is>
          <t>KBG2S-12*120 Ø12*120</t>
        </is>
      </c>
      <c r="E276" s="3" t="inlineStr">
        <is>
          <t>Cái</t>
        </is>
      </c>
      <c r="F276" s="5" t="n">
        <v>32000</v>
      </c>
      <c r="G276" s="5" t="n">
        <v>40000</v>
      </c>
      <c r="H276" s="6" t="n">
        <v>51000</v>
      </c>
      <c r="I276" s="4" t="inlineStr">
        <is>
          <t>Cái 5C/V 1000C/T</t>
        </is>
      </c>
    </row>
    <row r="277">
      <c r="A277" s="3" t="n">
        <v>276</v>
      </c>
      <c r="B277" s="3" t="n">
        <v>19</v>
      </c>
      <c r="C277" s="3" t="inlineStr">
        <is>
          <t>1</t>
        </is>
      </c>
      <c r="D277" s="4" t="inlineStr">
        <is>
          <t>KBH2-06*100 Ø6*100</t>
        </is>
      </c>
      <c r="E277" s="3" t="inlineStr">
        <is>
          <t>Cái</t>
        </is>
      </c>
      <c r="F277" s="5" t="n">
        <v>18000</v>
      </c>
      <c r="G277" s="5" t="n">
        <v>22000</v>
      </c>
      <c r="H277" s="6" t="n">
        <v>29000</v>
      </c>
      <c r="I277" s="4" t="inlineStr">
        <is>
          <t>Cái 10C/V 1000C/T</t>
        </is>
      </c>
    </row>
    <row r="278">
      <c r="A278" s="3" t="n">
        <v>277</v>
      </c>
      <c r="B278" s="3" t="n">
        <v>19</v>
      </c>
      <c r="C278" s="3" t="inlineStr">
        <is>
          <t>2</t>
        </is>
      </c>
      <c r="D278" s="4" t="inlineStr">
        <is>
          <t>KBH2-08*100 Ø8*100</t>
        </is>
      </c>
      <c r="E278" s="3" t="inlineStr">
        <is>
          <t>Cái</t>
        </is>
      </c>
      <c r="F278" s="5" t="n">
        <v>23000</v>
      </c>
      <c r="G278" s="5" t="n">
        <v>29000</v>
      </c>
      <c r="H278" s="6" t="n">
        <v>37000</v>
      </c>
      <c r="I278" s="4" t="inlineStr">
        <is>
          <t>Cái 10C/V 1000C/T</t>
        </is>
      </c>
    </row>
    <row r="279">
      <c r="A279" s="3" t="n">
        <v>278</v>
      </c>
      <c r="B279" s="3" t="n">
        <v>19</v>
      </c>
      <c r="C279" s="3" t="inlineStr">
        <is>
          <t>3</t>
        </is>
      </c>
      <c r="D279" s="4" t="inlineStr">
        <is>
          <t>KBH2-10*120 Ø10*120</t>
        </is>
      </c>
      <c r="E279" s="3" t="inlineStr">
        <is>
          <t>Cái</t>
        </is>
      </c>
      <c r="F279" s="5" t="n">
        <v>28000</v>
      </c>
      <c r="G279" s="5" t="n">
        <v>35000</v>
      </c>
      <c r="H279" s="6" t="n">
        <v>45000</v>
      </c>
      <c r="I279" s="4" t="inlineStr">
        <is>
          <t>Cái 10C/V 1000C/T</t>
        </is>
      </c>
    </row>
    <row r="280">
      <c r="A280" s="3" t="n">
        <v>279</v>
      </c>
      <c r="B280" s="3" t="n">
        <v>19</v>
      </c>
      <c r="C280" s="3" t="inlineStr">
        <is>
          <t>4</t>
        </is>
      </c>
      <c r="D280" s="4" t="inlineStr">
        <is>
          <t>KBH2-12*120 Ø12*120</t>
        </is>
      </c>
      <c r="E280" s="3" t="inlineStr">
        <is>
          <t>Cái</t>
        </is>
      </c>
      <c r="F280" s="5" t="n">
        <v>34000</v>
      </c>
      <c r="G280" s="5" t="n">
        <v>42000</v>
      </c>
      <c r="H280" s="6" t="n">
        <v>54000</v>
      </c>
      <c r="I280" s="4" t="inlineStr">
        <is>
          <t>Cái 5C/V 1000C/T</t>
        </is>
      </c>
    </row>
    <row r="281">
      <c r="A281" s="3" t="n">
        <v>280</v>
      </c>
      <c r="B281" s="3" t="n">
        <v>19</v>
      </c>
      <c r="C281" s="3" t="inlineStr">
        <is>
          <t>5</t>
        </is>
      </c>
      <c r="D281" s="4" t="inlineStr">
        <is>
          <t>KBH2E-03*120 Ø3*120</t>
        </is>
      </c>
      <c r="E281" s="3" t="inlineStr">
        <is>
          <t>Cái</t>
        </is>
      </c>
      <c r="F281" s="5" t="n">
        <v>28000</v>
      </c>
      <c r="G281" s="5" t="n">
        <v>35000</v>
      </c>
      <c r="H281" s="6" t="n">
        <v>45000</v>
      </c>
      <c r="I281" s="4" t="inlineStr">
        <is>
          <t>Cái 1C/V100C/H 500C/T</t>
        </is>
      </c>
    </row>
    <row r="282">
      <c r="A282" s="3" t="n">
        <v>281</v>
      </c>
      <c r="B282" s="3" t="n">
        <v>19</v>
      </c>
      <c r="C282" s="3" t="inlineStr">
        <is>
          <t>6</t>
        </is>
      </c>
      <c r="D282" s="4" t="inlineStr">
        <is>
          <t>KBH2E-3.2*120 Ø3.2*120</t>
        </is>
      </c>
      <c r="E282" s="3" t="inlineStr">
        <is>
          <t>Cái</t>
        </is>
      </c>
      <c r="F282" s="5" t="n">
        <v>28000</v>
      </c>
      <c r="G282" s="5" t="n">
        <v>35000</v>
      </c>
      <c r="H282" s="6" t="n">
        <v>45000</v>
      </c>
      <c r="I282" s="4" t="inlineStr">
        <is>
          <t>Cái 1C/V100C/H 500C/T</t>
        </is>
      </c>
    </row>
    <row r="283">
      <c r="A283" s="3" t="n">
        <v>282</v>
      </c>
      <c r="B283" s="3" t="n">
        <v>19</v>
      </c>
      <c r="C283" s="3" t="inlineStr">
        <is>
          <t>7</t>
        </is>
      </c>
      <c r="D283" s="4" t="inlineStr">
        <is>
          <t>KBH2E-04*150 Ø4*150</t>
        </is>
      </c>
      <c r="E283" s="3" t="inlineStr">
        <is>
          <t>Cái</t>
        </is>
      </c>
      <c r="F283" s="5" t="n">
        <v>28000</v>
      </c>
      <c r="G283" s="5" t="n">
        <v>35000</v>
      </c>
      <c r="H283" s="6" t="n">
        <v>45000</v>
      </c>
      <c r="I283" s="4" t="inlineStr">
        <is>
          <t>Cái 1C/V100C/H 500C/T</t>
        </is>
      </c>
    </row>
    <row r="284">
      <c r="A284" s="3" t="n">
        <v>283</v>
      </c>
      <c r="B284" s="3" t="n">
        <v>19</v>
      </c>
      <c r="C284" s="3" t="inlineStr">
        <is>
          <t>8</t>
        </is>
      </c>
      <c r="D284" s="4" t="inlineStr">
        <is>
          <t>KBH2E-06*150 Ø6*150</t>
        </is>
      </c>
      <c r="E284" s="3" t="inlineStr">
        <is>
          <t>Cái</t>
        </is>
      </c>
      <c r="F284" s="5" t="n">
        <v>31000</v>
      </c>
      <c r="G284" s="5" t="n">
        <v>39000</v>
      </c>
      <c r="H284" s="6" t="n">
        <v>50000</v>
      </c>
      <c r="I284" s="4" t="inlineStr">
        <is>
          <t>Cái 1C/V100C/H 500C/T</t>
        </is>
      </c>
    </row>
    <row r="285">
      <c r="A285" s="3" t="n">
        <v>284</v>
      </c>
      <c r="B285" s="3" t="n">
        <v>19</v>
      </c>
      <c r="C285" s="3" t="inlineStr">
        <is>
          <t>9</t>
        </is>
      </c>
      <c r="D285" s="4" t="inlineStr">
        <is>
          <t>KBH2E-08*150 Ø8*150</t>
        </is>
      </c>
      <c r="E285" s="3" t="inlineStr">
        <is>
          <t>Cái</t>
        </is>
      </c>
      <c r="F285" s="5" t="n">
        <v>41000</v>
      </c>
      <c r="G285" s="5" t="n">
        <v>51000</v>
      </c>
      <c r="H285" s="6" t="n">
        <v>66000</v>
      </c>
      <c r="I285" s="4" t="inlineStr">
        <is>
          <t>Cái 1C/V100C/H 500C/T</t>
        </is>
      </c>
    </row>
    <row r="286">
      <c r="A286" s="3" t="n">
        <v>285</v>
      </c>
      <c r="B286" s="3" t="n">
        <v>19</v>
      </c>
      <c r="C286" s="3" t="inlineStr">
        <is>
          <t>10</t>
        </is>
      </c>
      <c r="D286" s="4" t="inlineStr">
        <is>
          <t>KBH2E-10*150 Ø10*150</t>
        </is>
      </c>
      <c r="E286" s="3" t="inlineStr">
        <is>
          <t>Cái</t>
        </is>
      </c>
      <c r="F286" s="5" t="n">
        <v>48000</v>
      </c>
      <c r="G286" s="5" t="n">
        <v>60000</v>
      </c>
      <c r="H286" s="6" t="n">
        <v>77000</v>
      </c>
      <c r="I286" s="4" t="inlineStr">
        <is>
          <t>Cái 1C/V25C/H 300C/T</t>
        </is>
      </c>
    </row>
    <row r="287">
      <c r="A287" s="3" t="n">
        <v>286</v>
      </c>
      <c r="B287" s="3" t="n">
        <v>19</v>
      </c>
      <c r="C287" s="3" t="inlineStr">
        <is>
          <t>11</t>
        </is>
      </c>
      <c r="D287" s="4" t="inlineStr">
        <is>
          <t>KBH2E-12*150 Ø12*150</t>
        </is>
      </c>
      <c r="E287" s="3" t="inlineStr">
        <is>
          <t>Cái</t>
        </is>
      </c>
      <c r="F287" s="5" t="n">
        <v>63000</v>
      </c>
      <c r="G287" s="5" t="n">
        <v>78000</v>
      </c>
      <c r="H287" s="6" t="n">
        <v>101000</v>
      </c>
      <c r="I287" s="4" t="inlineStr">
        <is>
          <t>Cái 1C/V25C/H 300C/T</t>
        </is>
      </c>
    </row>
    <row r="288">
      <c r="A288" s="3" t="n">
        <v>287</v>
      </c>
      <c r="B288" s="3" t="n">
        <v>19</v>
      </c>
      <c r="C288" s="3" t="inlineStr">
        <is>
          <t>12</t>
        </is>
      </c>
      <c r="D288" s="4" t="inlineStr">
        <is>
          <t>KBH2F-03*95 Ø3*95</t>
        </is>
      </c>
      <c r="E288" s="3" t="inlineStr">
        <is>
          <t>Cái</t>
        </is>
      </c>
      <c r="F288" s="5" t="n">
        <v>26000</v>
      </c>
      <c r="G288" s="5" t="n">
        <v>32000</v>
      </c>
      <c r="H288" s="6" t="n">
        <v>42000</v>
      </c>
      <c r="I288" s="4" t="inlineStr">
        <is>
          <t>Cái 1C/V100C/H 600C/T</t>
        </is>
      </c>
    </row>
    <row r="289">
      <c r="A289" s="3" t="n">
        <v>288</v>
      </c>
      <c r="B289" s="3" t="n">
        <v>19</v>
      </c>
      <c r="C289" s="3" t="inlineStr">
        <is>
          <t>13</t>
        </is>
      </c>
      <c r="D289" s="4" t="inlineStr">
        <is>
          <t>KBH2F-04*95 Ø4*95</t>
        </is>
      </c>
      <c r="E289" s="3" t="inlineStr">
        <is>
          <t>Cái</t>
        </is>
      </c>
      <c r="F289" s="5" t="n">
        <v>26000</v>
      </c>
      <c r="G289" s="5" t="n">
        <v>32000</v>
      </c>
      <c r="H289" s="6" t="n">
        <v>42000</v>
      </c>
      <c r="I289" s="4" t="inlineStr">
        <is>
          <t>Cái 1C/V100C/H 600C/T</t>
        </is>
      </c>
    </row>
    <row r="290">
      <c r="A290" s="3" t="n">
        <v>289</v>
      </c>
      <c r="B290" s="3" t="n">
        <v>19</v>
      </c>
      <c r="C290" s="3" t="inlineStr">
        <is>
          <t>14</t>
        </is>
      </c>
      <c r="D290" s="4" t="inlineStr">
        <is>
          <t>KBH2F-05*95 Ø5*95</t>
        </is>
      </c>
      <c r="E290" s="3" t="inlineStr">
        <is>
          <t>Cái</t>
        </is>
      </c>
      <c r="F290" s="5" t="n">
        <v>26000</v>
      </c>
      <c r="G290" s="5" t="n">
        <v>32000</v>
      </c>
      <c r="H290" s="6" t="n">
        <v>42000</v>
      </c>
      <c r="I290" s="4" t="inlineStr">
        <is>
          <t>Cái 1C/V100C/H 600C/T</t>
        </is>
      </c>
    </row>
    <row r="291">
      <c r="A291" s="3" t="n">
        <v>290</v>
      </c>
      <c r="B291" s="3" t="n">
        <v>19</v>
      </c>
      <c r="C291" s="3" t="inlineStr">
        <is>
          <t>15</t>
        </is>
      </c>
      <c r="D291" s="4" t="inlineStr">
        <is>
          <t>KBH2F-06*95 Ø6*95</t>
        </is>
      </c>
      <c r="E291" s="3" t="inlineStr">
        <is>
          <t>Cái</t>
        </is>
      </c>
      <c r="F291" s="5" t="n">
        <v>26000</v>
      </c>
      <c r="G291" s="5" t="n">
        <v>32000</v>
      </c>
      <c r="H291" s="6" t="n">
        <v>42000</v>
      </c>
      <c r="I291" s="4" t="inlineStr">
        <is>
          <t>Cái 1C/V100C/H 500C/T</t>
        </is>
      </c>
    </row>
    <row r="292">
      <c r="A292" s="3" t="n">
        <v>291</v>
      </c>
      <c r="B292" s="3" t="n">
        <v>19</v>
      </c>
      <c r="C292" s="3" t="inlineStr">
        <is>
          <t>16</t>
        </is>
      </c>
      <c r="D292" s="4" t="inlineStr">
        <is>
          <t>KBH2F-08*95 Ø8*95</t>
        </is>
      </c>
      <c r="E292" s="3" t="inlineStr">
        <is>
          <t>Cái</t>
        </is>
      </c>
      <c r="F292" s="5" t="n">
        <v>33000</v>
      </c>
      <c r="G292" s="5" t="n">
        <v>41000</v>
      </c>
      <c r="H292" s="6" t="n">
        <v>53000</v>
      </c>
      <c r="I292" s="4" t="inlineStr">
        <is>
          <t>Cái 1C/V100C/H 500C/T</t>
        </is>
      </c>
    </row>
    <row r="293">
      <c r="A293" s="3" t="n">
        <v>292</v>
      </c>
      <c r="B293" s="3" t="n">
        <v>19</v>
      </c>
      <c r="C293" s="3" t="inlineStr">
        <is>
          <t>17</t>
        </is>
      </c>
      <c r="D293" s="4" t="inlineStr">
        <is>
          <t>KBH2F-10*95 Ø10*95</t>
        </is>
      </c>
      <c r="E293" s="3" t="inlineStr">
        <is>
          <t>Cái</t>
        </is>
      </c>
      <c r="F293" s="5" t="n">
        <v>42000</v>
      </c>
      <c r="G293" s="5" t="n">
        <v>52000</v>
      </c>
      <c r="H293" s="6" t="n">
        <v>67000</v>
      </c>
      <c r="I293" s="4" t="inlineStr">
        <is>
          <t>Cái 1C/V50C/H 500C/T</t>
        </is>
      </c>
    </row>
    <row r="294">
      <c r="A294" s="3" t="n">
        <v>293</v>
      </c>
      <c r="B294" s="3" t="n">
        <v>19</v>
      </c>
      <c r="C294" s="3" t="inlineStr">
        <is>
          <t>18</t>
        </is>
      </c>
      <c r="D294" s="4" t="inlineStr">
        <is>
          <t>KBH2F-12*95 Ø12*95</t>
        </is>
      </c>
      <c r="E294" s="3" t="inlineStr">
        <is>
          <t>Cái</t>
        </is>
      </c>
      <c r="F294" s="5" t="n">
        <v>53000</v>
      </c>
      <c r="G294" s="5" t="n">
        <v>66000</v>
      </c>
      <c r="H294" s="6" t="n">
        <v>85000</v>
      </c>
      <c r="I294" s="4" t="inlineStr">
        <is>
          <t>Cái 1C/V50C/H 500C/T</t>
        </is>
      </c>
    </row>
    <row r="295">
      <c r="A295" s="3" t="n">
        <v>294</v>
      </c>
      <c r="B295" s="3" t="n">
        <v>20</v>
      </c>
      <c r="C295" s="3" t="inlineStr">
        <is>
          <t>1</t>
        </is>
      </c>
      <c r="D295" s="4" t="inlineStr">
        <is>
          <t>KBL2S-06*160 Ø6*160</t>
        </is>
      </c>
      <c r="E295" s="3" t="inlineStr">
        <is>
          <t>Cái</t>
        </is>
      </c>
      <c r="F295" s="5" t="n">
        <v>24000</v>
      </c>
      <c r="G295" s="5" t="n">
        <v>30000</v>
      </c>
      <c r="H295" s="6" t="n">
        <v>38000</v>
      </c>
      <c r="I295" s="4" t="inlineStr">
        <is>
          <t>Cái 10C/H 300C/T</t>
        </is>
      </c>
    </row>
    <row r="296">
      <c r="A296" s="3" t="n">
        <v>295</v>
      </c>
      <c r="B296" s="3" t="n">
        <v>20</v>
      </c>
      <c r="C296" s="3" t="inlineStr">
        <is>
          <t>2</t>
        </is>
      </c>
      <c r="D296" s="4" t="inlineStr">
        <is>
          <t>KBL2S-08*160 Ø8*160</t>
        </is>
      </c>
      <c r="E296" s="3" t="inlineStr">
        <is>
          <t>Cái</t>
        </is>
      </c>
      <c r="F296" s="5" t="n">
        <v>28000</v>
      </c>
      <c r="G296" s="5" t="n">
        <v>35000</v>
      </c>
      <c r="H296" s="6" t="n">
        <v>45000</v>
      </c>
      <c r="I296" s="4" t="inlineStr">
        <is>
          <t>Cái 10C/H 300C/T</t>
        </is>
      </c>
    </row>
    <row r="297">
      <c r="A297" s="3" t="n">
        <v>296</v>
      </c>
      <c r="B297" s="3" t="n">
        <v>20</v>
      </c>
      <c r="C297" s="3" t="inlineStr">
        <is>
          <t>3</t>
        </is>
      </c>
      <c r="D297" s="4" t="inlineStr">
        <is>
          <t>KBL2S-10*160 Ø10*160</t>
        </is>
      </c>
      <c r="E297" s="3" t="inlineStr">
        <is>
          <t>Cái</t>
        </is>
      </c>
      <c r="F297" s="5" t="n">
        <v>34000</v>
      </c>
      <c r="G297" s="5" t="n">
        <v>42000</v>
      </c>
      <c r="H297" s="6" t="n">
        <v>54000</v>
      </c>
      <c r="I297" s="4" t="inlineStr">
        <is>
          <t>Cái 10C/H 200C/T</t>
        </is>
      </c>
    </row>
    <row r="298">
      <c r="A298" s="3" t="n">
        <v>297</v>
      </c>
      <c r="B298" s="3" t="n">
        <v>20</v>
      </c>
      <c r="C298" s="3" t="inlineStr">
        <is>
          <t>4</t>
        </is>
      </c>
      <c r="D298" s="4" t="inlineStr">
        <is>
          <t>KBL2S-12*160 Ø12*160</t>
        </is>
      </c>
      <c r="E298" s="3" t="inlineStr">
        <is>
          <t>Cái</t>
        </is>
      </c>
      <c r="F298" s="5" t="n">
        <v>39000</v>
      </c>
      <c r="G298" s="5" t="n">
        <v>48000</v>
      </c>
      <c r="H298" s="6" t="n">
        <v>62000</v>
      </c>
      <c r="I298" s="4" t="inlineStr">
        <is>
          <t>Cái 10C/H 200C/T</t>
        </is>
      </c>
    </row>
    <row r="299">
      <c r="A299" s="3" t="n">
        <v>298</v>
      </c>
      <c r="B299" s="3" t="n">
        <v>20</v>
      </c>
      <c r="C299" s="3" t="inlineStr">
        <is>
          <t>1</t>
        </is>
      </c>
      <c r="D299" s="4" t="inlineStr">
        <is>
          <t>KBH4S-3*92 Ø03*92</t>
        </is>
      </c>
      <c r="E299" s="3" t="inlineStr">
        <is>
          <t>Cái</t>
        </is>
      </c>
      <c r="F299" s="5" t="n">
        <v>23000</v>
      </c>
      <c r="G299" s="5" t="n">
        <v>29000</v>
      </c>
      <c r="H299" s="6" t="n">
        <v>37000</v>
      </c>
      <c r="I299" s="4" t="inlineStr">
        <is>
          <t>Cái 10C/V100C/H 500C/T</t>
        </is>
      </c>
    </row>
    <row r="300">
      <c r="A300" s="3" t="n">
        <v>299</v>
      </c>
      <c r="B300" s="3" t="n">
        <v>20</v>
      </c>
      <c r="C300" s="3" t="inlineStr">
        <is>
          <t>2</t>
        </is>
      </c>
      <c r="D300" s="4" t="inlineStr">
        <is>
          <t>KBH4S-3.5*92 Ø03.5*92</t>
        </is>
      </c>
      <c r="E300" s="3" t="inlineStr">
        <is>
          <t>Cái</t>
        </is>
      </c>
      <c r="F300" s="5" t="n">
        <v>23000</v>
      </c>
      <c r="G300" s="5" t="n">
        <v>29000</v>
      </c>
      <c r="H300" s="6" t="n">
        <v>37000</v>
      </c>
      <c r="I300" s="4" t="inlineStr">
        <is>
          <t>Cái 1C/V100C/H 500C/T</t>
        </is>
      </c>
    </row>
    <row r="301">
      <c r="A301" s="3" t="n">
        <v>300</v>
      </c>
      <c r="B301" s="3" t="n">
        <v>20</v>
      </c>
      <c r="C301" s="3" t="inlineStr">
        <is>
          <t>3</t>
        </is>
      </c>
      <c r="D301" s="4" t="inlineStr">
        <is>
          <t>KBH4S-06*100 Ø06*100</t>
        </is>
      </c>
      <c r="E301" s="3" t="inlineStr">
        <is>
          <t>Cái</t>
        </is>
      </c>
      <c r="F301" s="5" t="n">
        <v>41000</v>
      </c>
      <c r="G301" s="5" t="n">
        <v>51000</v>
      </c>
      <c r="H301" s="6" t="n">
        <v>65000</v>
      </c>
      <c r="I301" s="4" t="inlineStr">
        <is>
          <t>Cái 1C/V100C/H 500C/T</t>
        </is>
      </c>
    </row>
    <row r="302">
      <c r="A302" s="3" t="n">
        <v>301</v>
      </c>
      <c r="B302" s="3" t="n">
        <v>20</v>
      </c>
      <c r="C302" s="3" t="inlineStr">
        <is>
          <t>4</t>
        </is>
      </c>
      <c r="D302" s="4" t="inlineStr">
        <is>
          <t>KBH4S-08*117 Ø08*117</t>
        </is>
      </c>
      <c r="E302" s="3" t="inlineStr">
        <is>
          <t>Cái</t>
        </is>
      </c>
      <c r="F302" s="5" t="n">
        <v>32000</v>
      </c>
      <c r="G302" s="5" t="n">
        <v>40000</v>
      </c>
      <c r="H302" s="6" t="n">
        <v>51000</v>
      </c>
      <c r="I302" s="4" t="inlineStr">
        <is>
          <t>Cái 1C/V100C/H 500C/T</t>
        </is>
      </c>
    </row>
    <row r="303">
      <c r="A303" s="3" t="n">
        <v>302</v>
      </c>
      <c r="B303" s="3" t="n">
        <v>20</v>
      </c>
      <c r="C303" s="3" t="inlineStr">
        <is>
          <t>5</t>
        </is>
      </c>
      <c r="D303" s="4" t="inlineStr">
        <is>
          <t>KBH4S-10*123 Ø10*122</t>
        </is>
      </c>
      <c r="E303" s="3" t="inlineStr">
        <is>
          <t>Cái</t>
        </is>
      </c>
      <c r="F303" s="5" t="n">
        <v>40000</v>
      </c>
      <c r="G303" s="5" t="n">
        <v>50000</v>
      </c>
      <c r="H303" s="6" t="n">
        <v>64000</v>
      </c>
      <c r="I303" s="4" t="inlineStr">
        <is>
          <t>Cái 1C/V100C/H 500C/T</t>
        </is>
      </c>
    </row>
    <row r="304">
      <c r="A304" s="3" t="n">
        <v>303</v>
      </c>
      <c r="B304" s="3" t="n">
        <v>20</v>
      </c>
      <c r="C304" s="3" t="inlineStr">
        <is>
          <t>6</t>
        </is>
      </c>
      <c r="D304" s="4" t="inlineStr">
        <is>
          <t>KBH4S-12*123 Ø12*123</t>
        </is>
      </c>
      <c r="E304" s="3" t="inlineStr">
        <is>
          <t>Cái</t>
        </is>
      </c>
      <c r="F304" s="5" t="n">
        <v>48000</v>
      </c>
      <c r="G304" s="5" t="n">
        <v>60000</v>
      </c>
      <c r="H304" s="6" t="n">
        <v>77000</v>
      </c>
      <c r="I304" s="4" t="inlineStr">
        <is>
          <t>Cái 1C/V50C/H 500C/T</t>
        </is>
      </c>
    </row>
    <row r="305">
      <c r="A305" s="3" t="n">
        <v>304</v>
      </c>
      <c r="B305" s="3" t="n">
        <v>20</v>
      </c>
      <c r="C305" s="3" t="inlineStr">
        <is>
          <t>1</t>
        </is>
      </c>
      <c r="D305" s="4" t="inlineStr">
        <is>
          <t>KBH4-05 Ø6,Ø6,Ø8, Ø10,Ø12</t>
        </is>
      </c>
      <c r="E305" s="3" t="inlineStr">
        <is>
          <t>Bộ</t>
        </is>
      </c>
      <c r="F305" s="5" t="n">
        <v>153000</v>
      </c>
      <c r="G305" s="5" t="n">
        <v>190000</v>
      </c>
      <c r="H305" s="6" t="n">
        <v>245000</v>
      </c>
      <c r="I305" s="4" t="inlineStr">
        <is>
          <t>Bộ 7C/H 126C/T</t>
        </is>
      </c>
    </row>
    <row r="306">
      <c r="A306" s="3" t="n">
        <v>305</v>
      </c>
      <c r="B306" s="3" t="n">
        <v>20</v>
      </c>
      <c r="C306" s="3" t="inlineStr"/>
      <c r="D306" s="4" t="inlineStr"/>
      <c r="E306" s="3" t="inlineStr">
        <is>
          <t>Bộ</t>
        </is>
      </c>
      <c r="F306" s="5" t="n">
        <v>326000</v>
      </c>
      <c r="G306" s="5" t="n">
        <v>404000</v>
      </c>
      <c r="H306" s="6" t="n">
        <v>522000</v>
      </c>
      <c r="I306" s="4" t="inlineStr">
        <is>
          <t>Bộ 10b/H nhỏ 40B/T Dành cho lĩnh vực điện lạnhChất liệu: Thép S2 cao cấp</t>
        </is>
      </c>
    </row>
    <row r="307">
      <c r="A307" s="3" t="n">
        <v>306</v>
      </c>
      <c r="B307" s="3" t="n">
        <v>20</v>
      </c>
      <c r="C307" s="3" t="inlineStr"/>
      <c r="D307" s="4" t="inlineStr"/>
      <c r="E307" s="3" t="inlineStr">
        <is>
          <t>Bộ</t>
        </is>
      </c>
      <c r="F307" s="5" t="n">
        <v>305000</v>
      </c>
      <c r="G307" s="5" t="n">
        <v>378000</v>
      </c>
      <c r="H307" s="6" t="n">
        <v>488000</v>
      </c>
      <c r="I307" s="4" t="inlineStr">
        <is>
          <t>Bộ 10b/H nhỏ 40B/T</t>
        </is>
      </c>
    </row>
    <row r="308">
      <c r="A308" s="3" t="n">
        <v>307</v>
      </c>
      <c r="B308" s="3" t="n">
        <v>21</v>
      </c>
      <c r="C308" s="3" t="inlineStr">
        <is>
          <t>1</t>
        </is>
      </c>
      <c r="D308" s="4" t="inlineStr">
        <is>
          <t>KBLJ-03*100 03*100</t>
        </is>
      </c>
      <c r="E308" s="3" t="inlineStr">
        <is>
          <t>Cái</t>
        </is>
      </c>
      <c r="F308" s="5" t="n">
        <v>30000</v>
      </c>
      <c r="G308" s="5" t="n">
        <v>37000</v>
      </c>
      <c r="H308" s="6" t="n">
        <v>48000</v>
      </c>
      <c r="I308" s="4" t="inlineStr">
        <is>
          <t>Cái 10C/H 500C/T</t>
        </is>
      </c>
    </row>
    <row r="309">
      <c r="A309" s="3" t="n">
        <v>308</v>
      </c>
      <c r="B309" s="3" t="n">
        <v>21</v>
      </c>
      <c r="C309" s="3" t="inlineStr">
        <is>
          <t>2</t>
        </is>
      </c>
      <c r="D309" s="4" t="inlineStr">
        <is>
          <t>KBLJ-03.2*100 3.2*100</t>
        </is>
      </c>
      <c r="E309" s="3" t="inlineStr">
        <is>
          <t>Cái</t>
        </is>
      </c>
      <c r="F309" s="5" t="n">
        <v>30000</v>
      </c>
      <c r="G309" s="5" t="n">
        <v>37000</v>
      </c>
      <c r="H309" s="6" t="n">
        <v>48000</v>
      </c>
      <c r="I309" s="4" t="inlineStr">
        <is>
          <t>Cái 10C/H 500C/T</t>
        </is>
      </c>
    </row>
    <row r="310">
      <c r="A310" s="3" t="n">
        <v>309</v>
      </c>
      <c r="B310" s="3" t="n">
        <v>21</v>
      </c>
      <c r="C310" s="3" t="inlineStr">
        <is>
          <t>3</t>
        </is>
      </c>
      <c r="D310" s="4" t="inlineStr">
        <is>
          <t>KBLJ-03.5*100 3.5*100</t>
        </is>
      </c>
      <c r="E310" s="3" t="inlineStr">
        <is>
          <t>Cái</t>
        </is>
      </c>
      <c r="F310" s="5" t="n">
        <v>30000</v>
      </c>
      <c r="G310" s="5" t="n">
        <v>37000</v>
      </c>
      <c r="H310" s="6" t="n">
        <v>48000</v>
      </c>
      <c r="I310" s="4" t="inlineStr">
        <is>
          <t>Cái 10C/H 500C/T</t>
        </is>
      </c>
    </row>
    <row r="311">
      <c r="A311" s="3" t="n">
        <v>310</v>
      </c>
      <c r="B311" s="3" t="n">
        <v>21</v>
      </c>
      <c r="C311" s="3" t="inlineStr">
        <is>
          <t>4</t>
        </is>
      </c>
      <c r="D311" s="4" t="inlineStr">
        <is>
          <t>KBLJ-04*100 04*100</t>
        </is>
      </c>
      <c r="E311" s="3" t="inlineStr">
        <is>
          <t>Cái</t>
        </is>
      </c>
      <c r="F311" s="5" t="n">
        <v>30000</v>
      </c>
      <c r="G311" s="5" t="n">
        <v>37000</v>
      </c>
      <c r="H311" s="6" t="n">
        <v>48000</v>
      </c>
      <c r="I311" s="4" t="inlineStr">
        <is>
          <t>Cái 10C/H 500C/T</t>
        </is>
      </c>
    </row>
    <row r="312">
      <c r="A312" s="3" t="n">
        <v>311</v>
      </c>
      <c r="B312" s="3" t="n">
        <v>21</v>
      </c>
      <c r="C312" s="3" t="inlineStr">
        <is>
          <t>5</t>
        </is>
      </c>
      <c r="D312" s="4" t="inlineStr">
        <is>
          <t>KBLJ-04.2*100 4.2*100</t>
        </is>
      </c>
      <c r="E312" s="3" t="inlineStr">
        <is>
          <t>Cái</t>
        </is>
      </c>
      <c r="F312" s="5" t="n">
        <v>30000</v>
      </c>
      <c r="G312" s="5" t="n">
        <v>37000</v>
      </c>
      <c r="H312" s="6" t="n">
        <v>48000</v>
      </c>
      <c r="I312" s="4" t="inlineStr">
        <is>
          <t>Cái 10C/H 500C/T</t>
        </is>
      </c>
    </row>
    <row r="313">
      <c r="A313" s="3" t="n">
        <v>312</v>
      </c>
      <c r="B313" s="3" t="n">
        <v>21</v>
      </c>
      <c r="C313" s="3" t="inlineStr">
        <is>
          <t>6</t>
        </is>
      </c>
      <c r="D313" s="4" t="inlineStr">
        <is>
          <t>KBLJ-04.5*100 4.5*100</t>
        </is>
      </c>
      <c r="E313" s="3" t="inlineStr">
        <is>
          <t>Cái</t>
        </is>
      </c>
      <c r="F313" s="5" t="n">
        <v>30000</v>
      </c>
      <c r="G313" s="5" t="n">
        <v>37000</v>
      </c>
      <c r="H313" s="6" t="n">
        <v>48000</v>
      </c>
      <c r="I313" s="4" t="inlineStr">
        <is>
          <t>Cái 10C/H 500C/T</t>
        </is>
      </c>
    </row>
    <row r="314">
      <c r="A314" s="3" t="n">
        <v>313</v>
      </c>
      <c r="B314" s="3" t="n">
        <v>21</v>
      </c>
      <c r="C314" s="3" t="inlineStr">
        <is>
          <t>7</t>
        </is>
      </c>
      <c r="D314" s="4" t="inlineStr">
        <is>
          <t>KBLJ-05*100 05*100</t>
        </is>
      </c>
      <c r="E314" s="3" t="inlineStr">
        <is>
          <t>Cái</t>
        </is>
      </c>
      <c r="F314" s="5" t="n">
        <v>30000</v>
      </c>
      <c r="G314" s="5" t="n">
        <v>37000</v>
      </c>
      <c r="H314" s="6" t="n">
        <v>48000</v>
      </c>
      <c r="I314" s="4" t="inlineStr">
        <is>
          <t>Cái 10C/H 500C/T</t>
        </is>
      </c>
    </row>
    <row r="315">
      <c r="A315" s="3" t="n">
        <v>314</v>
      </c>
      <c r="B315" s="3" t="n">
        <v>21</v>
      </c>
      <c r="C315" s="3" t="inlineStr">
        <is>
          <t>8</t>
        </is>
      </c>
      <c r="D315" s="4" t="inlineStr">
        <is>
          <t>KBLJ-05.5*100 5.5*100</t>
        </is>
      </c>
      <c r="E315" s="3" t="inlineStr">
        <is>
          <t>Cái</t>
        </is>
      </c>
      <c r="F315" s="5" t="n">
        <v>30000</v>
      </c>
      <c r="G315" s="5" t="n">
        <v>37000</v>
      </c>
      <c r="H315" s="6" t="n">
        <v>48000</v>
      </c>
      <c r="I315" s="4" t="inlineStr">
        <is>
          <t>Cái 10c/H nhỏ100c/H lớn 500c/T nhỏ600c/T lớn</t>
        </is>
      </c>
    </row>
    <row r="316">
      <c r="A316" s="3" t="n">
        <v>315</v>
      </c>
      <c r="B316" s="3" t="n">
        <v>21</v>
      </c>
      <c r="C316" s="3" t="inlineStr">
        <is>
          <t>9</t>
        </is>
      </c>
      <c r="D316" s="4" t="inlineStr">
        <is>
          <t>KBLJ-06*125 06*125</t>
        </is>
      </c>
      <c r="E316" s="3" t="inlineStr">
        <is>
          <t>Cái</t>
        </is>
      </c>
      <c r="F316" s="5" t="n">
        <v>36000</v>
      </c>
      <c r="G316" s="5" t="n">
        <v>45000</v>
      </c>
      <c r="H316" s="6" t="n">
        <v>58000</v>
      </c>
      <c r="I316" s="4" t="inlineStr">
        <is>
          <t>Cái 10C/H 500C/T</t>
        </is>
      </c>
    </row>
    <row r="317">
      <c r="A317" s="3" t="n">
        <v>316</v>
      </c>
      <c r="B317" s="3" t="n">
        <v>21</v>
      </c>
      <c r="C317" s="3" t="inlineStr">
        <is>
          <t>10</t>
        </is>
      </c>
      <c r="D317" s="4" t="inlineStr">
        <is>
          <t>KBLJ-06.5*125 6.5*125</t>
        </is>
      </c>
      <c r="E317" s="3" t="inlineStr">
        <is>
          <t>Cái</t>
        </is>
      </c>
      <c r="F317" s="5" t="n">
        <v>40000</v>
      </c>
      <c r="G317" s="5" t="n">
        <v>50000</v>
      </c>
      <c r="H317" s="6" t="n">
        <v>64000</v>
      </c>
      <c r="I317" s="4" t="inlineStr">
        <is>
          <t>Cái 10C/H 500C/T</t>
        </is>
      </c>
    </row>
    <row r="318">
      <c r="A318" s="3" t="n">
        <v>317</v>
      </c>
      <c r="B318" s="3" t="n">
        <v>21</v>
      </c>
      <c r="C318" s="3" t="inlineStr">
        <is>
          <t>11</t>
        </is>
      </c>
      <c r="D318" s="4" t="inlineStr">
        <is>
          <t>KBLJ-07*125 07*125</t>
        </is>
      </c>
      <c r="E318" s="3" t="inlineStr">
        <is>
          <t>Cái</t>
        </is>
      </c>
      <c r="F318" s="5" t="n">
        <v>43000</v>
      </c>
      <c r="G318" s="5" t="n">
        <v>53000</v>
      </c>
      <c r="H318" s="6" t="n">
        <v>69000</v>
      </c>
      <c r="I318" s="4" t="inlineStr">
        <is>
          <t>Cái 10C/H 500C/T</t>
        </is>
      </c>
    </row>
    <row r="319">
      <c r="A319" s="3" t="n">
        <v>318</v>
      </c>
      <c r="B319" s="3" t="n">
        <v>21</v>
      </c>
      <c r="C319" s="3" t="inlineStr">
        <is>
          <t>12</t>
        </is>
      </c>
      <c r="D319" s="4" t="inlineStr">
        <is>
          <t>KBLJ-08*125 08*125</t>
        </is>
      </c>
      <c r="E319" s="3" t="inlineStr">
        <is>
          <t>Cái</t>
        </is>
      </c>
      <c r="F319" s="5" t="n">
        <v>46000</v>
      </c>
      <c r="G319" s="5" t="n">
        <v>57000</v>
      </c>
      <c r="H319" s="6" t="n">
        <v>74000</v>
      </c>
      <c r="I319" s="4" t="inlineStr">
        <is>
          <t>Cái 10c/H nhỏ100c/H lớn 500c/T nhỏ600c/T lớn</t>
        </is>
      </c>
    </row>
    <row r="320">
      <c r="A320" s="3" t="n">
        <v>319</v>
      </c>
      <c r="B320" s="3" t="n">
        <v>21</v>
      </c>
      <c r="C320" s="3" t="inlineStr">
        <is>
          <t>13</t>
        </is>
      </c>
      <c r="D320" s="4" t="inlineStr">
        <is>
          <t>KBLJ-10*148 10*148</t>
        </is>
      </c>
      <c r="E320" s="3" t="inlineStr">
        <is>
          <t>Cái</t>
        </is>
      </c>
      <c r="F320" s="5" t="n">
        <v>54000</v>
      </c>
      <c r="G320" s="5" t="n">
        <v>67000</v>
      </c>
      <c r="H320" s="6" t="n">
        <v>86000</v>
      </c>
      <c r="I320" s="4" t="inlineStr">
        <is>
          <t>Cái 10C/H 250C/T</t>
        </is>
      </c>
    </row>
    <row r="321">
      <c r="A321" s="3" t="n">
        <v>320</v>
      </c>
      <c r="B321" s="3" t="n">
        <v>21</v>
      </c>
      <c r="C321" s="3" t="inlineStr">
        <is>
          <t>1</t>
        </is>
      </c>
      <c r="D321" s="4" t="inlineStr">
        <is>
          <t>KFJ-432  Ø4*32</t>
        </is>
      </c>
      <c r="E321" s="3" t="inlineStr">
        <is>
          <t>Hộp</t>
        </is>
      </c>
      <c r="F321" s="5" t="n">
        <v>81000</v>
      </c>
      <c r="G321" s="5" t="n">
        <v>101000</v>
      </c>
      <c r="H321" s="6" t="n">
        <v>130000</v>
      </c>
      <c r="I321" s="4" t="inlineStr">
        <is>
          <t>Hộp 150C/H 18H/T</t>
        </is>
      </c>
    </row>
    <row r="322">
      <c r="A322" s="3" t="n">
        <v>321</v>
      </c>
      <c r="B322" s="3" t="n">
        <v>21</v>
      </c>
      <c r="C322" s="3" t="inlineStr">
        <is>
          <t>2</t>
        </is>
      </c>
      <c r="D322" s="4" t="inlineStr">
        <is>
          <t>KFJ-438  Ø4*38</t>
        </is>
      </c>
      <c r="E322" s="3" t="inlineStr">
        <is>
          <t>Hộp</t>
        </is>
      </c>
      <c r="F322" s="5" t="n">
        <v>81000</v>
      </c>
      <c r="G322" s="5" t="n">
        <v>101000</v>
      </c>
      <c r="H322" s="6" t="n">
        <v>130000</v>
      </c>
      <c r="I322" s="4" t="inlineStr">
        <is>
          <t>Hộp 125CH 18H/T</t>
        </is>
      </c>
    </row>
    <row r="323">
      <c r="A323" s="3" t="n">
        <v>322</v>
      </c>
      <c r="B323" s="3" t="n">
        <v>21</v>
      </c>
      <c r="C323" s="3" t="inlineStr">
        <is>
          <t>3</t>
        </is>
      </c>
      <c r="D323" s="4" t="inlineStr">
        <is>
          <t>KFJ-445  Ø4*45</t>
        </is>
      </c>
      <c r="E323" s="3" t="inlineStr">
        <is>
          <t>Hộp</t>
        </is>
      </c>
      <c r="F323" s="5" t="n">
        <v>81000</v>
      </c>
      <c r="G323" s="5" t="n">
        <v>101000</v>
      </c>
      <c r="H323" s="6" t="n">
        <v>130000</v>
      </c>
      <c r="I323" s="4" t="inlineStr">
        <is>
          <t>Hộp 100C/H 18H/T</t>
        </is>
      </c>
    </row>
    <row r="324">
      <c r="A324" s="3" t="n">
        <v>323</v>
      </c>
      <c r="B324" s="3" t="n">
        <v>21</v>
      </c>
      <c r="C324" s="3" t="inlineStr">
        <is>
          <t>4</t>
        </is>
      </c>
      <c r="D324" s="4" t="inlineStr">
        <is>
          <t>KFJ-535  Ø5*35</t>
        </is>
      </c>
      <c r="E324" s="3" t="inlineStr">
        <is>
          <t>Hộp</t>
        </is>
      </c>
      <c r="F324" s="5" t="n">
        <v>81000</v>
      </c>
      <c r="G324" s="5" t="n">
        <v>101000</v>
      </c>
      <c r="H324" s="6" t="n">
        <v>130000</v>
      </c>
      <c r="I324" s="4" t="inlineStr">
        <is>
          <t>Hộp 70C/H 18H/T</t>
        </is>
      </c>
    </row>
    <row r="325">
      <c r="A325" s="3" t="n">
        <v>324</v>
      </c>
      <c r="B325" s="3" t="n">
        <v>21</v>
      </c>
      <c r="C325" s="3" t="inlineStr">
        <is>
          <t>5</t>
        </is>
      </c>
      <c r="D325" s="4" t="inlineStr">
        <is>
          <t>KFJ-545  Ø5*45</t>
        </is>
      </c>
      <c r="E325" s="3" t="inlineStr">
        <is>
          <t>Hộp</t>
        </is>
      </c>
      <c r="F325" s="5" t="n">
        <v>81000</v>
      </c>
      <c r="G325" s="5" t="n">
        <v>101000</v>
      </c>
      <c r="H325" s="6" t="n">
        <v>130000</v>
      </c>
      <c r="I325" s="4" t="inlineStr">
        <is>
          <t>Hộp 60C/H 18H/T</t>
        </is>
      </c>
    </row>
    <row r="326">
      <c r="A326" s="3" t="n">
        <v>325</v>
      </c>
      <c r="B326" s="3" t="n">
        <v>21</v>
      </c>
      <c r="C326" s="3" t="inlineStr">
        <is>
          <t>1</t>
        </is>
      </c>
      <c r="D326" s="4" t="inlineStr">
        <is>
          <t>KBL4S-06*160 Ø06*160</t>
        </is>
      </c>
      <c r="E326" s="3" t="inlineStr">
        <is>
          <t>Cái</t>
        </is>
      </c>
      <c r="F326" s="5" t="n">
        <v>28000</v>
      </c>
      <c r="G326" s="5" t="n">
        <v>35000</v>
      </c>
      <c r="H326" s="6" t="n">
        <v>45000</v>
      </c>
      <c r="I326" s="4" t="inlineStr">
        <is>
          <t>Cái 10C/H 300C/T</t>
        </is>
      </c>
    </row>
    <row r="327">
      <c r="A327" s="3" t="n">
        <v>326</v>
      </c>
      <c r="B327" s="3" t="n">
        <v>21</v>
      </c>
      <c r="C327" s="3" t="inlineStr">
        <is>
          <t>2</t>
        </is>
      </c>
      <c r="D327" s="4" t="inlineStr">
        <is>
          <t>KBL4S-08*160 Ø08*160</t>
        </is>
      </c>
      <c r="E327" s="3" t="inlineStr">
        <is>
          <t>Cái</t>
        </is>
      </c>
      <c r="F327" s="5" t="n">
        <v>32000</v>
      </c>
      <c r="G327" s="5" t="n">
        <v>40000</v>
      </c>
      <c r="H327" s="6" t="n">
        <v>51000</v>
      </c>
      <c r="I327" s="4" t="inlineStr">
        <is>
          <t>Cái 10C/H 300C/T</t>
        </is>
      </c>
    </row>
    <row r="328">
      <c r="A328" s="3" t="n">
        <v>327</v>
      </c>
      <c r="B328" s="3" t="n">
        <v>21</v>
      </c>
      <c r="C328" s="3" t="inlineStr">
        <is>
          <t>3</t>
        </is>
      </c>
      <c r="D328" s="4" t="inlineStr">
        <is>
          <t>KBL4S-10*160 Ø10*160</t>
        </is>
      </c>
      <c r="E328" s="3" t="inlineStr">
        <is>
          <t>Cái</t>
        </is>
      </c>
      <c r="F328" s="5" t="n">
        <v>40000</v>
      </c>
      <c r="G328" s="5" t="n">
        <v>50000</v>
      </c>
      <c r="H328" s="6" t="n">
        <v>64000</v>
      </c>
      <c r="I328" s="4" t="inlineStr">
        <is>
          <t>Cái 10C/H 200C/T</t>
        </is>
      </c>
    </row>
    <row r="329">
      <c r="A329" s="3" t="n">
        <v>328</v>
      </c>
      <c r="B329" s="3" t="n">
        <v>21</v>
      </c>
      <c r="C329" s="3" t="inlineStr">
        <is>
          <t>4</t>
        </is>
      </c>
      <c r="D329" s="4" t="inlineStr">
        <is>
          <t>KBL4S-12*160 Ø12*160</t>
        </is>
      </c>
      <c r="E329" s="3" t="inlineStr">
        <is>
          <t>Cái</t>
        </is>
      </c>
      <c r="F329" s="5" t="n">
        <v>46000</v>
      </c>
      <c r="G329" s="5" t="n">
        <v>57000</v>
      </c>
      <c r="H329" s="6" t="n">
        <v>74000</v>
      </c>
      <c r="I329" s="4" t="inlineStr">
        <is>
          <t>Cái 10C/H 200C/T</t>
        </is>
      </c>
    </row>
    <row r="330">
      <c r="A330" s="3" t="n">
        <v>329</v>
      </c>
      <c r="B330" s="3" t="n">
        <v>21</v>
      </c>
      <c r="C330" s="3" t="inlineStr">
        <is>
          <t>1</t>
        </is>
      </c>
      <c r="D330" s="4" t="inlineStr">
        <is>
          <t>KBX1-06*200 Ø06*200</t>
        </is>
      </c>
      <c r="E330" s="3" t="inlineStr">
        <is>
          <t>Cái</t>
        </is>
      </c>
      <c r="F330" s="5" t="n">
        <v>32000</v>
      </c>
      <c r="G330" s="5" t="n">
        <v>40000</v>
      </c>
      <c r="H330" s="6" t="n">
        <v>51000</v>
      </c>
      <c r="I330" s="4" t="inlineStr">
        <is>
          <t>Cái 10C/H 250C/T</t>
        </is>
      </c>
    </row>
    <row r="331">
      <c r="A331" s="3" t="n">
        <v>330</v>
      </c>
      <c r="B331" s="3" t="n">
        <v>21</v>
      </c>
      <c r="C331" s="3" t="inlineStr">
        <is>
          <t>2</t>
        </is>
      </c>
      <c r="D331" s="4" t="inlineStr">
        <is>
          <t>KBX1-08*200 Ø08*200</t>
        </is>
      </c>
      <c r="E331" s="3" t="inlineStr">
        <is>
          <t>Cái</t>
        </is>
      </c>
      <c r="F331" s="5" t="n">
        <v>39000</v>
      </c>
      <c r="G331" s="5" t="n">
        <v>48000</v>
      </c>
      <c r="H331" s="6" t="n">
        <v>62000</v>
      </c>
      <c r="I331" s="4" t="inlineStr">
        <is>
          <t>Cái 10C/H 250C/T</t>
        </is>
      </c>
    </row>
    <row r="332">
      <c r="A332" s="3" t="n">
        <v>331</v>
      </c>
      <c r="B332" s="3" t="n">
        <v>21</v>
      </c>
      <c r="C332" s="3" t="inlineStr">
        <is>
          <t>3</t>
        </is>
      </c>
      <c r="D332" s="4" t="inlineStr">
        <is>
          <t>KBX1-10*200 Ø10*200</t>
        </is>
      </c>
      <c r="E332" s="3" t="inlineStr">
        <is>
          <t>Cái</t>
        </is>
      </c>
      <c r="F332" s="5" t="n">
        <v>43000</v>
      </c>
      <c r="G332" s="5" t="n">
        <v>53000</v>
      </c>
      <c r="H332" s="6" t="n">
        <v>69000</v>
      </c>
      <c r="I332" s="4" t="inlineStr">
        <is>
          <t>Cái 10C/H 250C/T</t>
        </is>
      </c>
    </row>
    <row r="333">
      <c r="A333" s="3" t="n">
        <v>332</v>
      </c>
      <c r="B333" s="3" t="n">
        <v>21</v>
      </c>
      <c r="C333" s="3" t="inlineStr">
        <is>
          <t>4</t>
        </is>
      </c>
      <c r="D333" s="4" t="inlineStr">
        <is>
          <t>KBX1-12*200 Ø12*200</t>
        </is>
      </c>
      <c r="E333" s="3" t="inlineStr">
        <is>
          <t>Cái</t>
        </is>
      </c>
      <c r="F333" s="5" t="n">
        <v>50000</v>
      </c>
      <c r="G333" s="5" t="n">
        <v>62000</v>
      </c>
      <c r="H333" s="6" t="n">
        <v>80000</v>
      </c>
      <c r="I333" s="4" t="inlineStr">
        <is>
          <t>Cái 10C/H 250C/T</t>
        </is>
      </c>
    </row>
    <row r="334">
      <c r="A334" s="3" t="n">
        <v>333</v>
      </c>
      <c r="B334" s="3" t="n">
        <v>21</v>
      </c>
      <c r="C334" s="3" t="inlineStr">
        <is>
          <t>1</t>
        </is>
      </c>
      <c r="D334" s="4" t="inlineStr">
        <is>
          <t>KBY1-010 Ø1.0</t>
        </is>
      </c>
      <c r="E334" s="3" t="inlineStr">
        <is>
          <t>Cái</t>
        </is>
      </c>
      <c r="F334" s="5" t="n">
        <v>4000</v>
      </c>
      <c r="G334" s="5" t="n">
        <v>5000</v>
      </c>
      <c r="H334" s="6" t="n">
        <v>6000</v>
      </c>
      <c r="I334" s="4" t="inlineStr">
        <is>
          <t>Cái 20C/H 200C/HG</t>
        </is>
      </c>
    </row>
    <row r="335">
      <c r="A335" s="3" t="n">
        <v>334</v>
      </c>
      <c r="B335" s="3" t="n">
        <v>21</v>
      </c>
      <c r="C335" s="3" t="inlineStr">
        <is>
          <t>2</t>
        </is>
      </c>
      <c r="D335" s="4" t="inlineStr">
        <is>
          <t>KBY1-015 Ø1.5</t>
        </is>
      </c>
      <c r="E335" s="3" t="inlineStr">
        <is>
          <t>Cái</t>
        </is>
      </c>
      <c r="F335" s="5" t="n">
        <v>5000</v>
      </c>
      <c r="G335" s="5" t="n">
        <v>6000</v>
      </c>
      <c r="H335" s="6" t="n">
        <v>8000</v>
      </c>
      <c r="I335" s="4" t="inlineStr">
        <is>
          <t>Cái 20C/H 200C/HG</t>
        </is>
      </c>
    </row>
    <row r="336">
      <c r="A336" s="3" t="n">
        <v>335</v>
      </c>
      <c r="B336" s="3" t="n">
        <v>21</v>
      </c>
      <c r="C336" s="3" t="inlineStr">
        <is>
          <t>3</t>
        </is>
      </c>
      <c r="D336" s="4" t="inlineStr">
        <is>
          <t>KBY1-020 Ø2.0</t>
        </is>
      </c>
      <c r="E336" s="3" t="inlineStr">
        <is>
          <t>Cái</t>
        </is>
      </c>
      <c r="F336" s="5" t="n">
        <v>6000</v>
      </c>
      <c r="G336" s="5" t="n">
        <v>8000</v>
      </c>
      <c r="H336" s="6" t="n">
        <v>10000</v>
      </c>
      <c r="I336" s="4" t="inlineStr">
        <is>
          <t>Cái 20C/H 200C/HG</t>
        </is>
      </c>
    </row>
    <row r="337">
      <c r="A337" s="3" t="n">
        <v>336</v>
      </c>
      <c r="B337" s="3" t="n">
        <v>21</v>
      </c>
      <c r="C337" s="3" t="inlineStr">
        <is>
          <t>4</t>
        </is>
      </c>
      <c r="D337" s="4" t="inlineStr">
        <is>
          <t>KBY1-025 Ø2.5</t>
        </is>
      </c>
      <c r="E337" s="3" t="inlineStr">
        <is>
          <t>Cái</t>
        </is>
      </c>
      <c r="F337" s="5" t="n">
        <v>6000</v>
      </c>
      <c r="G337" s="5" t="n">
        <v>8000</v>
      </c>
      <c r="H337" s="6" t="n">
        <v>10000</v>
      </c>
      <c r="I337" s="4" t="inlineStr">
        <is>
          <t>Cái 20C/H 200C/HG</t>
        </is>
      </c>
    </row>
    <row r="338">
      <c r="A338" s="3" t="n">
        <v>337</v>
      </c>
      <c r="B338" s="3" t="n">
        <v>21</v>
      </c>
      <c r="C338" s="3" t="inlineStr">
        <is>
          <t>5</t>
        </is>
      </c>
      <c r="D338" s="4" t="inlineStr">
        <is>
          <t>KBY1-030 Ø3.0</t>
        </is>
      </c>
      <c r="E338" s="3" t="inlineStr">
        <is>
          <t>Cái</t>
        </is>
      </c>
      <c r="F338" s="5" t="n">
        <v>8000</v>
      </c>
      <c r="G338" s="5" t="n">
        <v>10000</v>
      </c>
      <c r="H338" s="6" t="n">
        <v>13000</v>
      </c>
      <c r="I338" s="4" t="inlineStr">
        <is>
          <t>Cái 20C/H 200C/HG</t>
        </is>
      </c>
    </row>
    <row r="339">
      <c r="A339" s="3" t="n">
        <v>338</v>
      </c>
      <c r="B339" s="3" t="n">
        <v>21</v>
      </c>
      <c r="C339" s="3" t="inlineStr">
        <is>
          <t>6</t>
        </is>
      </c>
      <c r="D339" s="4" t="inlineStr">
        <is>
          <t>KBY1-032 Ø3.2</t>
        </is>
      </c>
      <c r="E339" s="3" t="inlineStr">
        <is>
          <t>Cái</t>
        </is>
      </c>
      <c r="F339" s="5" t="n">
        <v>9000</v>
      </c>
      <c r="G339" s="5" t="n">
        <v>11000</v>
      </c>
      <c r="H339" s="6" t="n">
        <v>14000</v>
      </c>
      <c r="I339" s="4" t="inlineStr">
        <is>
          <t>Cái 20C/H 200C/HG</t>
        </is>
      </c>
    </row>
    <row r="340">
      <c r="A340" s="3" t="n">
        <v>339</v>
      </c>
      <c r="B340" s="3" t="n">
        <v>21</v>
      </c>
      <c r="C340" s="3" t="inlineStr">
        <is>
          <t>7</t>
        </is>
      </c>
      <c r="D340" s="4" t="inlineStr">
        <is>
          <t>KBY1-035 Ø3.5</t>
        </is>
      </c>
      <c r="E340" s="3" t="inlineStr">
        <is>
          <t>Cái</t>
        </is>
      </c>
      <c r="F340" s="5" t="n">
        <v>10000</v>
      </c>
      <c r="G340" s="5" t="n">
        <v>12000</v>
      </c>
      <c r="H340" s="6" t="n">
        <v>16000</v>
      </c>
      <c r="I340" s="4" t="inlineStr">
        <is>
          <t>Cái 20C/H 200C/HG</t>
        </is>
      </c>
    </row>
    <row r="341">
      <c r="A341" s="3" t="n">
        <v>340</v>
      </c>
      <c r="B341" s="3" t="n">
        <v>21</v>
      </c>
      <c r="C341" s="3" t="inlineStr">
        <is>
          <t>8</t>
        </is>
      </c>
      <c r="D341" s="4" t="inlineStr">
        <is>
          <t>KBY1-040 Ø4.0</t>
        </is>
      </c>
      <c r="E341" s="3" t="inlineStr">
        <is>
          <t>Cái</t>
        </is>
      </c>
      <c r="F341" s="5" t="n">
        <v>12000</v>
      </c>
      <c r="G341" s="5" t="n">
        <v>15000</v>
      </c>
      <c r="H341" s="6" t="n">
        <v>19000</v>
      </c>
      <c r="I341" s="4" t="inlineStr">
        <is>
          <t>Cái 20C/H 200C/HG</t>
        </is>
      </c>
    </row>
    <row r="342">
      <c r="A342" s="3" t="n">
        <v>341</v>
      </c>
      <c r="B342" s="3" t="n">
        <v>21</v>
      </c>
      <c r="C342" s="3" t="inlineStr">
        <is>
          <t>9</t>
        </is>
      </c>
      <c r="D342" s="4" t="inlineStr">
        <is>
          <t>KBY1-042 Ø4.2</t>
        </is>
      </c>
      <c r="E342" s="3" t="inlineStr">
        <is>
          <t>Cái</t>
        </is>
      </c>
      <c r="F342" s="5" t="n">
        <v>13000</v>
      </c>
      <c r="G342" s="5" t="n">
        <v>16000</v>
      </c>
      <c r="H342" s="6" t="n">
        <v>21000</v>
      </c>
      <c r="I342" s="4" t="inlineStr">
        <is>
          <t>Cái 20C/H 200C/HG</t>
        </is>
      </c>
    </row>
    <row r="343">
      <c r="A343" s="3" t="n">
        <v>342</v>
      </c>
      <c r="B343" s="3" t="n">
        <v>21</v>
      </c>
      <c r="C343" s="3" t="inlineStr">
        <is>
          <t>10</t>
        </is>
      </c>
      <c r="D343" s="4" t="inlineStr">
        <is>
          <t>KBY1-045 Ø4.5</t>
        </is>
      </c>
      <c r="E343" s="3" t="inlineStr">
        <is>
          <t>Cái</t>
        </is>
      </c>
      <c r="F343" s="5" t="n">
        <v>14000</v>
      </c>
      <c r="G343" s="5" t="n">
        <v>17000</v>
      </c>
      <c r="H343" s="6" t="n">
        <v>22000</v>
      </c>
      <c r="I343" s="4" t="inlineStr">
        <is>
          <t>Cái 20C/H 200C/HG</t>
        </is>
      </c>
    </row>
    <row r="344">
      <c r="A344" s="3" t="n">
        <v>343</v>
      </c>
      <c r="B344" s="3" t="n">
        <v>22</v>
      </c>
      <c r="C344" s="3" t="inlineStr">
        <is>
          <t>11</t>
        </is>
      </c>
      <c r="D344" s="4" t="inlineStr">
        <is>
          <t>KBY1-050 Ø5.0</t>
        </is>
      </c>
      <c r="E344" s="3" t="inlineStr">
        <is>
          <t>Cái</t>
        </is>
      </c>
      <c r="F344" s="5" t="n">
        <v>17000</v>
      </c>
      <c r="G344" s="5" t="n">
        <v>21000</v>
      </c>
      <c r="H344" s="6" t="n">
        <v>27000</v>
      </c>
      <c r="I344" s="4" t="inlineStr">
        <is>
          <t>Cái 20C/H 200C/HG</t>
        </is>
      </c>
    </row>
    <row r="345">
      <c r="A345" s="3" t="n">
        <v>344</v>
      </c>
      <c r="B345" s="3" t="n">
        <v>22</v>
      </c>
      <c r="C345" s="3" t="inlineStr">
        <is>
          <t>12</t>
        </is>
      </c>
      <c r="D345" s="4" t="inlineStr">
        <is>
          <t>KBY1-052 Ø5.2</t>
        </is>
      </c>
      <c r="E345" s="3" t="inlineStr">
        <is>
          <t>Cái</t>
        </is>
      </c>
      <c r="F345" s="5" t="n">
        <v>19000</v>
      </c>
      <c r="G345" s="5" t="n">
        <v>23000</v>
      </c>
      <c r="H345" s="6" t="n">
        <v>30000</v>
      </c>
      <c r="I345" s="4" t="inlineStr">
        <is>
          <t>Cái 10C/H 100C/HG</t>
        </is>
      </c>
    </row>
    <row r="346">
      <c r="A346" s="3" t="n">
        <v>345</v>
      </c>
      <c r="B346" s="3" t="n">
        <v>22</v>
      </c>
      <c r="C346" s="3" t="inlineStr">
        <is>
          <t>13</t>
        </is>
      </c>
      <c r="D346" s="4" t="inlineStr">
        <is>
          <t>KBY1-055 Ø5.5</t>
        </is>
      </c>
      <c r="E346" s="3" t="inlineStr">
        <is>
          <t>Cái</t>
        </is>
      </c>
      <c r="F346" s="5" t="n">
        <v>20000</v>
      </c>
      <c r="G346" s="5" t="n">
        <v>25000</v>
      </c>
      <c r="H346" s="6" t="n">
        <v>32000</v>
      </c>
      <c r="I346" s="4" t="inlineStr">
        <is>
          <t>Cái 10C/H 100C/HG</t>
        </is>
      </c>
    </row>
    <row r="347">
      <c r="A347" s="3" t="n">
        <v>346</v>
      </c>
      <c r="B347" s="3" t="n">
        <v>22</v>
      </c>
      <c r="C347" s="3" t="inlineStr">
        <is>
          <t>14</t>
        </is>
      </c>
      <c r="D347" s="4" t="inlineStr">
        <is>
          <t>KBY1-060 Ø6.0</t>
        </is>
      </c>
      <c r="E347" s="3" t="inlineStr">
        <is>
          <t>Cái</t>
        </is>
      </c>
      <c r="F347" s="5" t="n">
        <v>25000</v>
      </c>
      <c r="G347" s="5" t="n">
        <v>31000</v>
      </c>
      <c r="H347" s="6" t="n">
        <v>40000</v>
      </c>
      <c r="I347" s="4" t="inlineStr">
        <is>
          <t>Cái 10C/H 100C/HG</t>
        </is>
      </c>
    </row>
    <row r="348">
      <c r="A348" s="3" t="n">
        <v>347</v>
      </c>
      <c r="B348" s="3" t="n">
        <v>22</v>
      </c>
      <c r="C348" s="3" t="inlineStr">
        <is>
          <t>15</t>
        </is>
      </c>
      <c r="D348" s="4" t="inlineStr">
        <is>
          <t>KBY1-065 Ø6.5</t>
        </is>
      </c>
      <c r="E348" s="3" t="inlineStr">
        <is>
          <t>Cái</t>
        </is>
      </c>
      <c r="F348" s="5" t="n">
        <v>26000</v>
      </c>
      <c r="G348" s="5" t="n">
        <v>32000</v>
      </c>
      <c r="H348" s="6" t="n">
        <v>42000</v>
      </c>
      <c r="I348" s="4" t="inlineStr">
        <is>
          <t>Cái 10C/H 100C/HG</t>
        </is>
      </c>
    </row>
    <row r="349">
      <c r="A349" s="3" t="n">
        <v>348</v>
      </c>
      <c r="B349" s="3" t="n">
        <v>22</v>
      </c>
      <c r="C349" s="3" t="inlineStr">
        <is>
          <t>16</t>
        </is>
      </c>
      <c r="D349" s="4" t="inlineStr">
        <is>
          <t>KBY1-070 Ø7.0</t>
        </is>
      </c>
      <c r="E349" s="3" t="inlineStr">
        <is>
          <t>Cái</t>
        </is>
      </c>
      <c r="F349" s="5" t="n">
        <v>31000</v>
      </c>
      <c r="G349" s="5" t="n">
        <v>39000</v>
      </c>
      <c r="H349" s="6" t="n">
        <v>50000</v>
      </c>
      <c r="I349" s="4" t="inlineStr">
        <is>
          <t>Cái 10C/H 100C/HG</t>
        </is>
      </c>
    </row>
    <row r="350">
      <c r="A350" s="3" t="n">
        <v>349</v>
      </c>
      <c r="B350" s="3" t="n">
        <v>22</v>
      </c>
      <c r="C350" s="3" t="inlineStr">
        <is>
          <t>17</t>
        </is>
      </c>
      <c r="D350" s="4" t="inlineStr">
        <is>
          <t>KBY1-075 Ø7.5</t>
        </is>
      </c>
      <c r="E350" s="3" t="inlineStr">
        <is>
          <t>Cái</t>
        </is>
      </c>
      <c r="F350" s="5" t="n">
        <v>35000</v>
      </c>
      <c r="G350" s="5" t="n">
        <v>43000</v>
      </c>
      <c r="H350" s="6" t="n">
        <v>56000</v>
      </c>
      <c r="I350" s="4" t="inlineStr">
        <is>
          <t>Cái 10C/H 100C/HG</t>
        </is>
      </c>
    </row>
    <row r="351">
      <c r="A351" s="3" t="n">
        <v>350</v>
      </c>
      <c r="B351" s="3" t="n">
        <v>22</v>
      </c>
      <c r="C351" s="3" t="inlineStr">
        <is>
          <t>18</t>
        </is>
      </c>
      <c r="D351" s="4" t="inlineStr">
        <is>
          <t>KBY1-080 Ø8.0</t>
        </is>
      </c>
      <c r="E351" s="3" t="inlineStr">
        <is>
          <t>Cái</t>
        </is>
      </c>
      <c r="F351" s="5" t="n">
        <v>46000</v>
      </c>
      <c r="G351" s="5" t="n">
        <v>57000</v>
      </c>
      <c r="H351" s="6" t="n">
        <v>74000</v>
      </c>
      <c r="I351" s="4" t="inlineStr">
        <is>
          <t>Cái 10C/H 100C/HG</t>
        </is>
      </c>
    </row>
    <row r="352">
      <c r="A352" s="3" t="n">
        <v>351</v>
      </c>
      <c r="B352" s="3" t="n">
        <v>22</v>
      </c>
      <c r="C352" s="3" t="inlineStr">
        <is>
          <t>19</t>
        </is>
      </c>
      <c r="D352" s="4" t="inlineStr">
        <is>
          <t>KBY1-085 Ø8.5</t>
        </is>
      </c>
      <c r="E352" s="3" t="inlineStr">
        <is>
          <t>Cái</t>
        </is>
      </c>
      <c r="F352" s="5" t="n">
        <v>48000</v>
      </c>
      <c r="G352" s="5" t="n">
        <v>60000</v>
      </c>
      <c r="H352" s="6" t="n">
        <v>77000</v>
      </c>
      <c r="I352" s="4" t="inlineStr">
        <is>
          <t>Cái 10C/H 100C/HG</t>
        </is>
      </c>
    </row>
    <row r="353">
      <c r="A353" s="3" t="n">
        <v>352</v>
      </c>
      <c r="B353" s="3" t="n">
        <v>22</v>
      </c>
      <c r="C353" s="3" t="inlineStr">
        <is>
          <t>20</t>
        </is>
      </c>
      <c r="D353" s="4" t="inlineStr">
        <is>
          <t>KBY1-090 Ø9.0</t>
        </is>
      </c>
      <c r="E353" s="3" t="inlineStr">
        <is>
          <t>Cái</t>
        </is>
      </c>
      <c r="F353" s="5" t="n">
        <v>56000</v>
      </c>
      <c r="G353" s="5" t="n">
        <v>70000</v>
      </c>
      <c r="H353" s="6" t="n">
        <v>90000</v>
      </c>
      <c r="I353" s="4" t="inlineStr">
        <is>
          <t>Cái 5C/H 50C/HG</t>
        </is>
      </c>
    </row>
    <row r="354">
      <c r="A354" s="3" t="n">
        <v>353</v>
      </c>
      <c r="B354" s="3" t="n">
        <v>22</v>
      </c>
      <c r="C354" s="3" t="inlineStr">
        <is>
          <t>21</t>
        </is>
      </c>
      <c r="D354" s="4" t="inlineStr">
        <is>
          <t>KBY1-095 Ø9.5</t>
        </is>
      </c>
      <c r="E354" s="3" t="inlineStr">
        <is>
          <t>Cái</t>
        </is>
      </c>
      <c r="F354" s="5" t="n">
        <v>62000</v>
      </c>
      <c r="G354" s="5" t="n">
        <v>77000</v>
      </c>
      <c r="H354" s="6" t="n">
        <v>99000</v>
      </c>
      <c r="I354" s="4" t="inlineStr">
        <is>
          <t>Cái 5C/H 50C/HG</t>
        </is>
      </c>
    </row>
    <row r="355">
      <c r="A355" s="3" t="n">
        <v>354</v>
      </c>
      <c r="B355" s="3" t="n">
        <v>22</v>
      </c>
      <c r="C355" s="3" t="inlineStr">
        <is>
          <t>22</t>
        </is>
      </c>
      <c r="D355" s="4" t="inlineStr">
        <is>
          <t>KBY1-100 Ø10.0</t>
        </is>
      </c>
      <c r="E355" s="3" t="inlineStr">
        <is>
          <t>Cái</t>
        </is>
      </c>
      <c r="F355" s="5" t="n">
        <v>67000</v>
      </c>
      <c r="G355" s="5" t="n">
        <v>83000</v>
      </c>
      <c r="H355" s="6" t="n">
        <v>107000</v>
      </c>
      <c r="I355" s="4" t="inlineStr">
        <is>
          <t>Cái 5C/H 50C/HG</t>
        </is>
      </c>
    </row>
    <row r="356">
      <c r="A356" s="3" t="n">
        <v>355</v>
      </c>
      <c r="B356" s="3" t="n">
        <v>22</v>
      </c>
      <c r="C356" s="3" t="inlineStr">
        <is>
          <t>23</t>
        </is>
      </c>
      <c r="D356" s="4" t="inlineStr">
        <is>
          <t>KBY1-105 Ø10.5</t>
        </is>
      </c>
      <c r="E356" s="3" t="inlineStr">
        <is>
          <t>Cái</t>
        </is>
      </c>
      <c r="F356" s="5" t="n">
        <v>75000</v>
      </c>
      <c r="G356" s="5" t="n">
        <v>93000</v>
      </c>
      <c r="H356" s="6" t="n">
        <v>120000</v>
      </c>
      <c r="I356" s="4" t="inlineStr">
        <is>
          <t>Cái 5C/H 50C/HG</t>
        </is>
      </c>
    </row>
    <row r="357">
      <c r="A357" s="3" t="n">
        <v>356</v>
      </c>
      <c r="B357" s="3" t="n">
        <v>22</v>
      </c>
      <c r="C357" s="3" t="inlineStr">
        <is>
          <t>24</t>
        </is>
      </c>
      <c r="D357" s="4" t="inlineStr">
        <is>
          <t>KBY1-110 Ø11.0</t>
        </is>
      </c>
      <c r="E357" s="3" t="inlineStr">
        <is>
          <t>Cái</t>
        </is>
      </c>
      <c r="F357" s="5" t="n">
        <v>85000</v>
      </c>
      <c r="G357" s="5" t="n">
        <v>105000</v>
      </c>
      <c r="H357" s="6" t="n">
        <v>136000</v>
      </c>
      <c r="I357" s="4" t="inlineStr">
        <is>
          <t>Cái 5C/H 50C/HG</t>
        </is>
      </c>
    </row>
    <row r="358">
      <c r="A358" s="3" t="n">
        <v>357</v>
      </c>
      <c r="B358" s="3" t="n">
        <v>22</v>
      </c>
      <c r="C358" s="3" t="inlineStr">
        <is>
          <t>25</t>
        </is>
      </c>
      <c r="D358" s="4" t="inlineStr">
        <is>
          <t>KBY1-115 Ø11.5</t>
        </is>
      </c>
      <c r="E358" s="3" t="inlineStr">
        <is>
          <t>Cái</t>
        </is>
      </c>
      <c r="F358" s="5" t="n">
        <v>94000</v>
      </c>
      <c r="G358" s="5" t="n">
        <v>116000</v>
      </c>
      <c r="H358" s="6" t="n">
        <v>150000</v>
      </c>
      <c r="I358" s="4" t="inlineStr">
        <is>
          <t>Cái 5C/H 50C/HG</t>
        </is>
      </c>
    </row>
    <row r="359">
      <c r="A359" s="3" t="n">
        <v>358</v>
      </c>
      <c r="B359" s="3" t="n">
        <v>22</v>
      </c>
      <c r="C359" s="3" t="inlineStr">
        <is>
          <t>26</t>
        </is>
      </c>
      <c r="D359" s="4" t="inlineStr">
        <is>
          <t>KBY1-120 Ø12.0</t>
        </is>
      </c>
      <c r="E359" s="3" t="inlineStr">
        <is>
          <t>Cái</t>
        </is>
      </c>
      <c r="F359" s="5" t="n">
        <v>103000</v>
      </c>
      <c r="G359" s="5" t="n">
        <v>128000</v>
      </c>
      <c r="H359" s="6" t="n">
        <v>165000</v>
      </c>
      <c r="I359" s="4" t="inlineStr">
        <is>
          <t>Cái 5C/H 50C/HG</t>
        </is>
      </c>
    </row>
    <row r="360">
      <c r="A360" s="3" t="n">
        <v>359</v>
      </c>
      <c r="B360" s="3" t="n">
        <v>22</v>
      </c>
      <c r="C360" s="3" t="inlineStr">
        <is>
          <t>27</t>
        </is>
      </c>
      <c r="D360" s="4" t="inlineStr">
        <is>
          <t>KBY1-125 Ø12.5</t>
        </is>
      </c>
      <c r="E360" s="3" t="inlineStr">
        <is>
          <t>Cái</t>
        </is>
      </c>
      <c r="F360" s="5" t="n">
        <v>110000</v>
      </c>
      <c r="G360" s="5" t="n">
        <v>136000</v>
      </c>
      <c r="H360" s="6" t="n">
        <v>176000</v>
      </c>
      <c r="I360" s="4" t="inlineStr">
        <is>
          <t>Cái 5C/H 50C/HG</t>
        </is>
      </c>
    </row>
    <row r="361">
      <c r="A361" s="3" t="n">
        <v>360</v>
      </c>
      <c r="B361" s="3" t="n">
        <v>22</v>
      </c>
      <c r="C361" s="3" t="inlineStr">
        <is>
          <t>28</t>
        </is>
      </c>
      <c r="D361" s="4" t="inlineStr">
        <is>
          <t>KBY1-130 Ø13.0</t>
        </is>
      </c>
      <c r="E361" s="3" t="inlineStr">
        <is>
          <t>Cái</t>
        </is>
      </c>
      <c r="F361" s="5" t="n">
        <v>120000</v>
      </c>
      <c r="G361" s="5" t="n">
        <v>149000</v>
      </c>
      <c r="H361" s="6" t="n">
        <v>192000</v>
      </c>
      <c r="I361" s="4" t="inlineStr">
        <is>
          <t>Cái 5C/H 50C/HG</t>
        </is>
      </c>
    </row>
    <row r="362">
      <c r="A362" s="3" t="n">
        <v>361</v>
      </c>
      <c r="B362" s="3" t="n">
        <v>22</v>
      </c>
      <c r="C362" s="3" t="inlineStr">
        <is>
          <t>29</t>
        </is>
      </c>
      <c r="D362" s="4" t="inlineStr">
        <is>
          <t>KBY1-140 Ø14.0</t>
        </is>
      </c>
      <c r="E362" s="3" t="inlineStr">
        <is>
          <t>Cái</t>
        </is>
      </c>
      <c r="F362" s="5" t="n">
        <v>180000</v>
      </c>
      <c r="G362" s="5" t="n">
        <v>223000</v>
      </c>
      <c r="H362" s="6" t="n">
        <v>288000</v>
      </c>
      <c r="I362" s="4" t="inlineStr">
        <is>
          <t>Cái 1C/H 10C/HG</t>
        </is>
      </c>
    </row>
    <row r="363">
      <c r="A363" s="3" t="n">
        <v>362</v>
      </c>
      <c r="B363" s="3" t="n">
        <v>22</v>
      </c>
      <c r="C363" s="3" t="inlineStr">
        <is>
          <t>30</t>
        </is>
      </c>
      <c r="D363" s="4" t="inlineStr">
        <is>
          <t>KBY1-160 Ø16.0</t>
        </is>
      </c>
      <c r="E363" s="3" t="inlineStr">
        <is>
          <t>Cái</t>
        </is>
      </c>
      <c r="F363" s="5" t="n">
        <v>260000</v>
      </c>
      <c r="G363" s="5" t="n">
        <v>322000</v>
      </c>
      <c r="H363" s="6" t="n">
        <v>416000</v>
      </c>
      <c r="I363" s="4" t="inlineStr">
        <is>
          <t>Cái 1C/H 10C/HG</t>
        </is>
      </c>
    </row>
    <row r="364">
      <c r="A364" s="3" t="n">
        <v>363</v>
      </c>
      <c r="B364" s="3" t="n">
        <v>22</v>
      </c>
      <c r="C364" s="3" t="inlineStr">
        <is>
          <t>31</t>
        </is>
      </c>
      <c r="D364" s="4" t="inlineStr">
        <is>
          <t>KBY1-B10 Ø1.0-Ø10.0</t>
        </is>
      </c>
      <c r="E364" s="3" t="inlineStr">
        <is>
          <t>Bộ</t>
        </is>
      </c>
      <c r="F364" s="5" t="n">
        <v>244000</v>
      </c>
      <c r="G364" s="5" t="n">
        <v>302000</v>
      </c>
      <c r="H364" s="6" t="n">
        <v>390000</v>
      </c>
      <c r="I364" s="4" t="inlineStr">
        <is>
          <t>Bộ 10B/H 60B/T</t>
        </is>
      </c>
    </row>
    <row r="365">
      <c r="A365" s="3" t="n">
        <v>364</v>
      </c>
      <c r="B365" s="3" t="n">
        <v>22</v>
      </c>
      <c r="C365" s="3" t="inlineStr">
        <is>
          <t>32</t>
        </is>
      </c>
      <c r="D365" s="4" t="inlineStr">
        <is>
          <t>KBY1-B13 Ø1.5-Ø6.5</t>
        </is>
      </c>
      <c r="E365" s="3" t="inlineStr">
        <is>
          <t>Bộ</t>
        </is>
      </c>
      <c r="F365" s="5" t="n">
        <v>199000</v>
      </c>
      <c r="G365" s="5" t="n">
        <v>247000</v>
      </c>
      <c r="H365" s="6" t="n">
        <v>318000</v>
      </c>
      <c r="I365" s="4" t="inlineStr">
        <is>
          <t>Bộ 10B/H 100B/T</t>
        </is>
      </c>
    </row>
    <row r="366">
      <c r="A366" s="3" t="n">
        <v>365</v>
      </c>
      <c r="B366" s="3" t="n">
        <v>22</v>
      </c>
      <c r="C366" s="3" t="inlineStr">
        <is>
          <t>1</t>
        </is>
      </c>
      <c r="D366" s="4" t="inlineStr">
        <is>
          <t>HC-010 Ø1.0</t>
        </is>
      </c>
      <c r="E366" s="3" t="inlineStr">
        <is>
          <t>Cái</t>
        </is>
      </c>
      <c r="F366" s="5" t="n">
        <v>4000</v>
      </c>
      <c r="G366" s="5" t="n">
        <v>5000</v>
      </c>
      <c r="H366" s="6" t="n">
        <v>7000</v>
      </c>
      <c r="I366" s="4" t="inlineStr">
        <is>
          <t>Cái 20C/H 200C/HG</t>
        </is>
      </c>
    </row>
    <row r="367">
      <c r="A367" s="3" t="n">
        <v>366</v>
      </c>
      <c r="B367" s="3" t="n">
        <v>22</v>
      </c>
      <c r="C367" s="3" t="inlineStr">
        <is>
          <t>2</t>
        </is>
      </c>
      <c r="D367" s="4" t="inlineStr">
        <is>
          <t>HC-015 Ø1.5</t>
        </is>
      </c>
      <c r="E367" s="3" t="inlineStr">
        <is>
          <t>Cái</t>
        </is>
      </c>
      <c r="F367" s="5" t="n">
        <v>5000</v>
      </c>
      <c r="G367" s="5" t="n">
        <v>6000</v>
      </c>
      <c r="H367" s="6" t="n">
        <v>9000</v>
      </c>
      <c r="I367" s="4" t="inlineStr">
        <is>
          <t>Cái 20C/H 200C/HG</t>
        </is>
      </c>
    </row>
    <row r="368">
      <c r="A368" s="3" t="n">
        <v>367</v>
      </c>
      <c r="B368" s="3" t="n">
        <v>22</v>
      </c>
      <c r="C368" s="3" t="inlineStr">
        <is>
          <t>3</t>
        </is>
      </c>
      <c r="D368" s="4" t="inlineStr">
        <is>
          <t>HC-020 Ø2.0</t>
        </is>
      </c>
      <c r="E368" s="3" t="inlineStr">
        <is>
          <t>Cái</t>
        </is>
      </c>
      <c r="F368" s="5" t="n">
        <v>6000</v>
      </c>
      <c r="G368" s="5" t="n">
        <v>8000</v>
      </c>
      <c r="H368" s="6" t="n">
        <v>9000</v>
      </c>
      <c r="I368" s="4" t="inlineStr">
        <is>
          <t>Cái 20C/H 200C/HG</t>
        </is>
      </c>
    </row>
    <row r="369">
      <c r="A369" s="3" t="n">
        <v>368</v>
      </c>
      <c r="B369" s="3" t="n">
        <v>22</v>
      </c>
      <c r="C369" s="3" t="inlineStr">
        <is>
          <t>4</t>
        </is>
      </c>
      <c r="D369" s="4" t="inlineStr">
        <is>
          <t>HC-025 Ø2.5</t>
        </is>
      </c>
      <c r="E369" s="3" t="inlineStr">
        <is>
          <t>Cái</t>
        </is>
      </c>
      <c r="F369" s="5" t="n">
        <v>6000</v>
      </c>
      <c r="G369" s="5" t="n">
        <v>8000</v>
      </c>
      <c r="H369" s="6" t="n">
        <v>10000</v>
      </c>
      <c r="I369" s="4" t="inlineStr">
        <is>
          <t>Cái 20C/H 200C/HG</t>
        </is>
      </c>
    </row>
    <row r="370">
      <c r="A370" s="3" t="n">
        <v>369</v>
      </c>
      <c r="B370" s="3" t="n">
        <v>22</v>
      </c>
      <c r="C370" s="3" t="inlineStr">
        <is>
          <t>5</t>
        </is>
      </c>
      <c r="D370" s="4" t="inlineStr">
        <is>
          <t>HC-030 Ø3.0</t>
        </is>
      </c>
      <c r="E370" s="3" t="inlineStr">
        <is>
          <t>Cái</t>
        </is>
      </c>
      <c r="F370" s="5" t="n">
        <v>8000</v>
      </c>
      <c r="G370" s="5" t="n">
        <v>10000</v>
      </c>
      <c r="H370" s="6" t="n">
        <v>13000</v>
      </c>
      <c r="I370" s="4" t="inlineStr">
        <is>
          <t>Cái 20C/H 200C/HG</t>
        </is>
      </c>
    </row>
    <row r="371">
      <c r="A371" s="3" t="n">
        <v>370</v>
      </c>
      <c r="B371" s="3" t="n">
        <v>22</v>
      </c>
      <c r="C371" s="3" t="inlineStr">
        <is>
          <t>6</t>
        </is>
      </c>
      <c r="D371" s="4" t="inlineStr">
        <is>
          <t>HC-032 Ø3.2</t>
        </is>
      </c>
      <c r="E371" s="3" t="inlineStr">
        <is>
          <t>Cái</t>
        </is>
      </c>
      <c r="F371" s="5" t="n">
        <v>9000</v>
      </c>
      <c r="G371" s="5" t="n">
        <v>11000</v>
      </c>
      <c r="H371" s="6" t="n">
        <v>14000</v>
      </c>
      <c r="I371" s="4" t="inlineStr">
        <is>
          <t>Cái 20C/H 200C/HG</t>
        </is>
      </c>
    </row>
    <row r="372">
      <c r="A372" s="3" t="n">
        <v>371</v>
      </c>
      <c r="B372" s="3" t="n">
        <v>22</v>
      </c>
      <c r="C372" s="3" t="inlineStr">
        <is>
          <t>7</t>
        </is>
      </c>
      <c r="D372" s="4" t="inlineStr">
        <is>
          <t>HC-035 Ø3.5</t>
        </is>
      </c>
      <c r="E372" s="3" t="inlineStr">
        <is>
          <t>Cái</t>
        </is>
      </c>
      <c r="F372" s="5" t="n">
        <v>10000</v>
      </c>
      <c r="G372" s="5" t="n">
        <v>12000</v>
      </c>
      <c r="H372" s="6" t="n">
        <v>16000</v>
      </c>
      <c r="I372" s="4" t="inlineStr">
        <is>
          <t>Cái 20C/H 200C/HG</t>
        </is>
      </c>
    </row>
    <row r="373">
      <c r="A373" s="3" t="n">
        <v>372</v>
      </c>
      <c r="B373" s="3" t="n">
        <v>22</v>
      </c>
      <c r="C373" s="3" t="inlineStr">
        <is>
          <t>8</t>
        </is>
      </c>
      <c r="D373" s="4" t="inlineStr">
        <is>
          <t>HC-040 Ø4.0</t>
        </is>
      </c>
      <c r="E373" s="3" t="inlineStr">
        <is>
          <t>Cái</t>
        </is>
      </c>
      <c r="F373" s="5" t="n">
        <v>12000</v>
      </c>
      <c r="G373" s="5" t="n">
        <v>15000</v>
      </c>
      <c r="H373" s="6" t="n">
        <v>19000</v>
      </c>
      <c r="I373" s="4" t="inlineStr">
        <is>
          <t>Cái 20C/H 200C/HG</t>
        </is>
      </c>
    </row>
    <row r="374">
      <c r="A374" s="3" t="n">
        <v>373</v>
      </c>
      <c r="B374" s="3" t="n">
        <v>22</v>
      </c>
      <c r="C374" s="3" t="inlineStr">
        <is>
          <t>9</t>
        </is>
      </c>
      <c r="D374" s="4" t="inlineStr">
        <is>
          <t>HC-042 Ø4.2</t>
        </is>
      </c>
      <c r="E374" s="3" t="inlineStr">
        <is>
          <t>Cái</t>
        </is>
      </c>
      <c r="F374" s="5" t="n">
        <v>13000</v>
      </c>
      <c r="G374" s="5" t="n">
        <v>16000</v>
      </c>
      <c r="H374" s="6" t="n">
        <v>21000</v>
      </c>
      <c r="I374" s="4" t="inlineStr">
        <is>
          <t>Cái 20C/H 200C/HG</t>
        </is>
      </c>
    </row>
    <row r="375">
      <c r="A375" s="3" t="n">
        <v>374</v>
      </c>
      <c r="B375" s="3" t="n">
        <v>22</v>
      </c>
      <c r="C375" s="3" t="inlineStr">
        <is>
          <t>10</t>
        </is>
      </c>
      <c r="D375" s="4" t="inlineStr">
        <is>
          <t>HC-045 Ø4.5</t>
        </is>
      </c>
      <c r="E375" s="3" t="inlineStr">
        <is>
          <t>Cái</t>
        </is>
      </c>
      <c r="F375" s="5" t="n">
        <v>14000</v>
      </c>
      <c r="G375" s="5" t="n">
        <v>17000</v>
      </c>
      <c r="H375" s="6" t="n">
        <v>22000</v>
      </c>
      <c r="I375" s="4" t="inlineStr">
        <is>
          <t>Cái 20C/H 200C/HG</t>
        </is>
      </c>
    </row>
    <row r="376">
      <c r="A376" s="3" t="n">
        <v>375</v>
      </c>
      <c r="B376" s="3" t="n">
        <v>22</v>
      </c>
      <c r="C376" s="3" t="inlineStr">
        <is>
          <t>11</t>
        </is>
      </c>
      <c r="D376" s="4" t="inlineStr">
        <is>
          <t>HC-050 Ø5.0</t>
        </is>
      </c>
      <c r="E376" s="3" t="inlineStr">
        <is>
          <t>Cái</t>
        </is>
      </c>
      <c r="F376" s="5" t="n">
        <v>17000</v>
      </c>
      <c r="G376" s="5" t="n">
        <v>21000</v>
      </c>
      <c r="H376" s="6" t="n">
        <v>27000</v>
      </c>
      <c r="I376" s="4" t="inlineStr">
        <is>
          <t>Cái 20C/H 200C/HG</t>
        </is>
      </c>
    </row>
    <row r="377">
      <c r="A377" s="3" t="n">
        <v>376</v>
      </c>
      <c r="B377" s="3" t="n">
        <v>22</v>
      </c>
      <c r="C377" s="3" t="inlineStr">
        <is>
          <t>12</t>
        </is>
      </c>
      <c r="D377" s="4" t="inlineStr">
        <is>
          <t>HC-055 Ø5.5</t>
        </is>
      </c>
      <c r="E377" s="3" t="inlineStr">
        <is>
          <t>Cái</t>
        </is>
      </c>
      <c r="F377" s="5" t="n">
        <v>20000</v>
      </c>
      <c r="G377" s="5" t="n">
        <v>25000</v>
      </c>
      <c r="H377" s="6" t="n">
        <v>32000</v>
      </c>
      <c r="I377" s="4" t="inlineStr">
        <is>
          <t>Cái 10C/H 100C/HG</t>
        </is>
      </c>
    </row>
    <row r="378">
      <c r="A378" s="3" t="n">
        <v>377</v>
      </c>
      <c r="B378" s="3" t="n">
        <v>22</v>
      </c>
      <c r="C378" s="3" t="inlineStr">
        <is>
          <t>13</t>
        </is>
      </c>
      <c r="D378" s="4" t="inlineStr">
        <is>
          <t>HC-060 Ø6.0</t>
        </is>
      </c>
      <c r="E378" s="3" t="inlineStr">
        <is>
          <t>Cái</t>
        </is>
      </c>
      <c r="F378" s="5" t="n">
        <v>25000</v>
      </c>
      <c r="G378" s="5" t="n">
        <v>31000</v>
      </c>
      <c r="H378" s="6" t="n">
        <v>40000</v>
      </c>
      <c r="I378" s="4" t="inlineStr">
        <is>
          <t>Cái 10C/H 100C/HG</t>
        </is>
      </c>
    </row>
    <row r="379">
      <c r="A379" s="3" t="n">
        <v>378</v>
      </c>
      <c r="B379" s="3" t="n">
        <v>22</v>
      </c>
      <c r="C379" s="3" t="inlineStr">
        <is>
          <t>14</t>
        </is>
      </c>
      <c r="D379" s="4" t="inlineStr">
        <is>
          <t>HC-065 Ø6.5</t>
        </is>
      </c>
      <c r="E379" s="3" t="inlineStr">
        <is>
          <t>Cái</t>
        </is>
      </c>
      <c r="F379" s="5" t="n">
        <v>26000</v>
      </c>
      <c r="G379" s="5" t="n">
        <v>32000</v>
      </c>
      <c r="H379" s="6" t="n">
        <v>42000</v>
      </c>
      <c r="I379" s="4" t="inlineStr">
        <is>
          <t>Cái 10C/H 100C/HG</t>
        </is>
      </c>
    </row>
    <row r="380">
      <c r="A380" s="3" t="n">
        <v>379</v>
      </c>
      <c r="B380" s="3" t="n">
        <v>22</v>
      </c>
      <c r="C380" s="3" t="inlineStr">
        <is>
          <t>15</t>
        </is>
      </c>
      <c r="D380" s="4" t="inlineStr">
        <is>
          <t>HC-070 Ø7.0</t>
        </is>
      </c>
      <c r="E380" s="3" t="inlineStr">
        <is>
          <t>Cái</t>
        </is>
      </c>
      <c r="F380" s="5" t="n">
        <v>31000</v>
      </c>
      <c r="G380" s="5" t="n">
        <v>39000</v>
      </c>
      <c r="H380" s="6" t="n">
        <v>50000</v>
      </c>
      <c r="I380" s="4" t="inlineStr">
        <is>
          <t>Cái 10C/H 100C/HG</t>
        </is>
      </c>
    </row>
    <row r="381">
      <c r="A381" s="3" t="n">
        <v>380</v>
      </c>
      <c r="B381" s="3" t="n">
        <v>22</v>
      </c>
      <c r="C381" s="3" t="inlineStr">
        <is>
          <t>16</t>
        </is>
      </c>
      <c r="D381" s="4" t="inlineStr">
        <is>
          <t>HC-075 Ø7.5</t>
        </is>
      </c>
      <c r="E381" s="3" t="inlineStr">
        <is>
          <t>Cái</t>
        </is>
      </c>
      <c r="F381" s="5" t="n">
        <v>35000</v>
      </c>
      <c r="G381" s="5" t="n">
        <v>43000</v>
      </c>
      <c r="H381" s="6" t="n">
        <v>56000</v>
      </c>
      <c r="I381" s="4" t="inlineStr">
        <is>
          <t>Cái 10C/H 100C/HG</t>
        </is>
      </c>
    </row>
    <row r="382">
      <c r="A382" s="3" t="n">
        <v>381</v>
      </c>
      <c r="B382" s="3" t="n">
        <v>22</v>
      </c>
      <c r="C382" s="3" t="inlineStr">
        <is>
          <t>17</t>
        </is>
      </c>
      <c r="D382" s="4" t="inlineStr">
        <is>
          <t>HC-080 Ø8.0</t>
        </is>
      </c>
      <c r="E382" s="3" t="inlineStr">
        <is>
          <t>Cái</t>
        </is>
      </c>
      <c r="F382" s="5" t="n">
        <v>46000</v>
      </c>
      <c r="G382" s="5" t="n">
        <v>57000</v>
      </c>
      <c r="H382" s="6" t="n">
        <v>74000</v>
      </c>
      <c r="I382" s="4" t="inlineStr">
        <is>
          <t>Cái 10C/H 100C/HG</t>
        </is>
      </c>
    </row>
    <row r="383">
      <c r="A383" s="3" t="n">
        <v>382</v>
      </c>
      <c r="B383" s="3" t="n">
        <v>22</v>
      </c>
      <c r="C383" s="3" t="inlineStr">
        <is>
          <t>18</t>
        </is>
      </c>
      <c r="D383" s="4" t="inlineStr">
        <is>
          <t>HC-085 Ø8.5</t>
        </is>
      </c>
      <c r="E383" s="3" t="inlineStr">
        <is>
          <t>Cái</t>
        </is>
      </c>
      <c r="F383" s="5" t="n">
        <v>48000</v>
      </c>
      <c r="G383" s="5" t="n">
        <v>60000</v>
      </c>
      <c r="H383" s="6" t="n">
        <v>77000</v>
      </c>
      <c r="I383" s="4" t="inlineStr">
        <is>
          <t>Cái 10C/H 100C/HG</t>
        </is>
      </c>
    </row>
    <row r="384">
      <c r="A384" s="3" t="n">
        <v>383</v>
      </c>
      <c r="B384" s="3" t="n">
        <v>22</v>
      </c>
      <c r="C384" s="3" t="inlineStr">
        <is>
          <t>19</t>
        </is>
      </c>
      <c r="D384" s="4" t="inlineStr">
        <is>
          <t>HC-090 Ø9.0</t>
        </is>
      </c>
      <c r="E384" s="3" t="inlineStr">
        <is>
          <t>Cái</t>
        </is>
      </c>
      <c r="F384" s="5" t="n">
        <v>56000</v>
      </c>
      <c r="G384" s="5" t="n">
        <v>70000</v>
      </c>
      <c r="H384" s="6" t="n">
        <v>90000</v>
      </c>
      <c r="I384" s="4" t="inlineStr">
        <is>
          <t>Cái 5C/H 50C/HG</t>
        </is>
      </c>
    </row>
    <row r="385">
      <c r="A385" s="3" t="n">
        <v>384</v>
      </c>
      <c r="B385" s="3" t="n">
        <v>23</v>
      </c>
      <c r="C385" s="3" t="inlineStr">
        <is>
          <t>20</t>
        </is>
      </c>
      <c r="D385" s="4" t="inlineStr">
        <is>
          <t>HC-100 Ø10.0</t>
        </is>
      </c>
      <c r="E385" s="3" t="inlineStr">
        <is>
          <t>Cái</t>
        </is>
      </c>
      <c r="F385" s="5" t="n">
        <v>67000</v>
      </c>
      <c r="G385" s="5" t="n">
        <v>83000</v>
      </c>
      <c r="H385" s="6" t="n">
        <v>107000</v>
      </c>
      <c r="I385" s="4" t="inlineStr">
        <is>
          <t>Cái 5C/H 50C/HG</t>
        </is>
      </c>
    </row>
    <row r="386">
      <c r="A386" s="3" t="n">
        <v>385</v>
      </c>
      <c r="B386" s="3" t="n">
        <v>23</v>
      </c>
      <c r="C386" s="3" t="inlineStr">
        <is>
          <t>21</t>
        </is>
      </c>
      <c r="D386" s="4" t="inlineStr">
        <is>
          <t>HC-110 Ø11.0</t>
        </is>
      </c>
      <c r="E386" s="3" t="inlineStr">
        <is>
          <t>Cái</t>
        </is>
      </c>
      <c r="F386" s="5" t="n">
        <v>85000</v>
      </c>
      <c r="G386" s="5" t="n">
        <v>105000</v>
      </c>
      <c r="H386" s="6" t="n">
        <v>136000</v>
      </c>
      <c r="I386" s="4" t="inlineStr">
        <is>
          <t>Cái 5C/H 50C/HG</t>
        </is>
      </c>
    </row>
    <row r="387">
      <c r="A387" s="3" t="n">
        <v>386</v>
      </c>
      <c r="B387" s="3" t="n">
        <v>23</v>
      </c>
      <c r="C387" s="3" t="inlineStr">
        <is>
          <t>22</t>
        </is>
      </c>
      <c r="D387" s="4" t="inlineStr">
        <is>
          <t>HC-120 Ø12.0</t>
        </is>
      </c>
      <c r="E387" s="3" t="inlineStr">
        <is>
          <t>Cái</t>
        </is>
      </c>
      <c r="F387" s="5" t="n">
        <v>103000</v>
      </c>
      <c r="G387" s="5" t="n">
        <v>128000</v>
      </c>
      <c r="H387" s="6" t="n">
        <v>165000</v>
      </c>
      <c r="I387" s="4" t="inlineStr">
        <is>
          <t>Cái 5C/H 50C/HG</t>
        </is>
      </c>
    </row>
    <row r="388">
      <c r="A388" s="3" t="n">
        <v>387</v>
      </c>
      <c r="B388" s="3" t="n">
        <v>23</v>
      </c>
      <c r="C388" s="3" t="inlineStr">
        <is>
          <t>23</t>
        </is>
      </c>
      <c r="D388" s="4" t="inlineStr">
        <is>
          <t>HC-140 Ø14.0</t>
        </is>
      </c>
      <c r="E388" s="3" t="inlineStr">
        <is>
          <t>Cái</t>
        </is>
      </c>
      <c r="F388" s="5" t="n">
        <v>180000</v>
      </c>
      <c r="G388" s="5" t="n">
        <v>223000</v>
      </c>
      <c r="H388" s="6" t="n">
        <v>288000</v>
      </c>
      <c r="I388" s="4" t="inlineStr">
        <is>
          <t>Cái 1C/H 10C/HG</t>
        </is>
      </c>
    </row>
    <row r="389">
      <c r="A389" s="3" t="n">
        <v>388</v>
      </c>
      <c r="B389" s="3" t="n">
        <v>23</v>
      </c>
      <c r="C389" s="3" t="inlineStr">
        <is>
          <t>24</t>
        </is>
      </c>
      <c r="D389" s="4" t="inlineStr">
        <is>
          <t>HC-160 Ø16.0</t>
        </is>
      </c>
      <c r="E389" s="3" t="inlineStr">
        <is>
          <t>Cái</t>
        </is>
      </c>
      <c r="F389" s="5" t="n">
        <v>260000</v>
      </c>
      <c r="G389" s="5" t="n">
        <v>322000</v>
      </c>
      <c r="H389" s="6" t="n">
        <v>416000</v>
      </c>
      <c r="I389" s="4" t="inlineStr">
        <is>
          <t>Cái 1C/H 10C/HG</t>
        </is>
      </c>
    </row>
    <row r="390">
      <c r="A390" s="3" t="n">
        <v>389</v>
      </c>
      <c r="B390" s="3" t="n">
        <v>23</v>
      </c>
      <c r="C390" s="3" t="inlineStr">
        <is>
          <t>1</t>
        </is>
      </c>
      <c r="D390" s="4" t="inlineStr">
        <is>
          <t>KBY2-010CO Ø1.0</t>
        </is>
      </c>
      <c r="E390" s="3" t="inlineStr">
        <is>
          <t>Cái</t>
        </is>
      </c>
      <c r="F390" s="5" t="n">
        <v>6000</v>
      </c>
      <c r="G390" s="5" t="n">
        <v>8000</v>
      </c>
      <c r="H390" s="6" t="n">
        <v>10000</v>
      </c>
      <c r="I390" s="4" t="inlineStr">
        <is>
          <t>Cái 20C/H 200C/HG</t>
        </is>
      </c>
    </row>
    <row r="391">
      <c r="A391" s="3" t="n">
        <v>390</v>
      </c>
      <c r="B391" s="3" t="n">
        <v>23</v>
      </c>
      <c r="C391" s="3" t="inlineStr">
        <is>
          <t>2</t>
        </is>
      </c>
      <c r="D391" s="4" t="inlineStr">
        <is>
          <t>KBY2-015CO Ø1.5</t>
        </is>
      </c>
      <c r="E391" s="3" t="inlineStr">
        <is>
          <t>Cái</t>
        </is>
      </c>
      <c r="F391" s="5" t="n">
        <v>7000</v>
      </c>
      <c r="G391" s="5" t="n">
        <v>9000</v>
      </c>
      <c r="H391" s="6" t="n">
        <v>11000</v>
      </c>
      <c r="I391" s="4" t="inlineStr">
        <is>
          <t>Cái 20C/H 200C/HG</t>
        </is>
      </c>
    </row>
    <row r="392">
      <c r="A392" s="3" t="n">
        <v>391</v>
      </c>
      <c r="B392" s="3" t="n">
        <v>23</v>
      </c>
      <c r="C392" s="3" t="inlineStr">
        <is>
          <t>3</t>
        </is>
      </c>
      <c r="D392" s="4" t="inlineStr">
        <is>
          <t>KBY2-020CO Ø2.0</t>
        </is>
      </c>
      <c r="E392" s="3" t="inlineStr">
        <is>
          <t>Cái</t>
        </is>
      </c>
      <c r="F392" s="5" t="n">
        <v>8000</v>
      </c>
      <c r="G392" s="5" t="n">
        <v>10000</v>
      </c>
      <c r="H392" s="6" t="n">
        <v>13000</v>
      </c>
      <c r="I392" s="4" t="inlineStr">
        <is>
          <t>Cái 20C/H 200C/HG</t>
        </is>
      </c>
    </row>
    <row r="393">
      <c r="A393" s="3" t="n">
        <v>392</v>
      </c>
      <c r="B393" s="3" t="n">
        <v>23</v>
      </c>
      <c r="C393" s="3" t="inlineStr">
        <is>
          <t>4</t>
        </is>
      </c>
      <c r="D393" s="4" t="inlineStr">
        <is>
          <t>KBY2-025CO Ø2.5</t>
        </is>
      </c>
      <c r="E393" s="3" t="inlineStr">
        <is>
          <t>Cái</t>
        </is>
      </c>
      <c r="F393" s="5" t="n">
        <v>9000</v>
      </c>
      <c r="G393" s="5" t="n">
        <v>11000</v>
      </c>
      <c r="H393" s="6" t="n">
        <v>14000</v>
      </c>
      <c r="I393" s="4" t="inlineStr">
        <is>
          <t>Cái 20C/H 200C/HG</t>
        </is>
      </c>
    </row>
    <row r="394">
      <c r="A394" s="3" t="n">
        <v>393</v>
      </c>
      <c r="B394" s="3" t="n">
        <v>23</v>
      </c>
      <c r="C394" s="3" t="inlineStr">
        <is>
          <t>5</t>
        </is>
      </c>
      <c r="D394" s="4" t="inlineStr">
        <is>
          <t>KBY2-030CO Ø3.0</t>
        </is>
      </c>
      <c r="E394" s="3" t="inlineStr">
        <is>
          <t>Cái</t>
        </is>
      </c>
      <c r="F394" s="5" t="n">
        <v>10000</v>
      </c>
      <c r="G394" s="5" t="n">
        <v>12000</v>
      </c>
      <c r="H394" s="6" t="n">
        <v>16000</v>
      </c>
      <c r="I394" s="4" t="inlineStr">
        <is>
          <t>Cái 20C/H 200C/HG</t>
        </is>
      </c>
    </row>
    <row r="395">
      <c r="A395" s="3" t="n">
        <v>394</v>
      </c>
      <c r="B395" s="3" t="n">
        <v>23</v>
      </c>
      <c r="C395" s="3" t="inlineStr">
        <is>
          <t>6</t>
        </is>
      </c>
      <c r="D395" s="4" t="inlineStr">
        <is>
          <t>KBY2-032CO Ø3.2</t>
        </is>
      </c>
      <c r="E395" s="3" t="inlineStr">
        <is>
          <t>Cái</t>
        </is>
      </c>
      <c r="F395" s="5" t="n">
        <v>11000</v>
      </c>
      <c r="G395" s="5" t="n">
        <v>14000</v>
      </c>
      <c r="H395" s="6" t="n">
        <v>18000</v>
      </c>
      <c r="I395" s="4" t="inlineStr">
        <is>
          <t>Cái 20C/H 200C/HG</t>
        </is>
      </c>
    </row>
    <row r="396">
      <c r="A396" s="3" t="n">
        <v>395</v>
      </c>
      <c r="B396" s="3" t="n">
        <v>23</v>
      </c>
      <c r="C396" s="3" t="inlineStr">
        <is>
          <t>7</t>
        </is>
      </c>
      <c r="D396" s="4" t="inlineStr">
        <is>
          <t>KBY2-035CO Ø3.5</t>
        </is>
      </c>
      <c r="E396" s="3" t="inlineStr">
        <is>
          <t>Cái</t>
        </is>
      </c>
      <c r="F396" s="5" t="n">
        <v>13000</v>
      </c>
      <c r="G396" s="5" t="n">
        <v>16000</v>
      </c>
      <c r="H396" s="6" t="n">
        <v>21000</v>
      </c>
      <c r="I396" s="4" t="inlineStr">
        <is>
          <t>Cái 20C/H 200C/HG</t>
        </is>
      </c>
    </row>
    <row r="397">
      <c r="A397" s="3" t="n">
        <v>396</v>
      </c>
      <c r="B397" s="3" t="n">
        <v>23</v>
      </c>
      <c r="C397" s="3" t="inlineStr">
        <is>
          <t>8</t>
        </is>
      </c>
      <c r="D397" s="4" t="inlineStr">
        <is>
          <t>KBY2-040CO Ø4.0</t>
        </is>
      </c>
      <c r="E397" s="3" t="inlineStr">
        <is>
          <t>Cái</t>
        </is>
      </c>
      <c r="F397" s="5" t="n">
        <v>17000</v>
      </c>
      <c r="G397" s="5" t="n">
        <v>21000</v>
      </c>
      <c r="H397" s="6" t="n">
        <v>27000</v>
      </c>
      <c r="I397" s="4" t="inlineStr">
        <is>
          <t>Cái 20C/H 200C/HG</t>
        </is>
      </c>
    </row>
    <row r="398">
      <c r="A398" s="3" t="n">
        <v>397</v>
      </c>
      <c r="B398" s="3" t="n">
        <v>23</v>
      </c>
      <c r="C398" s="3" t="inlineStr">
        <is>
          <t>9</t>
        </is>
      </c>
      <c r="D398" s="4" t="inlineStr">
        <is>
          <t>KBY2-042CO Ø4.2</t>
        </is>
      </c>
      <c r="E398" s="3" t="inlineStr">
        <is>
          <t>Cái</t>
        </is>
      </c>
      <c r="F398" s="5" t="n">
        <v>19000</v>
      </c>
      <c r="G398" s="5" t="n">
        <v>23000</v>
      </c>
      <c r="H398" s="6" t="n">
        <v>30000</v>
      </c>
      <c r="I398" s="4" t="inlineStr">
        <is>
          <t>Cái 20C/H 200C/HG</t>
        </is>
      </c>
    </row>
    <row r="399">
      <c r="A399" s="3" t="n">
        <v>398</v>
      </c>
      <c r="B399" s="3" t="n">
        <v>23</v>
      </c>
      <c r="C399" s="3" t="inlineStr">
        <is>
          <t>10</t>
        </is>
      </c>
      <c r="D399" s="4" t="inlineStr">
        <is>
          <t>KBY2-045CO Ø4.5</t>
        </is>
      </c>
      <c r="E399" s="3" t="inlineStr">
        <is>
          <t>Cái</t>
        </is>
      </c>
      <c r="F399" s="5" t="n">
        <v>21000</v>
      </c>
      <c r="G399" s="5" t="n">
        <v>26000</v>
      </c>
      <c r="H399" s="6" t="n">
        <v>34000</v>
      </c>
      <c r="I399" s="4" t="inlineStr">
        <is>
          <t>Cái 20C/H 200C/HG</t>
        </is>
      </c>
    </row>
    <row r="400">
      <c r="A400" s="3" t="n">
        <v>399</v>
      </c>
      <c r="B400" s="3" t="n">
        <v>23</v>
      </c>
      <c r="C400" s="3" t="inlineStr">
        <is>
          <t>11</t>
        </is>
      </c>
      <c r="D400" s="4" t="inlineStr">
        <is>
          <t>KBY2-050CO Ø5.0</t>
        </is>
      </c>
      <c r="E400" s="3" t="inlineStr">
        <is>
          <t>Cái</t>
        </is>
      </c>
      <c r="F400" s="5" t="n">
        <v>25000</v>
      </c>
      <c r="G400" s="5" t="n">
        <v>31000</v>
      </c>
      <c r="H400" s="6" t="n">
        <v>40000</v>
      </c>
      <c r="I400" s="4" t="inlineStr">
        <is>
          <t>Cái 20C/H 200C/HG</t>
        </is>
      </c>
    </row>
    <row r="401">
      <c r="A401" s="3" t="n">
        <v>400</v>
      </c>
      <c r="B401" s="3" t="n">
        <v>23</v>
      </c>
      <c r="C401" s="3" t="inlineStr">
        <is>
          <t>12</t>
        </is>
      </c>
      <c r="D401" s="4" t="inlineStr">
        <is>
          <t>KBY2-052CO Ø5.2</t>
        </is>
      </c>
      <c r="E401" s="3" t="inlineStr">
        <is>
          <t>Cái</t>
        </is>
      </c>
      <c r="F401" s="5" t="n">
        <v>29000</v>
      </c>
      <c r="G401" s="5" t="n">
        <v>36000</v>
      </c>
      <c r="H401" s="6" t="n">
        <v>46000</v>
      </c>
      <c r="I401" s="4" t="inlineStr">
        <is>
          <t>Cái 10C/H 100C/HG</t>
        </is>
      </c>
    </row>
    <row r="402">
      <c r="A402" s="3" t="n">
        <v>401</v>
      </c>
      <c r="B402" s="3" t="n">
        <v>23</v>
      </c>
      <c r="C402" s="3" t="inlineStr">
        <is>
          <t>13</t>
        </is>
      </c>
      <c r="D402" s="4" t="inlineStr">
        <is>
          <t>KBY2-055CO Ø5.5</t>
        </is>
      </c>
      <c r="E402" s="3" t="inlineStr">
        <is>
          <t>Cái</t>
        </is>
      </c>
      <c r="F402" s="5" t="n">
        <v>30000</v>
      </c>
      <c r="G402" s="5" t="n">
        <v>37000</v>
      </c>
      <c r="H402" s="6" t="n">
        <v>48000</v>
      </c>
      <c r="I402" s="4" t="inlineStr">
        <is>
          <t>Cái 10C/H 100C/HG</t>
        </is>
      </c>
    </row>
    <row r="403">
      <c r="A403" s="3" t="n">
        <v>402</v>
      </c>
      <c r="B403" s="3" t="n">
        <v>23</v>
      </c>
      <c r="C403" s="3" t="inlineStr">
        <is>
          <t>14</t>
        </is>
      </c>
      <c r="D403" s="4" t="inlineStr">
        <is>
          <t>KBY2-060CO Ø6.0</t>
        </is>
      </c>
      <c r="E403" s="3" t="inlineStr">
        <is>
          <t>Cái</t>
        </is>
      </c>
      <c r="F403" s="5" t="n">
        <v>36000</v>
      </c>
      <c r="G403" s="5" t="n">
        <v>45000</v>
      </c>
      <c r="H403" s="6" t="n">
        <v>58000</v>
      </c>
      <c r="I403" s="4" t="inlineStr">
        <is>
          <t>Cái 10C/H 100C/HG</t>
        </is>
      </c>
    </row>
    <row r="404">
      <c r="A404" s="3" t="n">
        <v>403</v>
      </c>
      <c r="B404" s="3" t="n">
        <v>23</v>
      </c>
      <c r="C404" s="3" t="inlineStr">
        <is>
          <t>15</t>
        </is>
      </c>
      <c r="D404" s="4" t="inlineStr">
        <is>
          <t>KBY2-065CO Ø6.5</t>
        </is>
      </c>
      <c r="E404" s="3" t="inlineStr">
        <is>
          <t>Cái</t>
        </is>
      </c>
      <c r="F404" s="5" t="n">
        <v>41000</v>
      </c>
      <c r="G404" s="5" t="n">
        <v>51000</v>
      </c>
      <c r="H404" s="6" t="n">
        <v>66000</v>
      </c>
      <c r="I404" s="4" t="inlineStr">
        <is>
          <t>Cái 10C/H 100C/HG</t>
        </is>
      </c>
    </row>
    <row r="405">
      <c r="A405" s="3" t="n">
        <v>404</v>
      </c>
      <c r="B405" s="3" t="n">
        <v>23</v>
      </c>
      <c r="C405" s="3" t="inlineStr">
        <is>
          <t>16</t>
        </is>
      </c>
      <c r="D405" s="4" t="inlineStr">
        <is>
          <t>KBY2-070CO Ø7.0</t>
        </is>
      </c>
      <c r="E405" s="3" t="inlineStr">
        <is>
          <t>Cái</t>
        </is>
      </c>
      <c r="F405" s="5" t="n">
        <v>49000</v>
      </c>
      <c r="G405" s="5" t="n">
        <v>61000</v>
      </c>
      <c r="H405" s="6" t="n">
        <v>78000</v>
      </c>
      <c r="I405" s="4" t="inlineStr">
        <is>
          <t>Cái 10C/H 100C/HG</t>
        </is>
      </c>
    </row>
    <row r="406">
      <c r="A406" s="3" t="n">
        <v>405</v>
      </c>
      <c r="B406" s="3" t="n">
        <v>23</v>
      </c>
      <c r="C406" s="3" t="inlineStr">
        <is>
          <t>17</t>
        </is>
      </c>
      <c r="D406" s="4" t="inlineStr">
        <is>
          <t>KBY2-075CO Ø7.5</t>
        </is>
      </c>
      <c r="E406" s="3" t="inlineStr">
        <is>
          <t>Cái</t>
        </is>
      </c>
      <c r="F406" s="5" t="n">
        <v>53000</v>
      </c>
      <c r="G406" s="5" t="n">
        <v>66000</v>
      </c>
      <c r="H406" s="6" t="n">
        <v>85000</v>
      </c>
      <c r="I406" s="4" t="inlineStr">
        <is>
          <t>Cái 10C/H 100C/HG</t>
        </is>
      </c>
    </row>
    <row r="407">
      <c r="A407" s="3" t="n">
        <v>406</v>
      </c>
      <c r="B407" s="3" t="n">
        <v>23</v>
      </c>
      <c r="C407" s="3" t="inlineStr">
        <is>
          <t>18</t>
        </is>
      </c>
      <c r="D407" s="4" t="inlineStr">
        <is>
          <t>KBY2-080CO Ø8.0</t>
        </is>
      </c>
      <c r="E407" s="3" t="inlineStr">
        <is>
          <t>Cái</t>
        </is>
      </c>
      <c r="F407" s="5" t="n">
        <v>58000</v>
      </c>
      <c r="G407" s="5" t="n">
        <v>72000</v>
      </c>
      <c r="H407" s="6" t="n">
        <v>93000</v>
      </c>
      <c r="I407" s="4" t="inlineStr">
        <is>
          <t>Cái 10C/H 100C/HG</t>
        </is>
      </c>
    </row>
    <row r="408">
      <c r="A408" s="3" t="n">
        <v>407</v>
      </c>
      <c r="B408" s="3" t="n">
        <v>23</v>
      </c>
      <c r="C408" s="3" t="inlineStr">
        <is>
          <t>19</t>
        </is>
      </c>
      <c r="D408" s="4" t="inlineStr">
        <is>
          <t>KBY2-085CO Ø8.5</t>
        </is>
      </c>
      <c r="E408" s="3" t="inlineStr">
        <is>
          <t>Cái</t>
        </is>
      </c>
      <c r="F408" s="5" t="n">
        <v>67000</v>
      </c>
      <c r="G408" s="5" t="n">
        <v>83000</v>
      </c>
      <c r="H408" s="6" t="n">
        <v>107000</v>
      </c>
      <c r="I408" s="4" t="inlineStr">
        <is>
          <t>Cái 10C/H 100C/HG</t>
        </is>
      </c>
    </row>
    <row r="409">
      <c r="A409" s="3" t="n">
        <v>408</v>
      </c>
      <c r="B409" s="3" t="n">
        <v>23</v>
      </c>
      <c r="C409" s="3" t="inlineStr">
        <is>
          <t>20</t>
        </is>
      </c>
      <c r="D409" s="4" t="inlineStr">
        <is>
          <t>KBY2-090CO Ø9.0</t>
        </is>
      </c>
      <c r="E409" s="3" t="inlineStr">
        <is>
          <t>Cái</t>
        </is>
      </c>
      <c r="F409" s="5" t="n">
        <v>76000</v>
      </c>
      <c r="G409" s="5" t="n">
        <v>94000</v>
      </c>
      <c r="H409" s="6" t="n">
        <v>122000</v>
      </c>
      <c r="I409" s="4" t="inlineStr">
        <is>
          <t>Cái 5C/H 50C/HG</t>
        </is>
      </c>
    </row>
    <row r="410">
      <c r="A410" s="3" t="n">
        <v>409</v>
      </c>
      <c r="B410" s="3" t="n">
        <v>23</v>
      </c>
      <c r="C410" s="3" t="inlineStr">
        <is>
          <t>21</t>
        </is>
      </c>
      <c r="D410" s="4" t="inlineStr">
        <is>
          <t>KBY2-095CO Ø9.5</t>
        </is>
      </c>
      <c r="E410" s="3" t="inlineStr">
        <is>
          <t>Cái</t>
        </is>
      </c>
      <c r="F410" s="5" t="n">
        <v>84000</v>
      </c>
      <c r="G410" s="5" t="n">
        <v>104000</v>
      </c>
      <c r="H410" s="6" t="n">
        <v>134000</v>
      </c>
      <c r="I410" s="4" t="inlineStr">
        <is>
          <t>Cái 5C/H 50C/HG</t>
        </is>
      </c>
    </row>
    <row r="411">
      <c r="A411" s="3" t="n">
        <v>410</v>
      </c>
      <c r="B411" s="3" t="n">
        <v>23</v>
      </c>
      <c r="C411" s="3" t="inlineStr">
        <is>
          <t>22</t>
        </is>
      </c>
      <c r="D411" s="4" t="inlineStr">
        <is>
          <t>KBY2-100CO Ø10.0</t>
        </is>
      </c>
      <c r="E411" s="3" t="inlineStr">
        <is>
          <t>Cái</t>
        </is>
      </c>
      <c r="F411" s="5" t="n">
        <v>101000</v>
      </c>
      <c r="G411" s="5" t="n">
        <v>125000</v>
      </c>
      <c r="H411" s="6" t="n">
        <v>162000</v>
      </c>
      <c r="I411" s="4" t="inlineStr">
        <is>
          <t>Cái 5C/H 50C/HG</t>
        </is>
      </c>
    </row>
    <row r="412">
      <c r="A412" s="3" t="n">
        <v>411</v>
      </c>
      <c r="B412" s="3" t="n">
        <v>23</v>
      </c>
      <c r="C412" s="3" t="inlineStr">
        <is>
          <t>23</t>
        </is>
      </c>
      <c r="D412" s="4" t="inlineStr">
        <is>
          <t>KBY2-105CO Ø10.5</t>
        </is>
      </c>
      <c r="E412" s="3" t="inlineStr">
        <is>
          <t>Cái</t>
        </is>
      </c>
      <c r="F412" s="5" t="n">
        <v>116000</v>
      </c>
      <c r="G412" s="5" t="n">
        <v>144000</v>
      </c>
      <c r="H412" s="6" t="n">
        <v>186000</v>
      </c>
      <c r="I412" s="4" t="inlineStr">
        <is>
          <t>Cái 5C/H 50C/HG</t>
        </is>
      </c>
    </row>
    <row r="413">
      <c r="A413" s="3" t="n">
        <v>412</v>
      </c>
      <c r="B413" s="3" t="n">
        <v>23</v>
      </c>
      <c r="C413" s="3" t="inlineStr">
        <is>
          <t>24</t>
        </is>
      </c>
      <c r="D413" s="4" t="inlineStr">
        <is>
          <t>KBY2-110CO Ø11.0</t>
        </is>
      </c>
      <c r="E413" s="3" t="inlineStr">
        <is>
          <t>Cái</t>
        </is>
      </c>
      <c r="F413" s="5" t="n">
        <v>131000</v>
      </c>
      <c r="G413" s="5" t="n">
        <v>163000</v>
      </c>
      <c r="H413" s="6" t="n">
        <v>210000</v>
      </c>
      <c r="I413" s="4" t="inlineStr">
        <is>
          <t>Cái 5C/H 50C/HG</t>
        </is>
      </c>
    </row>
    <row r="414">
      <c r="A414" s="3" t="n">
        <v>413</v>
      </c>
      <c r="B414" s="3" t="n">
        <v>23</v>
      </c>
      <c r="C414" s="3" t="inlineStr">
        <is>
          <t>25</t>
        </is>
      </c>
      <c r="D414" s="4" t="inlineStr">
        <is>
          <t>KBY2-120CO Ø12.0</t>
        </is>
      </c>
      <c r="E414" s="3" t="inlineStr">
        <is>
          <t>Cái</t>
        </is>
      </c>
      <c r="F414" s="5" t="n">
        <v>162000</v>
      </c>
      <c r="G414" s="5" t="n">
        <v>201000</v>
      </c>
      <c r="H414" s="6" t="n">
        <v>259000</v>
      </c>
      <c r="I414" s="4" t="inlineStr">
        <is>
          <t>Cái 5C/H 50C/HG</t>
        </is>
      </c>
    </row>
    <row r="415">
      <c r="A415" s="3" t="n">
        <v>414</v>
      </c>
      <c r="B415" s="3" t="n">
        <v>23</v>
      </c>
      <c r="C415" s="3" t="inlineStr">
        <is>
          <t>26</t>
        </is>
      </c>
      <c r="D415" s="4" t="inlineStr">
        <is>
          <t>KBY2-125CO Ø12.5</t>
        </is>
      </c>
      <c r="E415" s="3" t="inlineStr">
        <is>
          <t>Cái</t>
        </is>
      </c>
      <c r="F415" s="5" t="n">
        <v>180000</v>
      </c>
      <c r="G415" s="5" t="n">
        <v>223000</v>
      </c>
      <c r="H415" s="6" t="n">
        <v>288000</v>
      </c>
      <c r="I415" s="4" t="inlineStr">
        <is>
          <t>Cái 5C/H 50C/HG</t>
        </is>
      </c>
    </row>
    <row r="416">
      <c r="A416" s="3" t="n">
        <v>415</v>
      </c>
      <c r="B416" s="3" t="n">
        <v>23</v>
      </c>
      <c r="C416" s="3" t="inlineStr">
        <is>
          <t>27</t>
        </is>
      </c>
      <c r="D416" s="4" t="inlineStr">
        <is>
          <t>KBY2-130CO Ø13.0</t>
        </is>
      </c>
      <c r="E416" s="3" t="inlineStr">
        <is>
          <t>Cái</t>
        </is>
      </c>
      <c r="F416" s="5" t="n">
        <v>190000</v>
      </c>
      <c r="G416" s="5" t="n">
        <v>236000</v>
      </c>
      <c r="H416" s="6" t="n">
        <v>304000</v>
      </c>
      <c r="I416" s="4" t="inlineStr">
        <is>
          <t>Cái 5C/H 50C/HG</t>
        </is>
      </c>
    </row>
    <row r="417">
      <c r="A417" s="3" t="n">
        <v>416</v>
      </c>
      <c r="B417" s="3" t="n">
        <v>23</v>
      </c>
      <c r="C417" s="3" t="inlineStr">
        <is>
          <t>28</t>
        </is>
      </c>
      <c r="D417" s="4" t="inlineStr">
        <is>
          <t>KBY2-140CO Ø14.0</t>
        </is>
      </c>
      <c r="E417" s="3" t="inlineStr">
        <is>
          <t>Cái</t>
        </is>
      </c>
      <c r="F417" s="5" t="n">
        <v>287000</v>
      </c>
      <c r="G417" s="5" t="n">
        <v>356000</v>
      </c>
      <c r="H417" s="6" t="n">
        <v>459000</v>
      </c>
      <c r="I417" s="4" t="inlineStr">
        <is>
          <t>Cái 1C/H 20C/HG</t>
        </is>
      </c>
    </row>
    <row r="418">
      <c r="A418" s="3" t="n">
        <v>417</v>
      </c>
      <c r="B418" s="3" t="n">
        <v>23</v>
      </c>
      <c r="C418" s="3" t="inlineStr">
        <is>
          <t>29</t>
        </is>
      </c>
      <c r="D418" s="4" t="inlineStr">
        <is>
          <t>KBY2-B10 Ø1.0-Ø10.0</t>
        </is>
      </c>
      <c r="E418" s="3" t="inlineStr">
        <is>
          <t>Bộ</t>
        </is>
      </c>
      <c r="F418" s="5" t="n">
        <v>329000</v>
      </c>
      <c r="G418" s="5" t="n">
        <v>408000</v>
      </c>
      <c r="H418" s="6" t="n">
        <v>526000</v>
      </c>
      <c r="I418" s="4" t="inlineStr">
        <is>
          <t>Bộ 10B/H 60B/T</t>
        </is>
      </c>
    </row>
    <row r="419">
      <c r="A419" s="3" t="n">
        <v>418</v>
      </c>
      <c r="B419" s="3" t="n">
        <v>24</v>
      </c>
      <c r="C419" s="3" t="inlineStr">
        <is>
          <t>1</t>
        </is>
      </c>
      <c r="D419" s="4" t="inlineStr">
        <is>
          <t>KBY3-020CO Ø2.0</t>
        </is>
      </c>
      <c r="E419" s="3" t="inlineStr">
        <is>
          <t>Vỉ</t>
        </is>
      </c>
      <c r="F419" s="5" t="n">
        <v>28000</v>
      </c>
      <c r="G419" s="5" t="n">
        <v>35000</v>
      </c>
      <c r="H419" s="6" t="n">
        <v>45000</v>
      </c>
      <c r="I419" s="4" t="inlineStr">
        <is>
          <t>Vỉ 2C/V 50C/H</t>
        </is>
      </c>
    </row>
    <row r="420">
      <c r="A420" s="3" t="n">
        <v>419</v>
      </c>
      <c r="B420" s="3" t="n">
        <v>24</v>
      </c>
      <c r="C420" s="3" t="inlineStr">
        <is>
          <t>2</t>
        </is>
      </c>
      <c r="D420" s="4" t="inlineStr">
        <is>
          <t>KBY3-025CO Ø2.5</t>
        </is>
      </c>
      <c r="E420" s="3" t="inlineStr">
        <is>
          <t>Vỉ</t>
        </is>
      </c>
      <c r="F420" s="5" t="n">
        <v>28000</v>
      </c>
      <c r="G420" s="5" t="n">
        <v>35000</v>
      </c>
      <c r="H420" s="6" t="n">
        <v>45000</v>
      </c>
      <c r="I420" s="4" t="inlineStr">
        <is>
          <t>Vỉ 2C/V 50C/H</t>
        </is>
      </c>
    </row>
    <row r="421">
      <c r="A421" s="3" t="n">
        <v>420</v>
      </c>
      <c r="B421" s="3" t="n">
        <v>24</v>
      </c>
      <c r="C421" s="3" t="inlineStr">
        <is>
          <t>3</t>
        </is>
      </c>
      <c r="D421" s="4" t="inlineStr">
        <is>
          <t>KBY3-030CO Ø3.0</t>
        </is>
      </c>
      <c r="E421" s="3" t="inlineStr">
        <is>
          <t>Vỉ</t>
        </is>
      </c>
      <c r="F421" s="5" t="n">
        <v>31000</v>
      </c>
      <c r="G421" s="5" t="n">
        <v>39000</v>
      </c>
      <c r="H421" s="6" t="n">
        <v>50000</v>
      </c>
      <c r="I421" s="4" t="inlineStr">
        <is>
          <t>Vỉ 2C/V 50C/H</t>
        </is>
      </c>
    </row>
    <row r="422">
      <c r="A422" s="3" t="n">
        <v>421</v>
      </c>
      <c r="B422" s="3" t="n">
        <v>24</v>
      </c>
      <c r="C422" s="3" t="inlineStr">
        <is>
          <t>4</t>
        </is>
      </c>
      <c r="D422" s="4" t="inlineStr">
        <is>
          <t>KBY3-032CO Ø3.2</t>
        </is>
      </c>
      <c r="E422" s="3" t="inlineStr">
        <is>
          <t>Vỉ</t>
        </is>
      </c>
      <c r="F422" s="5" t="n">
        <v>35000</v>
      </c>
      <c r="G422" s="5" t="n">
        <v>43000</v>
      </c>
      <c r="H422" s="6" t="n">
        <v>56000</v>
      </c>
      <c r="I422" s="4" t="inlineStr">
        <is>
          <t>Vỉ 2C/V 50C/H</t>
        </is>
      </c>
    </row>
    <row r="423">
      <c r="A423" s="3" t="n">
        <v>422</v>
      </c>
      <c r="B423" s="3" t="n">
        <v>24</v>
      </c>
      <c r="C423" s="3" t="inlineStr">
        <is>
          <t>5</t>
        </is>
      </c>
      <c r="D423" s="4" t="inlineStr">
        <is>
          <t>KBY3-035CO Ø3.5</t>
        </is>
      </c>
      <c r="E423" s="3" t="inlineStr">
        <is>
          <t>Vỉ</t>
        </is>
      </c>
      <c r="F423" s="5" t="n">
        <v>36000</v>
      </c>
      <c r="G423" s="5" t="n">
        <v>45000</v>
      </c>
      <c r="H423" s="6" t="n">
        <v>58000</v>
      </c>
      <c r="I423" s="4" t="inlineStr">
        <is>
          <t>Vỉ 2C/V 50C/H</t>
        </is>
      </c>
    </row>
    <row r="424">
      <c r="A424" s="3" t="n">
        <v>423</v>
      </c>
      <c r="B424" s="3" t="n">
        <v>24</v>
      </c>
      <c r="C424" s="3" t="inlineStr">
        <is>
          <t>6</t>
        </is>
      </c>
      <c r="D424" s="4" t="inlineStr">
        <is>
          <t>KBY3-040CO Ø4.0</t>
        </is>
      </c>
      <c r="E424" s="3" t="inlineStr">
        <is>
          <t>Vỉ</t>
        </is>
      </c>
      <c r="F424" s="5" t="n">
        <v>40000</v>
      </c>
      <c r="G424" s="5" t="n">
        <v>50000</v>
      </c>
      <c r="H424" s="6" t="n">
        <v>64000</v>
      </c>
      <c r="I424" s="4" t="inlineStr">
        <is>
          <t>Vỉ 2C/V 50C/H</t>
        </is>
      </c>
    </row>
    <row r="425">
      <c r="A425" s="3" t="n">
        <v>424</v>
      </c>
      <c r="B425" s="3" t="n">
        <v>24</v>
      </c>
      <c r="C425" s="3" t="inlineStr">
        <is>
          <t>7</t>
        </is>
      </c>
      <c r="D425" s="4" t="inlineStr">
        <is>
          <t>KBY3-042CO Ø4.2</t>
        </is>
      </c>
      <c r="E425" s="3" t="inlineStr">
        <is>
          <t>Vỉ</t>
        </is>
      </c>
      <c r="F425" s="5" t="n">
        <v>45000</v>
      </c>
      <c r="G425" s="5" t="n">
        <v>56000</v>
      </c>
      <c r="H425" s="6" t="n">
        <v>72000</v>
      </c>
      <c r="I425" s="4" t="inlineStr">
        <is>
          <t>Vỉ 2C/V 50C/H</t>
        </is>
      </c>
    </row>
    <row r="426">
      <c r="A426" s="3" t="n">
        <v>425</v>
      </c>
      <c r="B426" s="3" t="n">
        <v>24</v>
      </c>
      <c r="C426" s="3" t="inlineStr">
        <is>
          <t>8</t>
        </is>
      </c>
      <c r="D426" s="4" t="inlineStr">
        <is>
          <t>KBY3-045CO Ø4.5</t>
        </is>
      </c>
      <c r="E426" s="3" t="inlineStr">
        <is>
          <t>Vỉ</t>
        </is>
      </c>
      <c r="F426" s="5" t="n">
        <v>46000</v>
      </c>
      <c r="G426" s="5" t="n">
        <v>57000</v>
      </c>
      <c r="H426" s="6" t="n">
        <v>74000</v>
      </c>
      <c r="I426" s="4" t="inlineStr">
        <is>
          <t>Vỉ 2C/V 50C/H</t>
        </is>
      </c>
    </row>
    <row r="427">
      <c r="A427" s="3" t="n">
        <v>426</v>
      </c>
      <c r="B427" s="3" t="n">
        <v>24</v>
      </c>
      <c r="C427" s="3" t="inlineStr">
        <is>
          <t>9</t>
        </is>
      </c>
      <c r="D427" s="4" t="inlineStr">
        <is>
          <t>KBY3-050CO Ø5.0</t>
        </is>
      </c>
      <c r="E427" s="3" t="inlineStr">
        <is>
          <t>Vỉ</t>
        </is>
      </c>
      <c r="F427" s="5" t="n">
        <v>53000</v>
      </c>
      <c r="G427" s="5" t="n">
        <v>66000</v>
      </c>
      <c r="H427" s="6" t="n">
        <v>85000</v>
      </c>
      <c r="I427" s="4" t="inlineStr">
        <is>
          <t>Vỉ 2C/V 50C/H</t>
        </is>
      </c>
    </row>
    <row r="428">
      <c r="A428" s="3" t="n">
        <v>427</v>
      </c>
      <c r="B428" s="3" t="n">
        <v>24</v>
      </c>
      <c r="C428" s="3" t="inlineStr">
        <is>
          <t>10</t>
        </is>
      </c>
      <c r="D428" s="4" t="inlineStr">
        <is>
          <t>KBY3-055CO Ø5.5</t>
        </is>
      </c>
      <c r="E428" s="3" t="inlineStr">
        <is>
          <t>Vỉ</t>
        </is>
      </c>
      <c r="F428" s="5" t="n">
        <v>58000</v>
      </c>
      <c r="G428" s="5" t="n">
        <v>72000</v>
      </c>
      <c r="H428" s="6" t="n">
        <v>93000</v>
      </c>
      <c r="I428" s="4" t="inlineStr">
        <is>
          <t>Vỉ 2C/V 50C/H</t>
        </is>
      </c>
    </row>
    <row r="429">
      <c r="A429" s="3" t="n">
        <v>428</v>
      </c>
      <c r="B429" s="3" t="n">
        <v>24</v>
      </c>
      <c r="C429" s="3" t="inlineStr">
        <is>
          <t>11</t>
        </is>
      </c>
      <c r="D429" s="4" t="inlineStr">
        <is>
          <t>KBY3-060CO Ø6.0</t>
        </is>
      </c>
      <c r="E429" s="3" t="inlineStr">
        <is>
          <t>Vỉ</t>
        </is>
      </c>
      <c r="F429" s="5" t="n">
        <v>65000</v>
      </c>
      <c r="G429" s="5" t="n">
        <v>81000</v>
      </c>
      <c r="H429" s="6" t="n">
        <v>104000</v>
      </c>
      <c r="I429" s="4" t="inlineStr">
        <is>
          <t>Vỉ 2C/V 50C/H</t>
        </is>
      </c>
    </row>
    <row r="430">
      <c r="A430" s="3" t="n">
        <v>429</v>
      </c>
      <c r="B430" s="3" t="n">
        <v>24</v>
      </c>
      <c r="C430" s="3" t="inlineStr">
        <is>
          <t>12</t>
        </is>
      </c>
      <c r="D430" s="4" t="inlineStr">
        <is>
          <t>KBY3-065CO Ø6.5</t>
        </is>
      </c>
      <c r="E430" s="3" t="inlineStr">
        <is>
          <t>Cái</t>
        </is>
      </c>
      <c r="F430" s="5" t="n">
        <v>42000</v>
      </c>
      <c r="G430" s="5" t="n">
        <v>52000</v>
      </c>
      <c r="H430" s="6" t="n">
        <v>67000</v>
      </c>
      <c r="I430" s="4" t="inlineStr">
        <is>
          <t>Cái 1C/V 25C/H</t>
        </is>
      </c>
    </row>
    <row r="431">
      <c r="A431" s="3" t="n">
        <v>430</v>
      </c>
      <c r="B431" s="3" t="n">
        <v>24</v>
      </c>
      <c r="C431" s="3" t="inlineStr">
        <is>
          <t>13</t>
        </is>
      </c>
      <c r="D431" s="4" t="inlineStr">
        <is>
          <t>KBY3-070CO Ø7.0</t>
        </is>
      </c>
      <c r="E431" s="3" t="inlineStr">
        <is>
          <t>Cái</t>
        </is>
      </c>
      <c r="F431" s="5" t="n">
        <v>45000</v>
      </c>
      <c r="G431" s="5" t="n">
        <v>56000</v>
      </c>
      <c r="H431" s="6" t="n">
        <v>72000</v>
      </c>
      <c r="I431" s="4" t="inlineStr">
        <is>
          <t>Cái 1C/V 25C/H</t>
        </is>
      </c>
    </row>
    <row r="432">
      <c r="A432" s="3" t="n">
        <v>431</v>
      </c>
      <c r="B432" s="3" t="n">
        <v>24</v>
      </c>
      <c r="C432" s="3" t="inlineStr">
        <is>
          <t>14</t>
        </is>
      </c>
      <c r="D432" s="4" t="inlineStr">
        <is>
          <t>KBY3-080CO Ø8.0</t>
        </is>
      </c>
      <c r="E432" s="3" t="inlineStr">
        <is>
          <t>Cái</t>
        </is>
      </c>
      <c r="F432" s="5" t="n">
        <v>58000</v>
      </c>
      <c r="G432" s="5" t="n">
        <v>72000</v>
      </c>
      <c r="H432" s="6" t="n">
        <v>93000</v>
      </c>
      <c r="I432" s="4" t="inlineStr">
        <is>
          <t>Cái 1C/V 25C/H</t>
        </is>
      </c>
    </row>
    <row r="433">
      <c r="A433" s="3" t="n">
        <v>432</v>
      </c>
      <c r="B433" s="3" t="n">
        <v>24</v>
      </c>
      <c r="C433" s="3" t="inlineStr">
        <is>
          <t>15</t>
        </is>
      </c>
      <c r="D433" s="4" t="inlineStr">
        <is>
          <t>KBY3-090CO Ø9.0</t>
        </is>
      </c>
      <c r="E433" s="3" t="inlineStr">
        <is>
          <t>Cái</t>
        </is>
      </c>
      <c r="F433" s="5" t="n">
        <v>73000</v>
      </c>
      <c r="G433" s="5" t="n">
        <v>91000</v>
      </c>
      <c r="H433" s="6" t="n">
        <v>117000</v>
      </c>
      <c r="I433" s="4" t="inlineStr">
        <is>
          <t>Cái 1C/V 25C/H</t>
        </is>
      </c>
    </row>
    <row r="434">
      <c r="A434" s="3" t="n">
        <v>433</v>
      </c>
      <c r="B434" s="3" t="n">
        <v>24</v>
      </c>
      <c r="C434" s="3" t="inlineStr">
        <is>
          <t>16</t>
        </is>
      </c>
      <c r="D434" s="4" t="inlineStr">
        <is>
          <t>KBY3-100CO Ø10</t>
        </is>
      </c>
      <c r="E434" s="3" t="inlineStr">
        <is>
          <t>Cái</t>
        </is>
      </c>
      <c r="F434" s="5" t="n">
        <v>90000</v>
      </c>
      <c r="G434" s="5" t="n">
        <v>112000</v>
      </c>
      <c r="H434" s="6" t="n">
        <v>144000</v>
      </c>
      <c r="I434" s="4" t="inlineStr">
        <is>
          <t>Cái 1C/V 25C/H</t>
        </is>
      </c>
    </row>
    <row r="435">
      <c r="A435" s="3" t="n">
        <v>434</v>
      </c>
      <c r="B435" s="3" t="n">
        <v>24</v>
      </c>
      <c r="C435" s="3" t="inlineStr">
        <is>
          <t>1</t>
        </is>
      </c>
      <c r="D435" s="4" t="inlineStr">
        <is>
          <t>KBT-04*12 04*12mm</t>
        </is>
      </c>
      <c r="E435" s="3" t="inlineStr">
        <is>
          <t>Cái</t>
        </is>
      </c>
      <c r="F435" s="5" t="n">
        <v>88000</v>
      </c>
      <c r="G435" s="5" t="n">
        <v>109000</v>
      </c>
      <c r="H435" s="6" t="n">
        <v>141000</v>
      </c>
      <c r="I435" s="4" t="inlineStr">
        <is>
          <t>Cái 1C/H 20C/H</t>
        </is>
      </c>
    </row>
    <row r="436">
      <c r="A436" s="3" t="n">
        <v>435</v>
      </c>
      <c r="B436" s="3" t="n">
        <v>24</v>
      </c>
      <c r="C436" s="3" t="inlineStr">
        <is>
          <t>2</t>
        </is>
      </c>
      <c r="D436" s="4" t="inlineStr">
        <is>
          <t>KBT-04*20 04*20mm</t>
        </is>
      </c>
      <c r="E436" s="3" t="inlineStr">
        <is>
          <t>Cái</t>
        </is>
      </c>
      <c r="F436" s="5" t="n">
        <v>170000</v>
      </c>
      <c r="G436" s="5" t="n">
        <v>211000</v>
      </c>
      <c r="H436" s="6" t="n">
        <v>272000</v>
      </c>
      <c r="I436" s="4" t="inlineStr">
        <is>
          <t>Cái 1C/H 10C/H</t>
        </is>
      </c>
    </row>
    <row r="437">
      <c r="A437" s="3" t="n">
        <v>436</v>
      </c>
      <c r="B437" s="3" t="n">
        <v>24</v>
      </c>
      <c r="C437" s="3" t="inlineStr">
        <is>
          <t>3</t>
        </is>
      </c>
      <c r="D437" s="4" t="inlineStr">
        <is>
          <t>KBT-04*32 04*32mm</t>
        </is>
      </c>
      <c r="E437" s="3" t="inlineStr">
        <is>
          <t>Cái</t>
        </is>
      </c>
      <c r="F437" s="5" t="n">
        <v>319000</v>
      </c>
      <c r="G437" s="5" t="n">
        <v>395000</v>
      </c>
      <c r="H437" s="6" t="n">
        <v>510000</v>
      </c>
      <c r="I437" s="4" t="inlineStr">
        <is>
          <t>Cái 1C/H 5C/H</t>
        </is>
      </c>
    </row>
    <row r="438">
      <c r="A438" s="3" t="n">
        <v>437</v>
      </c>
      <c r="B438" s="3" t="n">
        <v>24</v>
      </c>
      <c r="C438" s="3" t="inlineStr">
        <is>
          <t>1</t>
        </is>
      </c>
      <c r="D438" s="4" t="inlineStr">
        <is>
          <t>KBR-M3*0.5 M3*0.5mm</t>
        </is>
      </c>
      <c r="E438" s="3" t="inlineStr">
        <is>
          <t>Cái</t>
        </is>
      </c>
      <c r="F438" s="5" t="n">
        <v>58000</v>
      </c>
      <c r="G438" s="5" t="n">
        <v>72000</v>
      </c>
      <c r="H438" s="6" t="n">
        <v>93000</v>
      </c>
      <c r="I438" s="4" t="inlineStr">
        <is>
          <t>Cái 10C/V</t>
        </is>
      </c>
    </row>
    <row r="439">
      <c r="A439" s="3" t="n">
        <v>438</v>
      </c>
      <c r="B439" s="3" t="n">
        <v>24</v>
      </c>
      <c r="C439" s="3" t="inlineStr">
        <is>
          <t>2</t>
        </is>
      </c>
      <c r="D439" s="4" t="inlineStr">
        <is>
          <t>KBR-M4*0.7 M4*0.7mm</t>
        </is>
      </c>
      <c r="E439" s="3" t="inlineStr">
        <is>
          <t>Cái</t>
        </is>
      </c>
      <c r="F439" s="5" t="n">
        <v>58000</v>
      </c>
      <c r="G439" s="5" t="n">
        <v>72000</v>
      </c>
      <c r="H439" s="6" t="n">
        <v>93000</v>
      </c>
      <c r="I439" s="4" t="inlineStr">
        <is>
          <t>Cái 10C/V</t>
        </is>
      </c>
    </row>
    <row r="440">
      <c r="A440" s="3" t="n">
        <v>439</v>
      </c>
      <c r="B440" s="3" t="n">
        <v>24</v>
      </c>
      <c r="C440" s="3" t="inlineStr">
        <is>
          <t>3</t>
        </is>
      </c>
      <c r="D440" s="4" t="inlineStr">
        <is>
          <t>KBR-M5*0.8 M5*0.8mm</t>
        </is>
      </c>
      <c r="E440" s="3" t="inlineStr">
        <is>
          <t>Cái</t>
        </is>
      </c>
      <c r="F440" s="5" t="n">
        <v>58000</v>
      </c>
      <c r="G440" s="5" t="n">
        <v>72000</v>
      </c>
      <c r="H440" s="6" t="n">
        <v>93000</v>
      </c>
      <c r="I440" s="4" t="inlineStr">
        <is>
          <t>Cái 10C/V</t>
        </is>
      </c>
    </row>
    <row r="441">
      <c r="A441" s="3" t="n">
        <v>440</v>
      </c>
      <c r="B441" s="3" t="n">
        <v>24</v>
      </c>
      <c r="C441" s="3" t="inlineStr">
        <is>
          <t>4</t>
        </is>
      </c>
      <c r="D441" s="4" t="inlineStr">
        <is>
          <t>KBR-M6*1.0 M6*1.0mm</t>
        </is>
      </c>
      <c r="E441" s="3" t="inlineStr">
        <is>
          <t>Cái</t>
        </is>
      </c>
      <c r="F441" s="5" t="n">
        <v>58000</v>
      </c>
      <c r="G441" s="5" t="n">
        <v>72000</v>
      </c>
      <c r="H441" s="6" t="n">
        <v>93000</v>
      </c>
      <c r="I441" s="4" t="inlineStr">
        <is>
          <t>Cái 10C/V</t>
        </is>
      </c>
    </row>
    <row r="442">
      <c r="A442" s="3" t="n">
        <v>441</v>
      </c>
      <c r="B442" s="3" t="n">
        <v>24</v>
      </c>
      <c r="C442" s="3" t="inlineStr">
        <is>
          <t>5</t>
        </is>
      </c>
      <c r="D442" s="4" t="inlineStr">
        <is>
          <t>KBR-M8*1.25 M8*1.25mm</t>
        </is>
      </c>
      <c r="E442" s="3" t="inlineStr">
        <is>
          <t>Cái</t>
        </is>
      </c>
      <c r="F442" s="5" t="n">
        <v>75000</v>
      </c>
      <c r="G442" s="5" t="n">
        <v>93000</v>
      </c>
      <c r="H442" s="6" t="n">
        <v>120000</v>
      </c>
      <c r="I442" s="4" t="inlineStr">
        <is>
          <t>Cái 10C/V</t>
        </is>
      </c>
    </row>
    <row r="443">
      <c r="A443" s="3" t="n">
        <v>442</v>
      </c>
      <c r="B443" s="3" t="n">
        <v>24</v>
      </c>
      <c r="C443" s="3" t="inlineStr">
        <is>
          <t>6</t>
        </is>
      </c>
      <c r="D443" s="4" t="inlineStr">
        <is>
          <t>KBR-M10*1.5 M10*1.5mm</t>
        </is>
      </c>
      <c r="E443" s="3" t="inlineStr">
        <is>
          <t>Cái</t>
        </is>
      </c>
      <c r="F443" s="5" t="n">
        <v>89000</v>
      </c>
      <c r="G443" s="5" t="n">
        <v>110000</v>
      </c>
      <c r="H443" s="6" t="n">
        <v>142000</v>
      </c>
      <c r="I443" s="4" t="inlineStr">
        <is>
          <t>Cái 5C/V</t>
        </is>
      </c>
    </row>
    <row r="444">
      <c r="A444" s="3" t="n">
        <v>443</v>
      </c>
      <c r="B444" s="3" t="n">
        <v>25</v>
      </c>
      <c r="C444" s="3" t="inlineStr">
        <is>
          <t>1</t>
        </is>
      </c>
      <c r="D444" s="4" t="inlineStr">
        <is>
          <t>KBM2-06*160 Ø6</t>
        </is>
      </c>
      <c r="E444" s="3" t="inlineStr">
        <is>
          <t>Cái</t>
        </is>
      </c>
      <c r="F444" s="5" t="n">
        <v>22000</v>
      </c>
      <c r="G444" s="5" t="n">
        <v>27000</v>
      </c>
      <c r="H444" s="6" t="n">
        <v>34000</v>
      </c>
      <c r="I444" s="4" t="inlineStr">
        <is>
          <t>Cái 10C/H 300C/T</t>
        </is>
      </c>
    </row>
    <row r="445">
      <c r="A445" s="3" t="n">
        <v>444</v>
      </c>
      <c r="B445" s="3" t="n">
        <v>25</v>
      </c>
      <c r="C445" s="3" t="inlineStr">
        <is>
          <t>2</t>
        </is>
      </c>
      <c r="D445" s="4" t="inlineStr">
        <is>
          <t>KBM2-08*160 Ø8</t>
        </is>
      </c>
      <c r="E445" s="3" t="inlineStr">
        <is>
          <t>Cái</t>
        </is>
      </c>
      <c r="F445" s="5" t="n">
        <v>24000</v>
      </c>
      <c r="G445" s="5" t="n">
        <v>29000</v>
      </c>
      <c r="H445" s="6" t="n">
        <v>37000</v>
      </c>
      <c r="I445" s="4" t="inlineStr">
        <is>
          <t>Cái 10C/H 300C/T</t>
        </is>
      </c>
    </row>
    <row r="446">
      <c r="A446" s="3" t="n">
        <v>445</v>
      </c>
      <c r="B446" s="3" t="n">
        <v>25</v>
      </c>
      <c r="C446" s="3" t="inlineStr">
        <is>
          <t>3</t>
        </is>
      </c>
      <c r="D446" s="4" t="inlineStr">
        <is>
          <t>KBM2-10*160 Ø10</t>
        </is>
      </c>
      <c r="E446" s="3" t="inlineStr">
        <is>
          <t>Cái</t>
        </is>
      </c>
      <c r="F446" s="5" t="n">
        <v>28000</v>
      </c>
      <c r="G446" s="5" t="n">
        <v>34000</v>
      </c>
      <c r="H446" s="6" t="n">
        <v>43000</v>
      </c>
      <c r="I446" s="4" t="inlineStr">
        <is>
          <t>Cái 10C/H 200C/T</t>
        </is>
      </c>
    </row>
    <row r="447">
      <c r="A447" s="3" t="n">
        <v>446</v>
      </c>
      <c r="B447" s="3" t="n">
        <v>25</v>
      </c>
      <c r="C447" s="3" t="inlineStr">
        <is>
          <t>4</t>
        </is>
      </c>
      <c r="D447" s="4" t="inlineStr">
        <is>
          <t>KBM2-12*160 Ø12</t>
        </is>
      </c>
      <c r="E447" s="3" t="inlineStr">
        <is>
          <t>Cái</t>
        </is>
      </c>
      <c r="F447" s="5" t="n">
        <v>32000</v>
      </c>
      <c r="G447" s="5" t="n">
        <v>39000</v>
      </c>
      <c r="H447" s="6" t="n">
        <v>50000</v>
      </c>
      <c r="I447" s="4" t="inlineStr">
        <is>
          <t>Cái 10C/H 200C/T</t>
        </is>
      </c>
    </row>
    <row r="448">
      <c r="A448" s="3" t="n">
        <v>447</v>
      </c>
      <c r="B448" s="3" t="n">
        <v>25</v>
      </c>
      <c r="C448" s="3" t="inlineStr">
        <is>
          <t>1</t>
        </is>
      </c>
      <c r="D448" s="4" t="inlineStr">
        <is>
          <t>KBL4-06*160 Ø6*160</t>
        </is>
      </c>
      <c r="E448" s="3" t="inlineStr">
        <is>
          <t>Cái</t>
        </is>
      </c>
      <c r="F448" s="5" t="n">
        <v>24000</v>
      </c>
      <c r="G448" s="5" t="n">
        <v>29000</v>
      </c>
      <c r="H448" s="6" t="n">
        <v>37000</v>
      </c>
      <c r="I448" s="4" t="inlineStr">
        <is>
          <t>Cái 10C/H 300C/T</t>
        </is>
      </c>
    </row>
    <row r="449">
      <c r="A449" s="3" t="n">
        <v>448</v>
      </c>
      <c r="B449" s="3" t="n">
        <v>25</v>
      </c>
      <c r="C449" s="3" t="inlineStr">
        <is>
          <t>2</t>
        </is>
      </c>
      <c r="D449" s="4" t="inlineStr">
        <is>
          <t>KBL4-08*160 Ø8*160</t>
        </is>
      </c>
      <c r="E449" s="3" t="inlineStr">
        <is>
          <t>Cái</t>
        </is>
      </c>
      <c r="F449" s="5" t="n">
        <v>27000</v>
      </c>
      <c r="G449" s="5" t="n">
        <v>33000</v>
      </c>
      <c r="H449" s="6" t="n">
        <v>42000</v>
      </c>
      <c r="I449" s="4" t="inlineStr">
        <is>
          <t>Cái 10C/H 300C/T</t>
        </is>
      </c>
    </row>
    <row r="450">
      <c r="A450" s="3" t="n">
        <v>449</v>
      </c>
      <c r="B450" s="3" t="n">
        <v>25</v>
      </c>
      <c r="C450" s="3" t="inlineStr">
        <is>
          <t>3</t>
        </is>
      </c>
      <c r="D450" s="4" t="inlineStr">
        <is>
          <t>KBL4-10*160 Ø10*160</t>
        </is>
      </c>
      <c r="E450" s="3" t="inlineStr">
        <is>
          <t>Cái</t>
        </is>
      </c>
      <c r="F450" s="5" t="n">
        <v>30000</v>
      </c>
      <c r="G450" s="5" t="n">
        <v>37000</v>
      </c>
      <c r="H450" s="6" t="n">
        <v>47000</v>
      </c>
      <c r="I450" s="4" t="inlineStr">
        <is>
          <t>Cái 10C/H 200C/T</t>
        </is>
      </c>
    </row>
    <row r="451">
      <c r="A451" s="3" t="n">
        <v>450</v>
      </c>
      <c r="B451" s="3" t="n">
        <v>25</v>
      </c>
      <c r="C451" s="3" t="inlineStr">
        <is>
          <t>4</t>
        </is>
      </c>
      <c r="D451" s="4" t="inlineStr">
        <is>
          <t>KBL4-12*160 Ø12*160</t>
        </is>
      </c>
      <c r="E451" s="3" t="inlineStr">
        <is>
          <t>Cái</t>
        </is>
      </c>
      <c r="F451" s="5" t="n">
        <v>33000</v>
      </c>
      <c r="G451" s="5" t="n">
        <v>40000</v>
      </c>
      <c r="H451" s="6" t="n">
        <v>51000</v>
      </c>
      <c r="I451" s="4" t="inlineStr">
        <is>
          <t>Cái 10C/H 200C/T</t>
        </is>
      </c>
    </row>
    <row r="452">
      <c r="A452" s="3" t="n">
        <v>451</v>
      </c>
      <c r="B452" s="3" t="n">
        <v>25</v>
      </c>
      <c r="C452" s="3" t="inlineStr">
        <is>
          <t>5</t>
        </is>
      </c>
      <c r="D452" s="4" t="inlineStr">
        <is>
          <t>KBL4-14*160 Ø14*160</t>
        </is>
      </c>
      <c r="E452" s="3" t="inlineStr">
        <is>
          <t>Cái</t>
        </is>
      </c>
      <c r="F452" s="5" t="n">
        <v>51000</v>
      </c>
      <c r="G452" s="5" t="n">
        <v>62000</v>
      </c>
      <c r="H452" s="6" t="n">
        <v>79000</v>
      </c>
      <c r="I452" s="4" t="inlineStr">
        <is>
          <t>Cái 10C/H 200C/T</t>
        </is>
      </c>
    </row>
    <row r="453">
      <c r="A453" s="3" t="n">
        <v>452</v>
      </c>
      <c r="B453" s="3" t="n">
        <v>25</v>
      </c>
      <c r="C453" s="3" t="inlineStr">
        <is>
          <t>6</t>
        </is>
      </c>
      <c r="D453" s="4" t="inlineStr">
        <is>
          <t>KBL4-16*160 Ø16*160</t>
        </is>
      </c>
      <c r="E453" s="3" t="inlineStr">
        <is>
          <t>Cái</t>
        </is>
      </c>
      <c r="F453" s="5" t="n">
        <v>59000</v>
      </c>
      <c r="G453" s="5" t="n">
        <v>72000</v>
      </c>
      <c r="H453" s="6" t="n">
        <v>92000</v>
      </c>
      <c r="I453" s="4" t="inlineStr">
        <is>
          <t>Cái 10C/H 200C/T</t>
        </is>
      </c>
    </row>
    <row r="454">
      <c r="A454" s="3" t="n">
        <v>453</v>
      </c>
      <c r="B454" s="3" t="n">
        <v>25</v>
      </c>
      <c r="C454" s="3" t="inlineStr">
        <is>
          <t>1</t>
        </is>
      </c>
      <c r="D454" s="4" t="inlineStr">
        <is>
          <t>KBL4-10*350 Ø10*350</t>
        </is>
      </c>
      <c r="E454" s="3" t="inlineStr">
        <is>
          <t>Cái</t>
        </is>
      </c>
      <c r="F454" s="5" t="n">
        <v>81000</v>
      </c>
      <c r="G454" s="5" t="n">
        <v>99000</v>
      </c>
      <c r="H454" s="6" t="n">
        <v>126000</v>
      </c>
      <c r="I454" s="4" t="inlineStr">
        <is>
          <t>Cái 10C/H 100C/T</t>
        </is>
      </c>
    </row>
    <row r="455">
      <c r="A455" s="3" t="n">
        <v>454</v>
      </c>
      <c r="B455" s="3" t="n">
        <v>25</v>
      </c>
      <c r="C455" s="3" t="inlineStr">
        <is>
          <t>2</t>
        </is>
      </c>
      <c r="D455" s="4" t="inlineStr">
        <is>
          <t>KBL4-12*350 Ø12*350</t>
        </is>
      </c>
      <c r="E455" s="3" t="inlineStr">
        <is>
          <t>Cái</t>
        </is>
      </c>
      <c r="F455" s="5" t="n">
        <v>89000</v>
      </c>
      <c r="G455" s="5" t="n">
        <v>109000</v>
      </c>
      <c r="H455" s="6" t="n">
        <v>138000</v>
      </c>
      <c r="I455" s="4" t="inlineStr">
        <is>
          <t>Cái 10C/H 100C/T</t>
        </is>
      </c>
    </row>
    <row r="456">
      <c r="A456" s="3" t="n">
        <v>455</v>
      </c>
      <c r="B456" s="3" t="n">
        <v>25</v>
      </c>
      <c r="C456" s="3" t="inlineStr">
        <is>
          <t>3</t>
        </is>
      </c>
      <c r="D456" s="4" t="inlineStr">
        <is>
          <t>KBL4-14*350 Ø14*350</t>
        </is>
      </c>
      <c r="E456" s="3" t="inlineStr">
        <is>
          <t>Cái</t>
        </is>
      </c>
      <c r="F456" s="5" t="n">
        <v>105000</v>
      </c>
      <c r="G456" s="5" t="n">
        <v>128000</v>
      </c>
      <c r="H456" s="6" t="n">
        <v>163000</v>
      </c>
      <c r="I456" s="4" t="inlineStr">
        <is>
          <t>Cái 10C/H 100C/T</t>
        </is>
      </c>
    </row>
    <row r="457">
      <c r="A457" s="3" t="n">
        <v>456</v>
      </c>
      <c r="B457" s="3" t="n">
        <v>25</v>
      </c>
      <c r="C457" s="3" t="inlineStr">
        <is>
          <t>4</t>
        </is>
      </c>
      <c r="D457" s="4" t="inlineStr">
        <is>
          <t>KBL4-16*350 Ø16*350</t>
        </is>
      </c>
      <c r="E457" s="3" t="inlineStr">
        <is>
          <t>Cái</t>
        </is>
      </c>
      <c r="F457" s="5" t="n">
        <v>126000</v>
      </c>
      <c r="G457" s="5" t="n">
        <v>154000</v>
      </c>
      <c r="H457" s="6" t="n">
        <v>195000</v>
      </c>
      <c r="I457" s="4" t="inlineStr">
        <is>
          <t>Cái 10C/H 100C/T</t>
        </is>
      </c>
    </row>
    <row r="458">
      <c r="A458" s="3" t="n">
        <v>457</v>
      </c>
      <c r="B458" s="3" t="n">
        <v>25</v>
      </c>
      <c r="C458" s="3" t="inlineStr">
        <is>
          <t>5</t>
        </is>
      </c>
      <c r="D458" s="4" t="inlineStr">
        <is>
          <t>KBL4-18*350 Ø18*350</t>
        </is>
      </c>
      <c r="E458" s="3" t="inlineStr">
        <is>
          <t>Cái</t>
        </is>
      </c>
      <c r="F458" s="5" t="n">
        <v>146000</v>
      </c>
      <c r="G458" s="5" t="n">
        <v>178000</v>
      </c>
      <c r="H458" s="6" t="n">
        <v>226000</v>
      </c>
      <c r="I458" s="4" t="inlineStr">
        <is>
          <t>Cái 10C/H 50C/T</t>
        </is>
      </c>
    </row>
    <row r="459">
      <c r="A459" s="3" t="n">
        <v>458</v>
      </c>
      <c r="B459" s="3" t="n">
        <v>25</v>
      </c>
      <c r="C459" s="3" t="inlineStr">
        <is>
          <t>6</t>
        </is>
      </c>
      <c r="D459" s="4" t="inlineStr">
        <is>
          <t>KBL4-20*350 Ø20*350</t>
        </is>
      </c>
      <c r="E459" s="3" t="inlineStr">
        <is>
          <t>Cái</t>
        </is>
      </c>
      <c r="F459" s="5" t="n">
        <v>183000</v>
      </c>
      <c r="G459" s="5" t="n">
        <v>223000</v>
      </c>
      <c r="H459" s="6" t="n">
        <v>284000</v>
      </c>
      <c r="I459" s="4" t="inlineStr">
        <is>
          <t>Cái 10C/H 50C/T</t>
        </is>
      </c>
    </row>
    <row r="460">
      <c r="A460" s="3" t="n">
        <v>459</v>
      </c>
      <c r="B460" s="3" t="n">
        <v>25</v>
      </c>
      <c r="C460" s="3" t="inlineStr">
        <is>
          <t>7</t>
        </is>
      </c>
      <c r="D460" s="4" t="inlineStr">
        <is>
          <t>KBL4-22*350 Ø22*350</t>
        </is>
      </c>
      <c r="E460" s="3" t="inlineStr">
        <is>
          <t>Cái</t>
        </is>
      </c>
      <c r="F460" s="5" t="n">
        <v>228000</v>
      </c>
      <c r="G460" s="5" t="n">
        <v>278000</v>
      </c>
      <c r="H460" s="6" t="n">
        <v>353000</v>
      </c>
      <c r="I460" s="4" t="inlineStr">
        <is>
          <t>Cái 10C/H 50C/T</t>
        </is>
      </c>
    </row>
    <row r="461">
      <c r="A461" s="3" t="n">
        <v>460</v>
      </c>
      <c r="B461" s="3" t="n">
        <v>25</v>
      </c>
      <c r="C461" s="3" t="inlineStr">
        <is>
          <t>8</t>
        </is>
      </c>
      <c r="D461" s="4" t="inlineStr">
        <is>
          <t>KBL4-25*350 Ø25*350</t>
        </is>
      </c>
      <c r="E461" s="3" t="inlineStr">
        <is>
          <t>Cái</t>
        </is>
      </c>
      <c r="F461" s="5" t="n">
        <v>285000</v>
      </c>
      <c r="G461" s="5" t="n">
        <v>348000</v>
      </c>
      <c r="H461" s="6" t="n">
        <v>442000</v>
      </c>
      <c r="I461" s="4" t="inlineStr">
        <is>
          <t>Cái 10C/H 50C/T</t>
        </is>
      </c>
    </row>
    <row r="462">
      <c r="A462" s="3" t="n">
        <v>461</v>
      </c>
      <c r="B462" s="3" t="n">
        <v>25</v>
      </c>
      <c r="C462" s="3" t="inlineStr">
        <is>
          <t>1</t>
        </is>
      </c>
      <c r="D462" s="4" t="inlineStr">
        <is>
          <t>KBL2-3.2*90 Ø3.2*90</t>
        </is>
      </c>
      <c r="E462" s="3" t="inlineStr">
        <is>
          <t>Cái</t>
        </is>
      </c>
      <c r="F462" s="5" t="n">
        <v>23000</v>
      </c>
      <c r="G462" s="5" t="n">
        <v>29000</v>
      </c>
      <c r="H462" s="6" t="n">
        <v>38000</v>
      </c>
      <c r="I462" s="4" t="inlineStr">
        <is>
          <t>Cái 10C/H 300C/T</t>
        </is>
      </c>
    </row>
    <row r="463">
      <c r="A463" s="3" t="n">
        <v>462</v>
      </c>
      <c r="B463" s="3" t="n">
        <v>25</v>
      </c>
      <c r="C463" s="3" t="inlineStr">
        <is>
          <t>2</t>
        </is>
      </c>
      <c r="D463" s="4" t="inlineStr">
        <is>
          <t>KBL2-3.2*110 Ø3.2*110</t>
        </is>
      </c>
      <c r="E463" s="3" t="inlineStr">
        <is>
          <t>Cái</t>
        </is>
      </c>
      <c r="F463" s="5" t="n">
        <v>23000</v>
      </c>
      <c r="G463" s="5" t="n">
        <v>29000</v>
      </c>
      <c r="H463" s="6" t="n">
        <v>38000</v>
      </c>
      <c r="I463" s="4" t="inlineStr">
        <is>
          <t>Cái 10C/H 300C/T</t>
        </is>
      </c>
    </row>
    <row r="464">
      <c r="A464" s="3" t="n">
        <v>463</v>
      </c>
      <c r="B464" s="3" t="n">
        <v>25</v>
      </c>
      <c r="C464" s="3" t="inlineStr">
        <is>
          <t>3</t>
        </is>
      </c>
      <c r="D464" s="4" t="inlineStr">
        <is>
          <t>KBL2-3.5*110 Ø3.5*110</t>
        </is>
      </c>
      <c r="E464" s="3" t="inlineStr">
        <is>
          <t>Cái</t>
        </is>
      </c>
      <c r="F464" s="5" t="n">
        <v>23000</v>
      </c>
      <c r="G464" s="5" t="n">
        <v>29000</v>
      </c>
      <c r="H464" s="6" t="n">
        <v>38000</v>
      </c>
      <c r="I464" s="4" t="inlineStr">
        <is>
          <t>Cái 10C/H 300C/T</t>
        </is>
      </c>
    </row>
    <row r="465">
      <c r="A465" s="3" t="n">
        <v>464</v>
      </c>
      <c r="B465" s="3" t="n">
        <v>25</v>
      </c>
      <c r="C465" s="3" t="inlineStr">
        <is>
          <t>4</t>
        </is>
      </c>
      <c r="D465" s="4" t="inlineStr">
        <is>
          <t>KBL2-4.2*110 Ø4.2*110</t>
        </is>
      </c>
      <c r="E465" s="3" t="inlineStr">
        <is>
          <t>Cái</t>
        </is>
      </c>
      <c r="F465" s="5" t="n">
        <v>23000</v>
      </c>
      <c r="G465" s="5" t="n">
        <v>29000</v>
      </c>
      <c r="H465" s="6" t="n">
        <v>38000</v>
      </c>
      <c r="I465" s="4" t="inlineStr">
        <is>
          <t>Cái 10C/H 300C/T</t>
        </is>
      </c>
    </row>
    <row r="466">
      <c r="A466" s="3" t="n">
        <v>465</v>
      </c>
      <c r="B466" s="3" t="n">
        <v>25</v>
      </c>
      <c r="C466" s="3" t="inlineStr">
        <is>
          <t>5</t>
        </is>
      </c>
      <c r="D466" s="4" t="inlineStr">
        <is>
          <t>KBL2-06*110 Ø6</t>
        </is>
      </c>
      <c r="E466" s="3" t="inlineStr">
        <is>
          <t>Cái</t>
        </is>
      </c>
      <c r="F466" s="5" t="n">
        <v>20000</v>
      </c>
      <c r="G466" s="5" t="n">
        <v>24000</v>
      </c>
      <c r="H466" s="6" t="n">
        <v>31000</v>
      </c>
      <c r="I466" s="4" t="inlineStr">
        <is>
          <t>Cái 10C/H 300C/T</t>
        </is>
      </c>
    </row>
    <row r="467">
      <c r="A467" s="3" t="n">
        <v>466</v>
      </c>
      <c r="B467" s="3" t="n">
        <v>25</v>
      </c>
      <c r="C467" s="3" t="inlineStr">
        <is>
          <t>6</t>
        </is>
      </c>
      <c r="D467" s="4" t="inlineStr">
        <is>
          <t>KBL2-08*110 Ø8</t>
        </is>
      </c>
      <c r="E467" s="3" t="inlineStr">
        <is>
          <t>Cái</t>
        </is>
      </c>
      <c r="F467" s="5" t="n">
        <v>22000</v>
      </c>
      <c r="G467" s="5" t="n">
        <v>27000</v>
      </c>
      <c r="H467" s="6" t="n">
        <v>34000</v>
      </c>
      <c r="I467" s="4" t="inlineStr">
        <is>
          <t>Cái 10C/H 300C/T</t>
        </is>
      </c>
    </row>
    <row r="468">
      <c r="A468" s="3" t="n">
        <v>467</v>
      </c>
      <c r="B468" s="3" t="n">
        <v>25</v>
      </c>
      <c r="C468" s="3" t="inlineStr">
        <is>
          <t>7</t>
        </is>
      </c>
      <c r="D468" s="4" t="inlineStr">
        <is>
          <t>KBL2-06*160 Ø6</t>
        </is>
      </c>
      <c r="E468" s="3" t="inlineStr">
        <is>
          <t>Cái</t>
        </is>
      </c>
      <c r="F468" s="5" t="n">
        <v>23000</v>
      </c>
      <c r="G468" s="5" t="n">
        <v>28000</v>
      </c>
      <c r="H468" s="6" t="n">
        <v>36000</v>
      </c>
      <c r="I468" s="4" t="inlineStr">
        <is>
          <t>Cái 10C/H 300C/T</t>
        </is>
      </c>
    </row>
    <row r="469">
      <c r="A469" s="3" t="n">
        <v>468</v>
      </c>
      <c r="B469" s="3" t="n">
        <v>25</v>
      </c>
      <c r="C469" s="3" t="inlineStr">
        <is>
          <t>8</t>
        </is>
      </c>
      <c r="D469" s="4" t="inlineStr">
        <is>
          <t>KBL2-08*160 Ø8</t>
        </is>
      </c>
      <c r="E469" s="3" t="inlineStr">
        <is>
          <t>Cái</t>
        </is>
      </c>
      <c r="F469" s="5" t="n">
        <v>25000</v>
      </c>
      <c r="G469" s="5" t="n">
        <v>31000</v>
      </c>
      <c r="H469" s="6" t="n">
        <v>39000</v>
      </c>
      <c r="I469" s="4" t="inlineStr">
        <is>
          <t>Cái 10C/H 300C/T</t>
        </is>
      </c>
    </row>
    <row r="470">
      <c r="A470" s="3" t="n">
        <v>469</v>
      </c>
      <c r="B470" s="3" t="n">
        <v>25</v>
      </c>
      <c r="C470" s="3" t="inlineStr">
        <is>
          <t>9</t>
        </is>
      </c>
      <c r="D470" s="4" t="inlineStr">
        <is>
          <t>KBL2-10*160 Ø10</t>
        </is>
      </c>
      <c r="E470" s="3" t="inlineStr">
        <is>
          <t>Cái</t>
        </is>
      </c>
      <c r="F470" s="5" t="n">
        <v>25000</v>
      </c>
      <c r="G470" s="5" t="n">
        <v>31000</v>
      </c>
      <c r="H470" s="6" t="n">
        <v>39000</v>
      </c>
      <c r="I470" s="4" t="inlineStr">
        <is>
          <t>Cái 10C/H 200C/T</t>
        </is>
      </c>
    </row>
    <row r="471">
      <c r="A471" s="3" t="n">
        <v>470</v>
      </c>
      <c r="B471" s="3" t="n">
        <v>25</v>
      </c>
      <c r="C471" s="3" t="inlineStr">
        <is>
          <t>10</t>
        </is>
      </c>
      <c r="D471" s="4" t="inlineStr">
        <is>
          <t>KBL2-12*160 Ø12</t>
        </is>
      </c>
      <c r="E471" s="3" t="inlineStr">
        <is>
          <t>Cái</t>
        </is>
      </c>
      <c r="F471" s="5" t="n">
        <v>28000</v>
      </c>
      <c r="G471" s="5" t="n">
        <v>34000</v>
      </c>
      <c r="H471" s="6" t="n">
        <v>43000</v>
      </c>
      <c r="I471" s="4" t="inlineStr">
        <is>
          <t>Cái 10C/H 200C/T</t>
        </is>
      </c>
    </row>
    <row r="472">
      <c r="A472" s="3" t="n">
        <v>471</v>
      </c>
      <c r="B472" s="3" t="n">
        <v>25</v>
      </c>
      <c r="C472" s="3" t="inlineStr">
        <is>
          <t>11</t>
        </is>
      </c>
      <c r="D472" s="4" t="inlineStr">
        <is>
          <t>KBL2-14*160 Ø14</t>
        </is>
      </c>
      <c r="E472" s="3" t="inlineStr">
        <is>
          <t>Cái</t>
        </is>
      </c>
      <c r="F472" s="5" t="n">
        <v>42000</v>
      </c>
      <c r="G472" s="5" t="n">
        <v>51000</v>
      </c>
      <c r="H472" s="6" t="n">
        <v>65000</v>
      </c>
      <c r="I472" s="4" t="inlineStr">
        <is>
          <t>Cái 10C/H 200C/T</t>
        </is>
      </c>
    </row>
    <row r="473">
      <c r="A473" s="3" t="n">
        <v>472</v>
      </c>
      <c r="B473" s="3" t="n">
        <v>25</v>
      </c>
      <c r="C473" s="3" t="inlineStr">
        <is>
          <t>12</t>
        </is>
      </c>
      <c r="D473" s="4" t="inlineStr">
        <is>
          <t>KBL2-16*160 Ø16</t>
        </is>
      </c>
      <c r="E473" s="3" t="inlineStr">
        <is>
          <t>Cái</t>
        </is>
      </c>
      <c r="F473" s="5" t="n">
        <v>49000</v>
      </c>
      <c r="G473" s="5" t="n">
        <v>60000</v>
      </c>
      <c r="H473" s="6" t="n">
        <v>76000</v>
      </c>
      <c r="I473" s="4" t="inlineStr">
        <is>
          <t>Cái 10C/H 200C/T</t>
        </is>
      </c>
    </row>
    <row r="474">
      <c r="A474" s="3" t="n">
        <v>473</v>
      </c>
      <c r="B474" s="3" t="n">
        <v>25</v>
      </c>
      <c r="C474" s="3" t="inlineStr">
        <is>
          <t>13</t>
        </is>
      </c>
      <c r="D474" s="4" t="inlineStr">
        <is>
          <t>KBL2-18*160 Ø18</t>
        </is>
      </c>
      <c r="E474" s="3" t="inlineStr">
        <is>
          <t>Cái</t>
        </is>
      </c>
      <c r="F474" s="5" t="n">
        <v>58000</v>
      </c>
      <c r="G474" s="5" t="n">
        <v>71000</v>
      </c>
      <c r="H474" s="6" t="n">
        <v>90000</v>
      </c>
      <c r="I474" s="4" t="inlineStr">
        <is>
          <t>Cái 10C/H 100C/T</t>
        </is>
      </c>
    </row>
    <row r="475">
      <c r="A475" s="3" t="n">
        <v>474</v>
      </c>
      <c r="B475" s="3" t="n">
        <v>25</v>
      </c>
      <c r="C475" s="3" t="inlineStr">
        <is>
          <t>14</t>
        </is>
      </c>
      <c r="D475" s="4" t="inlineStr">
        <is>
          <t>KBL2-08*210 Ø08</t>
        </is>
      </c>
      <c r="E475" s="3" t="inlineStr">
        <is>
          <t>Cái</t>
        </is>
      </c>
      <c r="F475" s="5" t="n">
        <v>28000</v>
      </c>
      <c r="G475" s="5" t="n">
        <v>34000</v>
      </c>
      <c r="H475" s="6" t="n">
        <v>43000</v>
      </c>
      <c r="I475" s="4" t="inlineStr">
        <is>
          <t>Cái 10C/H 250C/T</t>
        </is>
      </c>
    </row>
    <row r="476">
      <c r="A476" s="3" t="n">
        <v>475</v>
      </c>
      <c r="B476" s="3" t="n">
        <v>26</v>
      </c>
      <c r="C476" s="3" t="inlineStr">
        <is>
          <t>15</t>
        </is>
      </c>
      <c r="D476" s="4" t="inlineStr">
        <is>
          <t>KBL2-10*210 Ø10</t>
        </is>
      </c>
      <c r="E476" s="3" t="inlineStr">
        <is>
          <t>Cái</t>
        </is>
      </c>
      <c r="F476" s="5" t="n">
        <v>30000</v>
      </c>
      <c r="G476" s="5" t="n">
        <v>37000</v>
      </c>
      <c r="H476" s="6" t="n">
        <v>47000</v>
      </c>
      <c r="I476" s="4" t="inlineStr">
        <is>
          <t>Cái 10C/H 250C/T</t>
        </is>
      </c>
    </row>
    <row r="477">
      <c r="A477" s="3" t="n">
        <v>476</v>
      </c>
      <c r="B477" s="3" t="n">
        <v>26</v>
      </c>
      <c r="C477" s="3" t="inlineStr">
        <is>
          <t>16</t>
        </is>
      </c>
      <c r="D477" s="4" t="inlineStr">
        <is>
          <t>KBL2-12*210 Ø14</t>
        </is>
      </c>
      <c r="E477" s="3" t="inlineStr">
        <is>
          <t>Cái</t>
        </is>
      </c>
      <c r="F477" s="5" t="n">
        <v>33000</v>
      </c>
      <c r="G477" s="5" t="n">
        <v>40000</v>
      </c>
      <c r="H477" s="6" t="n">
        <v>51000</v>
      </c>
      <c r="I477" s="4" t="inlineStr">
        <is>
          <t>Cái 10C/H 200C/T</t>
        </is>
      </c>
    </row>
    <row r="478">
      <c r="A478" s="3" t="n">
        <v>477</v>
      </c>
      <c r="B478" s="3" t="n">
        <v>26</v>
      </c>
      <c r="C478" s="3" t="inlineStr">
        <is>
          <t>17</t>
        </is>
      </c>
      <c r="D478" s="4" t="inlineStr">
        <is>
          <t>KBL2-14*210 Ø14</t>
        </is>
      </c>
      <c r="E478" s="3" t="inlineStr">
        <is>
          <t>Cái</t>
        </is>
      </c>
      <c r="F478" s="5" t="n">
        <v>42000</v>
      </c>
      <c r="G478" s="5" t="n">
        <v>51000</v>
      </c>
      <c r="H478" s="6" t="n">
        <v>65000</v>
      </c>
      <c r="I478" s="4" t="inlineStr">
        <is>
          <t>Cái 10C/H 200C/T</t>
        </is>
      </c>
    </row>
    <row r="479">
      <c r="A479" s="3" t="n">
        <v>478</v>
      </c>
      <c r="B479" s="3" t="n">
        <v>26</v>
      </c>
      <c r="C479" s="3" t="inlineStr">
        <is>
          <t>18</t>
        </is>
      </c>
      <c r="D479" s="4" t="inlineStr">
        <is>
          <t>KBL2-16*210 Ø16</t>
        </is>
      </c>
      <c r="E479" s="3" t="inlineStr">
        <is>
          <t>Cái</t>
        </is>
      </c>
      <c r="F479" s="5" t="n">
        <v>51000</v>
      </c>
      <c r="G479" s="5" t="n">
        <v>62000</v>
      </c>
      <c r="H479" s="6" t="n">
        <v>79000</v>
      </c>
      <c r="I479" s="4" t="inlineStr">
        <is>
          <t>Cái 10C/H</t>
        </is>
      </c>
    </row>
    <row r="480">
      <c r="A480" s="3" t="n">
        <v>479</v>
      </c>
      <c r="B480" s="3" t="n">
        <v>26</v>
      </c>
      <c r="C480" s="3" t="inlineStr">
        <is>
          <t>19</t>
        </is>
      </c>
      <c r="D480" s="4" t="inlineStr">
        <is>
          <t>KBL2-18*210 Ø18</t>
        </is>
      </c>
      <c r="E480" s="3" t="inlineStr">
        <is>
          <t>Cái</t>
        </is>
      </c>
      <c r="F480" s="5" t="n">
        <v>67000</v>
      </c>
      <c r="G480" s="5" t="n">
        <v>82000</v>
      </c>
      <c r="H480" s="6" t="n">
        <v>104000</v>
      </c>
      <c r="I480" s="4" t="inlineStr">
        <is>
          <t>Cái 10C/H 100C/T</t>
        </is>
      </c>
    </row>
    <row r="481">
      <c r="A481" s="3" t="n">
        <v>480</v>
      </c>
      <c r="B481" s="3" t="n">
        <v>26</v>
      </c>
      <c r="C481" s="3" t="inlineStr">
        <is>
          <t>20</t>
        </is>
      </c>
      <c r="D481" s="4" t="inlineStr">
        <is>
          <t>KBL2-20*210 Ø20</t>
        </is>
      </c>
      <c r="E481" s="3" t="inlineStr">
        <is>
          <t>Cái</t>
        </is>
      </c>
      <c r="F481" s="5" t="n">
        <v>78000</v>
      </c>
      <c r="G481" s="5" t="n">
        <v>95000</v>
      </c>
      <c r="H481" s="6" t="n">
        <v>121000</v>
      </c>
      <c r="I481" s="4" t="inlineStr">
        <is>
          <t>Cái 10C/H 50C/T</t>
        </is>
      </c>
    </row>
    <row r="482">
      <c r="A482" s="3" t="n">
        <v>481</v>
      </c>
      <c r="B482" s="3" t="n">
        <v>26</v>
      </c>
      <c r="C482" s="3" t="inlineStr">
        <is>
          <t>21</t>
        </is>
      </c>
      <c r="D482" s="4" t="inlineStr">
        <is>
          <t>KBL2-08*260 Ø08</t>
        </is>
      </c>
      <c r="E482" s="3" t="inlineStr">
        <is>
          <t>Cái</t>
        </is>
      </c>
      <c r="F482" s="5" t="n">
        <v>33000</v>
      </c>
      <c r="G482" s="5" t="n">
        <v>40000</v>
      </c>
      <c r="H482" s="6" t="n">
        <v>51000</v>
      </c>
      <c r="I482" s="4" t="inlineStr">
        <is>
          <t>Cái 10C/H 250C/T</t>
        </is>
      </c>
    </row>
    <row r="483">
      <c r="A483" s="3" t="n">
        <v>482</v>
      </c>
      <c r="B483" s="3" t="n">
        <v>26</v>
      </c>
      <c r="C483" s="3" t="inlineStr">
        <is>
          <t>22</t>
        </is>
      </c>
      <c r="D483" s="4" t="inlineStr">
        <is>
          <t>KBL2-10*260 Ø10</t>
        </is>
      </c>
      <c r="E483" s="3" t="inlineStr">
        <is>
          <t>Cái</t>
        </is>
      </c>
      <c r="F483" s="5" t="n">
        <v>36000</v>
      </c>
      <c r="G483" s="5" t="n">
        <v>44000</v>
      </c>
      <c r="H483" s="6" t="n">
        <v>56000</v>
      </c>
      <c r="I483" s="4" t="inlineStr">
        <is>
          <t>Cái 10C/H 250C/T</t>
        </is>
      </c>
    </row>
    <row r="484">
      <c r="A484" s="3" t="n">
        <v>483</v>
      </c>
      <c r="B484" s="3" t="n">
        <v>26</v>
      </c>
      <c r="C484" s="3" t="inlineStr">
        <is>
          <t>23</t>
        </is>
      </c>
      <c r="D484" s="4" t="inlineStr">
        <is>
          <t>KBL2-12*260 Ø12</t>
        </is>
      </c>
      <c r="E484" s="3" t="inlineStr">
        <is>
          <t>Cái</t>
        </is>
      </c>
      <c r="F484" s="5" t="n">
        <v>41000</v>
      </c>
      <c r="G484" s="5" t="n">
        <v>50000</v>
      </c>
      <c r="H484" s="6" t="n">
        <v>64000</v>
      </c>
      <c r="I484" s="4" t="inlineStr">
        <is>
          <t>Cái 10C/H 200C/T</t>
        </is>
      </c>
    </row>
    <row r="485">
      <c r="A485" s="3" t="n">
        <v>484</v>
      </c>
      <c r="B485" s="3" t="n">
        <v>26</v>
      </c>
      <c r="C485" s="3" t="inlineStr">
        <is>
          <t>24</t>
        </is>
      </c>
      <c r="D485" s="4" t="inlineStr">
        <is>
          <t>KBL2-14*260 Ø14</t>
        </is>
      </c>
      <c r="E485" s="3" t="inlineStr">
        <is>
          <t>Cái</t>
        </is>
      </c>
      <c r="F485" s="5" t="n">
        <v>45000</v>
      </c>
      <c r="G485" s="5" t="n">
        <v>55000</v>
      </c>
      <c r="H485" s="6" t="n">
        <v>70000</v>
      </c>
      <c r="I485" s="4" t="inlineStr">
        <is>
          <t>Cái 10C/H 150C/T</t>
        </is>
      </c>
    </row>
    <row r="486">
      <c r="A486" s="3" t="n">
        <v>485</v>
      </c>
      <c r="B486" s="3" t="n">
        <v>26</v>
      </c>
      <c r="C486" s="3" t="inlineStr">
        <is>
          <t>25</t>
        </is>
      </c>
      <c r="D486" s="4" t="inlineStr">
        <is>
          <t>KBL2-16*260 Ø16</t>
        </is>
      </c>
      <c r="E486" s="3" t="inlineStr">
        <is>
          <t>Cái</t>
        </is>
      </c>
      <c r="F486" s="5" t="n">
        <v>59000</v>
      </c>
      <c r="G486" s="5" t="n">
        <v>72000</v>
      </c>
      <c r="H486" s="6" t="n">
        <v>92000</v>
      </c>
      <c r="I486" s="4" t="inlineStr">
        <is>
          <t>Cái 10C/H 100C/T</t>
        </is>
      </c>
    </row>
    <row r="487">
      <c r="A487" s="3" t="n">
        <v>486</v>
      </c>
      <c r="B487" s="3" t="n">
        <v>26</v>
      </c>
      <c r="C487" s="3" t="inlineStr">
        <is>
          <t>26</t>
        </is>
      </c>
      <c r="D487" s="4" t="inlineStr">
        <is>
          <t>KBL2-18*260 Ø18</t>
        </is>
      </c>
      <c r="E487" s="3" t="inlineStr">
        <is>
          <t>Cái</t>
        </is>
      </c>
      <c r="F487" s="5" t="n">
        <v>73000</v>
      </c>
      <c r="G487" s="5" t="n">
        <v>89000</v>
      </c>
      <c r="H487" s="6" t="n">
        <v>113000</v>
      </c>
      <c r="I487" s="4" t="inlineStr">
        <is>
          <t>Cái 10C/H 100C/T</t>
        </is>
      </c>
    </row>
    <row r="488">
      <c r="A488" s="3" t="n">
        <v>487</v>
      </c>
      <c r="B488" s="3" t="n">
        <v>26</v>
      </c>
      <c r="C488" s="3" t="inlineStr">
        <is>
          <t>27</t>
        </is>
      </c>
      <c r="D488" s="4" t="inlineStr">
        <is>
          <t>KBL2-20*260 Ø20</t>
        </is>
      </c>
      <c r="E488" s="3" t="inlineStr">
        <is>
          <t>Cái</t>
        </is>
      </c>
      <c r="F488" s="5" t="n">
        <v>91000</v>
      </c>
      <c r="G488" s="5" t="n">
        <v>111000</v>
      </c>
      <c r="H488" s="6" t="n">
        <v>141000</v>
      </c>
      <c r="I488" s="4" t="inlineStr">
        <is>
          <t>Cái 10C/H</t>
        </is>
      </c>
    </row>
    <row r="489">
      <c r="A489" s="3" t="n">
        <v>488</v>
      </c>
      <c r="B489" s="3" t="n">
        <v>26</v>
      </c>
      <c r="C489" s="3" t="inlineStr">
        <is>
          <t>28</t>
        </is>
      </c>
      <c r="D489" s="4" t="inlineStr">
        <is>
          <t>KBL2-22*260 Ø22</t>
        </is>
      </c>
      <c r="E489" s="3" t="inlineStr">
        <is>
          <t>Cái</t>
        </is>
      </c>
      <c r="F489" s="5" t="n">
        <v>109000</v>
      </c>
      <c r="G489" s="5" t="n">
        <v>133000</v>
      </c>
      <c r="H489" s="6" t="n">
        <v>169000</v>
      </c>
      <c r="I489" s="4" t="inlineStr">
        <is>
          <t>Cái 10C/H</t>
        </is>
      </c>
    </row>
    <row r="490">
      <c r="A490" s="3" t="n">
        <v>489</v>
      </c>
      <c r="B490" s="3" t="n">
        <v>26</v>
      </c>
      <c r="C490" s="3" t="inlineStr">
        <is>
          <t>29</t>
        </is>
      </c>
      <c r="D490" s="4" t="inlineStr">
        <is>
          <t>KBL2-25*260 Ø25</t>
        </is>
      </c>
      <c r="E490" s="3" t="inlineStr">
        <is>
          <t>Cái</t>
        </is>
      </c>
      <c r="F490" s="5" t="n">
        <v>133000</v>
      </c>
      <c r="G490" s="5" t="n">
        <v>162000</v>
      </c>
      <c r="H490" s="6" t="n">
        <v>206000</v>
      </c>
      <c r="I490" s="4" t="inlineStr">
        <is>
          <t>Cái 10C/H</t>
        </is>
      </c>
    </row>
    <row r="491">
      <c r="A491" s="3" t="n">
        <v>490</v>
      </c>
      <c r="B491" s="3" t="n">
        <v>26</v>
      </c>
      <c r="C491" s="3" t="inlineStr">
        <is>
          <t>30</t>
        </is>
      </c>
      <c r="D491" s="4" t="inlineStr">
        <is>
          <t>KBL2-08*310 Ø8</t>
        </is>
      </c>
      <c r="E491" s="3" t="inlineStr">
        <is>
          <t>Cái</t>
        </is>
      </c>
      <c r="F491" s="5" t="n">
        <v>40000</v>
      </c>
      <c r="G491" s="5" t="n">
        <v>49000</v>
      </c>
      <c r="H491" s="6" t="n">
        <v>62000</v>
      </c>
      <c r="I491" s="4" t="inlineStr">
        <is>
          <t>Cái 10C/H 200C/T</t>
        </is>
      </c>
    </row>
    <row r="492">
      <c r="A492" s="3" t="n">
        <v>491</v>
      </c>
      <c r="B492" s="3" t="n">
        <v>26</v>
      </c>
      <c r="C492" s="3" t="inlineStr">
        <is>
          <t>31</t>
        </is>
      </c>
      <c r="D492" s="4" t="inlineStr">
        <is>
          <t>KBL2-10*310 Ø10</t>
        </is>
      </c>
      <c r="E492" s="3" t="inlineStr">
        <is>
          <t>Cái</t>
        </is>
      </c>
      <c r="F492" s="5" t="n">
        <v>44000</v>
      </c>
      <c r="G492" s="5" t="n">
        <v>54000</v>
      </c>
      <c r="H492" s="6" t="n">
        <v>68000</v>
      </c>
      <c r="I492" s="4" t="inlineStr">
        <is>
          <t>Cái 10C/H 200C/T</t>
        </is>
      </c>
    </row>
    <row r="493">
      <c r="A493" s="3" t="n">
        <v>492</v>
      </c>
      <c r="B493" s="3" t="n">
        <v>26</v>
      </c>
      <c r="C493" s="3" t="inlineStr">
        <is>
          <t>32</t>
        </is>
      </c>
      <c r="D493" s="4" t="inlineStr">
        <is>
          <t>KBL2-12*310 Ø12</t>
        </is>
      </c>
      <c r="E493" s="3" t="inlineStr">
        <is>
          <t>Cái</t>
        </is>
      </c>
      <c r="F493" s="5" t="n">
        <v>45000</v>
      </c>
      <c r="G493" s="5" t="n">
        <v>55000</v>
      </c>
      <c r="H493" s="6" t="n">
        <v>70000</v>
      </c>
      <c r="I493" s="4" t="inlineStr">
        <is>
          <t>Cái 10C/H</t>
        </is>
      </c>
    </row>
    <row r="494">
      <c r="A494" s="3" t="n">
        <v>493</v>
      </c>
      <c r="B494" s="3" t="n">
        <v>26</v>
      </c>
      <c r="C494" s="3" t="inlineStr">
        <is>
          <t>33</t>
        </is>
      </c>
      <c r="D494" s="4" t="inlineStr">
        <is>
          <t>KBL2-14*310 Ø14</t>
        </is>
      </c>
      <c r="E494" s="3" t="inlineStr">
        <is>
          <t>Cái</t>
        </is>
      </c>
      <c r="F494" s="5" t="n">
        <v>53000</v>
      </c>
      <c r="G494" s="5" t="n">
        <v>65000</v>
      </c>
      <c r="H494" s="6" t="n">
        <v>82000</v>
      </c>
      <c r="I494" s="4" t="inlineStr">
        <is>
          <t>Cái 10C/H</t>
        </is>
      </c>
    </row>
    <row r="495">
      <c r="A495" s="3" t="n">
        <v>494</v>
      </c>
      <c r="B495" s="3" t="n">
        <v>26</v>
      </c>
      <c r="C495" s="3" t="inlineStr">
        <is>
          <t>34</t>
        </is>
      </c>
      <c r="D495" s="4" t="inlineStr">
        <is>
          <t>KBL2-16*310 Ø16</t>
        </is>
      </c>
      <c r="E495" s="3" t="inlineStr">
        <is>
          <t>Cái</t>
        </is>
      </c>
      <c r="F495" s="5" t="n">
        <v>67000</v>
      </c>
      <c r="G495" s="5" t="n">
        <v>82000</v>
      </c>
      <c r="H495" s="6" t="n">
        <v>104000</v>
      </c>
      <c r="I495" s="4" t="inlineStr">
        <is>
          <t>Cái 10C/H 100C/T</t>
        </is>
      </c>
    </row>
    <row r="496">
      <c r="A496" s="3" t="n">
        <v>495</v>
      </c>
      <c r="B496" s="3" t="n">
        <v>26</v>
      </c>
      <c r="C496" s="3" t="inlineStr">
        <is>
          <t>35</t>
        </is>
      </c>
      <c r="D496" s="4" t="inlineStr">
        <is>
          <t>KBL2-18*310 Ø18</t>
        </is>
      </c>
      <c r="E496" s="3" t="inlineStr">
        <is>
          <t>Cái</t>
        </is>
      </c>
      <c r="F496" s="5" t="n">
        <v>84000</v>
      </c>
      <c r="G496" s="5" t="n">
        <v>102000</v>
      </c>
      <c r="H496" s="6" t="n">
        <v>130000</v>
      </c>
      <c r="I496" s="4" t="inlineStr">
        <is>
          <t>Cái 10C/H 50C/T</t>
        </is>
      </c>
    </row>
    <row r="497">
      <c r="A497" s="3" t="n">
        <v>496</v>
      </c>
      <c r="B497" s="3" t="n">
        <v>26</v>
      </c>
      <c r="C497" s="3" t="inlineStr">
        <is>
          <t>36</t>
        </is>
      </c>
      <c r="D497" s="4" t="inlineStr">
        <is>
          <t>KBL2-20*310 Ø20</t>
        </is>
      </c>
      <c r="E497" s="3" t="inlineStr">
        <is>
          <t>Cái</t>
        </is>
      </c>
      <c r="F497" s="5" t="n">
        <v>98000</v>
      </c>
      <c r="G497" s="5" t="n">
        <v>120000</v>
      </c>
      <c r="H497" s="6" t="n">
        <v>152000</v>
      </c>
      <c r="I497" s="4" t="inlineStr">
        <is>
          <t>Cái 10C/H 50C/T</t>
        </is>
      </c>
    </row>
    <row r="498">
      <c r="A498" s="3" t="n">
        <v>497</v>
      </c>
      <c r="B498" s="3" t="n">
        <v>26</v>
      </c>
      <c r="C498" s="3" t="inlineStr">
        <is>
          <t>37</t>
        </is>
      </c>
      <c r="D498" s="4" t="inlineStr">
        <is>
          <t>KBL2-22*310 Ø22</t>
        </is>
      </c>
      <c r="E498" s="3" t="inlineStr">
        <is>
          <t>Cái</t>
        </is>
      </c>
      <c r="F498" s="5" t="n">
        <v>120000</v>
      </c>
      <c r="G498" s="5" t="n">
        <v>146000</v>
      </c>
      <c r="H498" s="6" t="n">
        <v>186000</v>
      </c>
      <c r="I498" s="4" t="inlineStr">
        <is>
          <t>Cái 10C/H 50C/T</t>
        </is>
      </c>
    </row>
    <row r="499">
      <c r="A499" s="3" t="n">
        <v>498</v>
      </c>
      <c r="B499" s="3" t="n">
        <v>26</v>
      </c>
      <c r="C499" s="3" t="inlineStr">
        <is>
          <t>38</t>
        </is>
      </c>
      <c r="D499" s="4" t="inlineStr">
        <is>
          <t>KBL2-25*310 Ø25</t>
        </is>
      </c>
      <c r="E499" s="3" t="inlineStr">
        <is>
          <t>Cái</t>
        </is>
      </c>
      <c r="F499" s="5" t="n">
        <v>153000</v>
      </c>
      <c r="G499" s="5" t="n">
        <v>187000</v>
      </c>
      <c r="H499" s="6" t="n">
        <v>237000</v>
      </c>
      <c r="I499" s="4" t="inlineStr">
        <is>
          <t>Cái 10C/H 50C/T</t>
        </is>
      </c>
    </row>
    <row r="500">
      <c r="A500" s="3" t="n">
        <v>499</v>
      </c>
      <c r="B500" s="3" t="n">
        <v>26</v>
      </c>
      <c r="C500" s="3" t="inlineStr">
        <is>
          <t>1</t>
        </is>
      </c>
      <c r="D500" s="4" t="inlineStr">
        <is>
          <t>KBL2-14*160 (NEW) Ø14</t>
        </is>
      </c>
      <c r="E500" s="3" t="inlineStr">
        <is>
          <t>Cái</t>
        </is>
      </c>
      <c r="F500" s="5" t="n">
        <v>35000</v>
      </c>
      <c r="G500" s="5" t="n">
        <v>43000</v>
      </c>
      <c r="H500" s="6" t="n">
        <v>54000</v>
      </c>
      <c r="I500" s="4" t="inlineStr">
        <is>
          <t>Cái 10C/H 200C/T khoan bê tông</t>
        </is>
      </c>
    </row>
    <row r="501">
      <c r="A501" s="3" t="n">
        <v>500</v>
      </c>
      <c r="B501" s="3" t="n">
        <v>26</v>
      </c>
      <c r="C501" s="3" t="inlineStr">
        <is>
          <t>2</t>
        </is>
      </c>
      <c r="D501" s="4" t="inlineStr">
        <is>
          <t>KBL2-16*160 (NEW) Ø16</t>
        </is>
      </c>
      <c r="E501" s="3" t="inlineStr">
        <is>
          <t>Cái</t>
        </is>
      </c>
      <c r="F501" s="5" t="n">
        <v>42000</v>
      </c>
      <c r="G501" s="5" t="n">
        <v>51000</v>
      </c>
      <c r="H501" s="6" t="n">
        <v>65000</v>
      </c>
      <c r="I501" s="4" t="inlineStr">
        <is>
          <t>Cái 10C/H 200C/T khoan bê tông</t>
        </is>
      </c>
    </row>
    <row r="502">
      <c r="A502" s="3" t="n">
        <v>501</v>
      </c>
      <c r="B502" s="3" t="n">
        <v>26</v>
      </c>
      <c r="C502" s="3" t="inlineStr">
        <is>
          <t>1</t>
        </is>
      </c>
      <c r="D502" s="4" t="inlineStr">
        <is>
          <t>KBS-12*280 Ø12</t>
        </is>
      </c>
      <c r="E502" s="3" t="inlineStr">
        <is>
          <t>Cái</t>
        </is>
      </c>
      <c r="F502" s="5" t="n">
        <v>99000</v>
      </c>
      <c r="G502" s="5" t="n">
        <v>121000</v>
      </c>
      <c r="H502" s="6" t="n">
        <v>154000</v>
      </c>
      <c r="I502" s="4" t="inlineStr">
        <is>
          <t>Cái 10C/H 50C/T</t>
        </is>
      </c>
    </row>
    <row r="503">
      <c r="A503" s="3" t="n">
        <v>502</v>
      </c>
      <c r="B503" s="3" t="n">
        <v>26</v>
      </c>
      <c r="C503" s="3" t="inlineStr">
        <is>
          <t>2</t>
        </is>
      </c>
      <c r="D503" s="4" t="inlineStr">
        <is>
          <t>KBS-14*280 Ø14</t>
        </is>
      </c>
      <c r="E503" s="3" t="inlineStr">
        <is>
          <t>Cái</t>
        </is>
      </c>
      <c r="F503" s="5" t="n">
        <v>81000</v>
      </c>
      <c r="G503" s="5" t="n">
        <v>99000</v>
      </c>
      <c r="H503" s="6" t="n">
        <v>126000</v>
      </c>
      <c r="I503" s="4" t="inlineStr">
        <is>
          <t>Cái 10C/H 50C/T</t>
        </is>
      </c>
    </row>
    <row r="504">
      <c r="A504" s="3" t="n">
        <v>503</v>
      </c>
      <c r="B504" s="3" t="n">
        <v>26</v>
      </c>
      <c r="C504" s="3" t="inlineStr">
        <is>
          <t>3</t>
        </is>
      </c>
      <c r="D504" s="4" t="inlineStr">
        <is>
          <t>KBS-16*280 Ø16</t>
        </is>
      </c>
      <c r="E504" s="3" t="inlineStr">
        <is>
          <t>Cái</t>
        </is>
      </c>
      <c r="F504" s="5" t="n">
        <v>89000</v>
      </c>
      <c r="G504" s="5" t="n">
        <v>109000</v>
      </c>
      <c r="H504" s="6" t="n">
        <v>138000</v>
      </c>
      <c r="I504" s="4" t="inlineStr">
        <is>
          <t>Cái 10C/H 50C/T</t>
        </is>
      </c>
    </row>
    <row r="505">
      <c r="A505" s="3" t="n">
        <v>504</v>
      </c>
      <c r="B505" s="3" t="n">
        <v>26</v>
      </c>
      <c r="C505" s="3" t="inlineStr">
        <is>
          <t>4</t>
        </is>
      </c>
      <c r="D505" s="4" t="inlineStr">
        <is>
          <t>KBS-18*280 Ø18</t>
        </is>
      </c>
      <c r="E505" s="3" t="inlineStr">
        <is>
          <t>Cái</t>
        </is>
      </c>
      <c r="F505" s="5" t="n">
        <v>95000</v>
      </c>
      <c r="G505" s="5" t="n">
        <v>116000</v>
      </c>
      <c r="H505" s="6" t="n">
        <v>147000</v>
      </c>
      <c r="I505" s="4" t="inlineStr">
        <is>
          <t>Cái 10C/H 50C/T</t>
        </is>
      </c>
    </row>
    <row r="506">
      <c r="A506" s="3" t="n">
        <v>505</v>
      </c>
      <c r="B506" s="3" t="n">
        <v>26</v>
      </c>
      <c r="C506" s="3" t="inlineStr">
        <is>
          <t>5</t>
        </is>
      </c>
      <c r="D506" s="4" t="inlineStr">
        <is>
          <t>KBS-20*280 Ø20</t>
        </is>
      </c>
      <c r="E506" s="3" t="inlineStr">
        <is>
          <t>Cái</t>
        </is>
      </c>
      <c r="F506" s="5" t="n">
        <v>98000</v>
      </c>
      <c r="G506" s="5" t="n">
        <v>120000</v>
      </c>
      <c r="H506" s="6" t="n">
        <v>152000</v>
      </c>
      <c r="I506" s="4" t="inlineStr">
        <is>
          <t>Cái 10C/H 50C/T</t>
        </is>
      </c>
    </row>
    <row r="507">
      <c r="A507" s="3" t="n">
        <v>506</v>
      </c>
      <c r="B507" s="3" t="n">
        <v>26</v>
      </c>
      <c r="C507" s="3" t="inlineStr">
        <is>
          <t>6</t>
        </is>
      </c>
      <c r="D507" s="4" t="inlineStr">
        <is>
          <t>KBS-22*280 Ø22</t>
        </is>
      </c>
      <c r="E507" s="3" t="inlineStr">
        <is>
          <t>Cái</t>
        </is>
      </c>
      <c r="F507" s="5" t="n">
        <v>111000</v>
      </c>
      <c r="G507" s="5" t="n">
        <v>135000</v>
      </c>
      <c r="H507" s="6" t="n">
        <v>172000</v>
      </c>
      <c r="I507" s="4" t="inlineStr">
        <is>
          <t>Cái 10C/H 50C/T</t>
        </is>
      </c>
    </row>
    <row r="508">
      <c r="A508" s="3" t="n">
        <v>507</v>
      </c>
      <c r="B508" s="3" t="n">
        <v>26</v>
      </c>
      <c r="C508" s="3" t="inlineStr">
        <is>
          <t>7</t>
        </is>
      </c>
      <c r="D508" s="4" t="inlineStr">
        <is>
          <t>KBS-25*280 Ø25</t>
        </is>
      </c>
      <c r="E508" s="3" t="inlineStr">
        <is>
          <t>Cái</t>
        </is>
      </c>
      <c r="F508" s="5" t="n">
        <v>136000</v>
      </c>
      <c r="G508" s="5" t="n">
        <v>166000</v>
      </c>
      <c r="H508" s="6" t="n">
        <v>211000</v>
      </c>
      <c r="I508" s="4" t="inlineStr">
        <is>
          <t>Cái 10C/H 50C/T</t>
        </is>
      </c>
    </row>
    <row r="509">
      <c r="A509" s="3" t="n">
        <v>508</v>
      </c>
      <c r="B509" s="3" t="n">
        <v>27</v>
      </c>
      <c r="C509" s="3" t="inlineStr">
        <is>
          <t>1</t>
        </is>
      </c>
      <c r="D509" s="4" t="inlineStr">
        <is>
          <t>KBVn-14*250 Ø14</t>
        </is>
      </c>
      <c r="E509" s="3" t="inlineStr">
        <is>
          <t>Cái</t>
        </is>
      </c>
      <c r="F509" s="5" t="n">
        <v>50000</v>
      </c>
      <c r="G509" s="5" t="n">
        <v>61000</v>
      </c>
      <c r="H509" s="6" t="n">
        <v>78000</v>
      </c>
      <c r="I509" s="4" t="inlineStr">
        <is>
          <t>Cái 10C/H Nhọn - Chuôi gài</t>
        </is>
      </c>
    </row>
    <row r="510">
      <c r="A510" s="3" t="n">
        <v>509</v>
      </c>
      <c r="B510" s="3" t="n">
        <v>27</v>
      </c>
      <c r="C510" s="3" t="inlineStr">
        <is>
          <t>2</t>
        </is>
      </c>
      <c r="D510" s="4" t="inlineStr">
        <is>
          <t>KBVd-14*250*22 Ø14</t>
        </is>
      </c>
      <c r="E510" s="3" t="inlineStr">
        <is>
          <t>Cái</t>
        </is>
      </c>
      <c r="F510" s="5" t="n">
        <v>50000</v>
      </c>
      <c r="G510" s="5" t="n">
        <v>61000</v>
      </c>
      <c r="H510" s="6" t="n">
        <v>78000</v>
      </c>
      <c r="I510" s="4" t="inlineStr">
        <is>
          <t>Cái 10C/H Dẹp - Chuôi gài</t>
        </is>
      </c>
    </row>
    <row r="511">
      <c r="A511" s="3" t="n">
        <v>510</v>
      </c>
      <c r="B511" s="3" t="n">
        <v>27</v>
      </c>
      <c r="C511" s="3" t="inlineStr">
        <is>
          <t>3</t>
        </is>
      </c>
      <c r="D511" s="4" t="inlineStr">
        <is>
          <t>KBVn-17*280 Ø17</t>
        </is>
      </c>
      <c r="E511" s="3" t="inlineStr">
        <is>
          <t>Cái</t>
        </is>
      </c>
      <c r="F511" s="5" t="n">
        <v>65000</v>
      </c>
      <c r="G511" s="5" t="n">
        <v>79000</v>
      </c>
      <c r="H511" s="6" t="n">
        <v>101000</v>
      </c>
      <c r="I511" s="4" t="inlineStr">
        <is>
          <t>Cái 10C/H Nhọn - Chuôi tròn</t>
        </is>
      </c>
    </row>
    <row r="512">
      <c r="A512" s="3" t="n">
        <v>511</v>
      </c>
      <c r="B512" s="3" t="n">
        <v>27</v>
      </c>
      <c r="C512" s="3" t="inlineStr">
        <is>
          <t>4</t>
        </is>
      </c>
      <c r="D512" s="4" t="inlineStr">
        <is>
          <t>KBVd-17*280*25 Ø17</t>
        </is>
      </c>
      <c r="E512" s="3" t="inlineStr">
        <is>
          <t>Cái</t>
        </is>
      </c>
      <c r="F512" s="5" t="n">
        <v>65000</v>
      </c>
      <c r="G512" s="5" t="n">
        <v>79000</v>
      </c>
      <c r="H512" s="6" t="n">
        <v>101000</v>
      </c>
      <c r="I512" s="4" t="inlineStr">
        <is>
          <t>Cái 10C/H Dẹp - Chuôi tròn</t>
        </is>
      </c>
    </row>
    <row r="513">
      <c r="A513" s="3" t="n">
        <v>512</v>
      </c>
      <c r="B513" s="3" t="n">
        <v>27</v>
      </c>
      <c r="C513" s="3" t="inlineStr">
        <is>
          <t>5</t>
        </is>
      </c>
      <c r="D513" s="4" t="inlineStr">
        <is>
          <t>KBVn-30*420 Ø30</t>
        </is>
      </c>
      <c r="E513" s="3" t="inlineStr">
        <is>
          <t>Cái</t>
        </is>
      </c>
      <c r="F513" s="5" t="n">
        <v>260000</v>
      </c>
      <c r="G513" s="5" t="n">
        <v>317000</v>
      </c>
      <c r="H513" s="6" t="n">
        <v>403000</v>
      </c>
      <c r="I513" s="4" t="inlineStr">
        <is>
          <t>Cái 5C/ H Nhọn - Chuôi tròn</t>
        </is>
      </c>
    </row>
    <row r="514">
      <c r="A514" s="3" t="n">
        <v>513</v>
      </c>
      <c r="B514" s="3" t="n">
        <v>27</v>
      </c>
      <c r="C514" s="3" t="inlineStr">
        <is>
          <t>6</t>
        </is>
      </c>
      <c r="D514" s="4" t="inlineStr">
        <is>
          <t>KBVd-30*420*37 Ø30</t>
        </is>
      </c>
      <c r="E514" s="3" t="inlineStr">
        <is>
          <t>Cái</t>
        </is>
      </c>
      <c r="F514" s="5" t="n">
        <v>260000</v>
      </c>
      <c r="G514" s="5" t="n">
        <v>317000</v>
      </c>
      <c r="H514" s="6" t="n">
        <v>403000</v>
      </c>
      <c r="I514" s="4" t="inlineStr">
        <is>
          <t>Cái 5C/ H Dẹp - Chuôi tròn</t>
        </is>
      </c>
    </row>
    <row r="515">
      <c r="A515" s="3" t="n">
        <v>514</v>
      </c>
      <c r="B515" s="3" t="n">
        <v>27</v>
      </c>
      <c r="C515" s="3" t="inlineStr">
        <is>
          <t>1</t>
        </is>
      </c>
      <c r="D515" s="4" t="inlineStr">
        <is>
          <t>KRL-96*350 Ø96*350</t>
        </is>
      </c>
      <c r="E515" s="3" t="inlineStr">
        <is>
          <t>Cái</t>
        </is>
      </c>
      <c r="F515" s="5" t="n">
        <v>527000</v>
      </c>
      <c r="G515" s="5" t="n">
        <v>633000</v>
      </c>
      <c r="H515" s="6" t="n">
        <v>791000</v>
      </c>
      <c r="I515" s="4" t="inlineStr">
        <is>
          <t>Cái 1C/H 10C/T Khoan nước</t>
        </is>
      </c>
    </row>
    <row r="516">
      <c r="A516" s="3" t="n">
        <v>515</v>
      </c>
      <c r="B516" s="3" t="n">
        <v>27</v>
      </c>
      <c r="C516" s="3" t="inlineStr">
        <is>
          <t>2</t>
        </is>
      </c>
      <c r="D516" s="4" t="inlineStr">
        <is>
          <t>KRL-102*350 Ø102*350</t>
        </is>
      </c>
      <c r="E516" s="3" t="inlineStr">
        <is>
          <t>Cái</t>
        </is>
      </c>
      <c r="F516" s="5" t="n">
        <v>583000</v>
      </c>
      <c r="G516" s="5" t="n">
        <v>700000</v>
      </c>
      <c r="H516" s="6" t="n">
        <v>875000</v>
      </c>
      <c r="I516" s="4" t="inlineStr">
        <is>
          <t>Cái 1C/H 10C/T Khoan nước</t>
        </is>
      </c>
    </row>
    <row r="517">
      <c r="A517" s="3" t="n">
        <v>516</v>
      </c>
      <c r="B517" s="3" t="n">
        <v>27</v>
      </c>
      <c r="C517" s="3" t="inlineStr">
        <is>
          <t>3</t>
        </is>
      </c>
      <c r="D517" s="4" t="inlineStr">
        <is>
          <t>KRL-114*350 Ø114*350</t>
        </is>
      </c>
      <c r="E517" s="3" t="inlineStr">
        <is>
          <t>Cái</t>
        </is>
      </c>
      <c r="F517" s="5" t="n">
        <v>629000</v>
      </c>
      <c r="G517" s="5" t="n">
        <v>755000</v>
      </c>
      <c r="H517" s="6" t="n">
        <v>944000</v>
      </c>
      <c r="I517" s="4" t="inlineStr">
        <is>
          <t>Cái 1C/H 10C/T Khoan nước</t>
        </is>
      </c>
    </row>
    <row r="518">
      <c r="A518" s="3" t="n">
        <v>517</v>
      </c>
      <c r="B518" s="3" t="n">
        <v>27</v>
      </c>
      <c r="C518" s="3" t="inlineStr">
        <is>
          <t>4</t>
        </is>
      </c>
      <c r="D518" s="4" t="inlineStr">
        <is>
          <t>KRL-120*350 Ø120*350</t>
        </is>
      </c>
      <c r="E518" s="3" t="inlineStr">
        <is>
          <t>Cái</t>
        </is>
      </c>
      <c r="F518" s="5" t="n">
        <v>666000</v>
      </c>
      <c r="G518" s="5" t="n">
        <v>799000</v>
      </c>
      <c r="H518" s="6" t="n">
        <v>999000</v>
      </c>
      <c r="I518" s="4" t="inlineStr">
        <is>
          <t>Cái 1C/H 10C/T Khoan nước</t>
        </is>
      </c>
    </row>
    <row r="519">
      <c r="A519" s="3" t="n">
        <v>518</v>
      </c>
      <c r="B519" s="3" t="n">
        <v>27</v>
      </c>
      <c r="C519" s="3" t="inlineStr">
        <is>
          <t>5</t>
        </is>
      </c>
      <c r="D519" s="4" t="inlineStr">
        <is>
          <t>KRL-127*350 Ø127*350</t>
        </is>
      </c>
      <c r="E519" s="3" t="inlineStr">
        <is>
          <t>Cái</t>
        </is>
      </c>
      <c r="F519" s="5" t="n">
        <v>693000</v>
      </c>
      <c r="G519" s="5" t="n">
        <v>832000</v>
      </c>
      <c r="H519" s="6" t="n">
        <v>1040000</v>
      </c>
      <c r="I519" s="4" t="inlineStr">
        <is>
          <t>Cái 1C/H 10C/T Khoan nước</t>
        </is>
      </c>
    </row>
    <row r="520">
      <c r="A520" s="3" t="n">
        <v>519</v>
      </c>
      <c r="B520" s="3" t="n">
        <v>27</v>
      </c>
      <c r="C520" s="3" t="inlineStr">
        <is>
          <t>6</t>
        </is>
      </c>
      <c r="D520" s="4" t="inlineStr">
        <is>
          <t>KRL-132*350 Ø132*350</t>
        </is>
      </c>
      <c r="E520" s="3" t="inlineStr">
        <is>
          <t>Cái</t>
        </is>
      </c>
      <c r="F520" s="5" t="n">
        <v>718000</v>
      </c>
      <c r="G520" s="5" t="n">
        <v>862000</v>
      </c>
      <c r="H520" s="6" t="n">
        <v>1077000</v>
      </c>
      <c r="I520" s="4" t="inlineStr">
        <is>
          <t>Cái 1C/H 10C/T Khoan nước</t>
        </is>
      </c>
    </row>
    <row r="521">
      <c r="A521" s="3" t="n">
        <v>520</v>
      </c>
      <c r="B521" s="3" t="n">
        <v>27</v>
      </c>
      <c r="C521" s="3" t="inlineStr">
        <is>
          <t>7</t>
        </is>
      </c>
      <c r="D521" s="4" t="inlineStr">
        <is>
          <t>KRL-140*350 Ø140*350</t>
        </is>
      </c>
      <c r="E521" s="3" t="inlineStr">
        <is>
          <t>Cái</t>
        </is>
      </c>
      <c r="F521" s="5" t="n">
        <v>783000</v>
      </c>
      <c r="G521" s="5" t="n">
        <v>940000</v>
      </c>
      <c r="H521" s="6" t="n">
        <v>1175000</v>
      </c>
      <c r="I521" s="4" t="inlineStr">
        <is>
          <t>Cái 1C/H 5C/T Khoan nước</t>
        </is>
      </c>
    </row>
    <row r="522">
      <c r="A522" s="3" t="n">
        <v>521</v>
      </c>
      <c r="B522" s="3" t="n">
        <v>27</v>
      </c>
      <c r="C522" s="3" t="inlineStr">
        <is>
          <t>8</t>
        </is>
      </c>
      <c r="D522" s="4" t="inlineStr">
        <is>
          <t>KRL-152*350 Ø152*350</t>
        </is>
      </c>
      <c r="E522" s="3" t="inlineStr">
        <is>
          <t>Cái</t>
        </is>
      </c>
      <c r="F522" s="5" t="n">
        <v>834000</v>
      </c>
      <c r="G522" s="5" t="n">
        <v>1001000</v>
      </c>
      <c r="H522" s="6" t="n">
        <v>1251000</v>
      </c>
      <c r="I522" s="4" t="inlineStr">
        <is>
          <t>Cái 1C/H 5C/T Khoan nước</t>
        </is>
      </c>
    </row>
    <row r="523">
      <c r="A523" s="3" t="n">
        <v>522</v>
      </c>
      <c r="B523" s="3" t="n">
        <v>27</v>
      </c>
      <c r="C523" s="3" t="inlineStr">
        <is>
          <t>9</t>
        </is>
      </c>
      <c r="D523" s="4" t="inlineStr">
        <is>
          <t>KRL-159*350 Ø159*350</t>
        </is>
      </c>
      <c r="E523" s="3" t="inlineStr">
        <is>
          <t>Cái</t>
        </is>
      </c>
      <c r="F523" s="5" t="n">
        <v>859000</v>
      </c>
      <c r="G523" s="5" t="n">
        <v>1031000</v>
      </c>
      <c r="H523" s="6" t="n">
        <v>1289000</v>
      </c>
      <c r="I523" s="4" t="inlineStr">
        <is>
          <t>Cái 1C/H 6C/T Khoan nước</t>
        </is>
      </c>
    </row>
    <row r="524">
      <c r="A524" s="3" t="n">
        <v>523</v>
      </c>
      <c r="B524" s="3" t="n">
        <v>27</v>
      </c>
      <c r="C524" s="3" t="inlineStr">
        <is>
          <t>10</t>
        </is>
      </c>
      <c r="D524" s="4" t="inlineStr">
        <is>
          <t>KRL-168*350 Ø168*350</t>
        </is>
      </c>
      <c r="E524" s="3" t="inlineStr">
        <is>
          <t>Cái</t>
        </is>
      </c>
      <c r="F524" s="5" t="n">
        <v>1052000</v>
      </c>
      <c r="G524" s="5" t="n">
        <v>1262000</v>
      </c>
      <c r="H524" s="6" t="n">
        <v>1578000</v>
      </c>
      <c r="I524" s="4" t="inlineStr">
        <is>
          <t>Cái 1C/H 6C/T Khoan nước</t>
        </is>
      </c>
    </row>
    <row r="525">
      <c r="A525" s="3" t="n">
        <v>524</v>
      </c>
      <c r="B525" s="3" t="n">
        <v>27</v>
      </c>
      <c r="C525" s="3" t="inlineStr">
        <is>
          <t>11</t>
        </is>
      </c>
      <c r="D525" s="4" t="inlineStr">
        <is>
          <t>KRL-180*350 Ø180*350</t>
        </is>
      </c>
      <c r="E525" s="3" t="inlineStr">
        <is>
          <t>Cái</t>
        </is>
      </c>
      <c r="F525" s="5" t="n">
        <v>1180000</v>
      </c>
      <c r="G525" s="5" t="n">
        <v>1416000</v>
      </c>
      <c r="H525" s="6" t="n">
        <v>1770000</v>
      </c>
      <c r="I525" s="4" t="inlineStr">
        <is>
          <t>Cái 1C/H 5C/T Khoan nước</t>
        </is>
      </c>
    </row>
    <row r="526">
      <c r="A526" s="3" t="n">
        <v>525</v>
      </c>
      <c r="B526" s="3" t="n">
        <v>27</v>
      </c>
      <c r="C526" s="3" t="inlineStr">
        <is>
          <t>12</t>
        </is>
      </c>
      <c r="D526" s="4" t="inlineStr">
        <is>
          <t>KRL-200*350 Ø200*350</t>
        </is>
      </c>
      <c r="E526" s="3" t="inlineStr">
        <is>
          <t>Cái</t>
        </is>
      </c>
      <c r="F526" s="5" t="n">
        <v>1346000</v>
      </c>
      <c r="G526" s="5" t="n">
        <v>1615000</v>
      </c>
      <c r="H526" s="6" t="n">
        <v>2019000</v>
      </c>
      <c r="I526" s="4" t="inlineStr">
        <is>
          <t>Cái 1C/H 4C/T Khoan nước</t>
        </is>
      </c>
    </row>
    <row r="527">
      <c r="A527" s="3" t="n">
        <v>526</v>
      </c>
      <c r="B527" s="3" t="n">
        <v>27</v>
      </c>
      <c r="C527" s="3" t="inlineStr">
        <is>
          <t>13</t>
        </is>
      </c>
      <c r="D527" s="4" t="inlineStr">
        <is>
          <t>KRL-254*350 Ø254*350</t>
        </is>
      </c>
      <c r="E527" s="3" t="inlineStr">
        <is>
          <t>Cái</t>
        </is>
      </c>
      <c r="F527" s="5" t="n">
        <v>2373000</v>
      </c>
      <c r="G527" s="5" t="n">
        <v>2848000</v>
      </c>
      <c r="H527" s="6" t="n">
        <v>3560000</v>
      </c>
      <c r="I527" s="4" t="inlineStr">
        <is>
          <t>Cái 1C/H 2C/T Khoan nước</t>
        </is>
      </c>
    </row>
    <row r="528">
      <c r="A528" s="3" t="n">
        <v>527</v>
      </c>
      <c r="B528" s="3" t="n">
        <v>27</v>
      </c>
      <c r="C528" s="3" t="inlineStr">
        <is>
          <t>14</t>
        </is>
      </c>
      <c r="D528" s="4" t="inlineStr">
        <is>
          <t>KRL-300*350 Ø300*350</t>
        </is>
      </c>
      <c r="E528" s="3" t="inlineStr">
        <is>
          <t>Cái</t>
        </is>
      </c>
      <c r="F528" s="5" t="n">
        <v>2758000</v>
      </c>
      <c r="G528" s="5" t="n">
        <v>3310000</v>
      </c>
      <c r="H528" s="6" t="n">
        <v>4137000</v>
      </c>
      <c r="I528" s="4" t="inlineStr">
        <is>
          <t>Cái 1C/H 1C/T Khoan nước</t>
        </is>
      </c>
    </row>
    <row r="529">
      <c r="A529" s="3" t="n">
        <v>528</v>
      </c>
      <c r="B529" s="3" t="n">
        <v>27</v>
      </c>
      <c r="C529" s="3" t="inlineStr">
        <is>
          <t>15</t>
        </is>
      </c>
      <c r="D529" s="4" t="inlineStr">
        <is>
          <t>KRL-22*370 Ø22*370</t>
        </is>
      </c>
      <c r="E529" s="3" t="inlineStr">
        <is>
          <t>Cái</t>
        </is>
      </c>
      <c r="F529" s="5" t="n">
        <v>161000</v>
      </c>
      <c r="G529" s="5" t="n">
        <v>193000</v>
      </c>
      <c r="H529" s="6" t="n">
        <v>242000</v>
      </c>
      <c r="I529" s="4" t="inlineStr">
        <is>
          <t>Cái 1C/H 50C/T Khoan nước</t>
        </is>
      </c>
    </row>
    <row r="530">
      <c r="A530" s="3" t="n">
        <v>529</v>
      </c>
      <c r="B530" s="3" t="n">
        <v>27</v>
      </c>
      <c r="C530" s="3" t="inlineStr">
        <is>
          <t>16</t>
        </is>
      </c>
      <c r="D530" s="4" t="inlineStr">
        <is>
          <t>KRL-25*370 Ø25*370</t>
        </is>
      </c>
      <c r="E530" s="3" t="inlineStr">
        <is>
          <t>Cái</t>
        </is>
      </c>
      <c r="F530" s="5" t="n">
        <v>179000</v>
      </c>
      <c r="G530" s="5" t="n">
        <v>215000</v>
      </c>
      <c r="H530" s="6" t="n">
        <v>269000</v>
      </c>
      <c r="I530" s="4" t="inlineStr">
        <is>
          <t>Cái 1C/H 40C/T Khoan nước</t>
        </is>
      </c>
    </row>
    <row r="531">
      <c r="A531" s="3" t="n">
        <v>530</v>
      </c>
      <c r="B531" s="3" t="n">
        <v>27</v>
      </c>
      <c r="C531" s="3" t="inlineStr">
        <is>
          <t>17</t>
        </is>
      </c>
      <c r="D531" s="4" t="inlineStr">
        <is>
          <t>KRL-27*370 Ø27*370</t>
        </is>
      </c>
      <c r="E531" s="3" t="inlineStr">
        <is>
          <t>Cái</t>
        </is>
      </c>
      <c r="F531" s="5" t="n">
        <v>186000</v>
      </c>
      <c r="G531" s="5" t="n">
        <v>223000</v>
      </c>
      <c r="H531" s="6" t="n">
        <v>279000</v>
      </c>
      <c r="I531" s="4" t="inlineStr">
        <is>
          <t>Cái 1C/H 40C/T Khoan nước</t>
        </is>
      </c>
    </row>
    <row r="532">
      <c r="A532" s="3" t="n">
        <v>531</v>
      </c>
      <c r="B532" s="3" t="n">
        <v>27</v>
      </c>
      <c r="C532" s="3" t="inlineStr">
        <is>
          <t>18</t>
        </is>
      </c>
      <c r="D532" s="4" t="inlineStr">
        <is>
          <t>KRL-32*370 Ø32*370</t>
        </is>
      </c>
      <c r="E532" s="3" t="inlineStr">
        <is>
          <t>Cái</t>
        </is>
      </c>
      <c r="F532" s="5" t="n">
        <v>206000</v>
      </c>
      <c r="G532" s="5" t="n">
        <v>247000</v>
      </c>
      <c r="H532" s="6" t="n">
        <v>309000</v>
      </c>
      <c r="I532" s="4" t="inlineStr">
        <is>
          <t>Cái 1C/H 40C/T Khoan nước</t>
        </is>
      </c>
    </row>
    <row r="533">
      <c r="A533" s="3" t="n">
        <v>532</v>
      </c>
      <c r="B533" s="3" t="n">
        <v>27</v>
      </c>
      <c r="C533" s="3" t="inlineStr">
        <is>
          <t>19</t>
        </is>
      </c>
      <c r="D533" s="4" t="inlineStr">
        <is>
          <t>KRL-36*370 Ø36*370</t>
        </is>
      </c>
      <c r="E533" s="3" t="inlineStr">
        <is>
          <t>Cái</t>
        </is>
      </c>
      <c r="F533" s="5" t="n">
        <v>231000</v>
      </c>
      <c r="G533" s="5" t="n">
        <v>277000</v>
      </c>
      <c r="H533" s="6" t="n">
        <v>347000</v>
      </c>
      <c r="I533" s="4" t="inlineStr">
        <is>
          <t>Cái 1C/H 40C/T Khoan nước</t>
        </is>
      </c>
    </row>
    <row r="534">
      <c r="A534" s="3" t="n">
        <v>533</v>
      </c>
      <c r="B534" s="3" t="n">
        <v>27</v>
      </c>
      <c r="C534" s="3" t="inlineStr">
        <is>
          <t>20</t>
        </is>
      </c>
      <c r="D534" s="4" t="inlineStr">
        <is>
          <t>KRL-40*370 Ø40*370</t>
        </is>
      </c>
      <c r="E534" s="3" t="inlineStr">
        <is>
          <t>Cái</t>
        </is>
      </c>
      <c r="F534" s="5" t="n">
        <v>251000</v>
      </c>
      <c r="G534" s="5" t="n">
        <v>301000</v>
      </c>
      <c r="H534" s="6" t="n">
        <v>377000</v>
      </c>
      <c r="I534" s="4" t="inlineStr">
        <is>
          <t>Cái 1C/H 40C/T Khoan nước</t>
        </is>
      </c>
    </row>
    <row r="535">
      <c r="A535" s="3" t="n">
        <v>534</v>
      </c>
      <c r="B535" s="3" t="n">
        <v>27</v>
      </c>
      <c r="C535" s="3" t="inlineStr">
        <is>
          <t>21</t>
        </is>
      </c>
      <c r="D535" s="4" t="inlineStr">
        <is>
          <t>KRL-44*370 Ø44*370</t>
        </is>
      </c>
      <c r="E535" s="3" t="inlineStr">
        <is>
          <t>Cái</t>
        </is>
      </c>
      <c r="F535" s="5" t="n">
        <v>270000</v>
      </c>
      <c r="G535" s="5" t="n">
        <v>324000</v>
      </c>
      <c r="H535" s="6" t="n">
        <v>405000</v>
      </c>
      <c r="I535" s="4" t="inlineStr">
        <is>
          <t>Cái 1C/H 30C/T Khoan nước</t>
        </is>
      </c>
    </row>
    <row r="536">
      <c r="A536" s="3" t="n">
        <v>535</v>
      </c>
      <c r="B536" s="3" t="n">
        <v>27</v>
      </c>
      <c r="C536" s="3" t="inlineStr">
        <is>
          <t>22</t>
        </is>
      </c>
      <c r="D536" s="4" t="inlineStr">
        <is>
          <t>KRL-51*370 Ø51*370</t>
        </is>
      </c>
      <c r="E536" s="3" t="inlineStr">
        <is>
          <t>Cái</t>
        </is>
      </c>
      <c r="F536" s="5" t="n">
        <v>282000</v>
      </c>
      <c r="G536" s="5" t="n">
        <v>338000</v>
      </c>
      <c r="H536" s="6" t="n">
        <v>423000</v>
      </c>
      <c r="I536" s="4" t="inlineStr">
        <is>
          <t>Cái 1C/H 30C/T Khoan nước</t>
        </is>
      </c>
    </row>
    <row r="537">
      <c r="A537" s="3" t="n">
        <v>536</v>
      </c>
      <c r="B537" s="3" t="n">
        <v>27</v>
      </c>
      <c r="C537" s="3" t="inlineStr">
        <is>
          <t>23</t>
        </is>
      </c>
      <c r="D537" s="4" t="inlineStr">
        <is>
          <t>KRL-56*370 Ø56*370</t>
        </is>
      </c>
      <c r="E537" s="3" t="inlineStr">
        <is>
          <t>Cái</t>
        </is>
      </c>
      <c r="F537" s="5" t="n">
        <v>295000</v>
      </c>
      <c r="G537" s="5" t="n">
        <v>354000</v>
      </c>
      <c r="H537" s="6" t="n">
        <v>443000</v>
      </c>
      <c r="I537" s="4" t="inlineStr">
        <is>
          <t>Cái 1C/H 30C/T Khoan nước</t>
        </is>
      </c>
    </row>
    <row r="538">
      <c r="A538" s="3" t="n">
        <v>537</v>
      </c>
      <c r="B538" s="3" t="n">
        <v>27</v>
      </c>
      <c r="C538" s="3" t="inlineStr">
        <is>
          <t>24</t>
        </is>
      </c>
      <c r="D538" s="4" t="inlineStr">
        <is>
          <t>KRL-63*370 Ø63*370</t>
        </is>
      </c>
      <c r="E538" s="3" t="inlineStr">
        <is>
          <t>Cái</t>
        </is>
      </c>
      <c r="F538" s="5" t="n">
        <v>307000</v>
      </c>
      <c r="G538" s="5" t="n">
        <v>369000</v>
      </c>
      <c r="H538" s="6" t="n">
        <v>461000</v>
      </c>
      <c r="I538" s="4" t="inlineStr">
        <is>
          <t>Cái 1C/H 28C/T Khoan nước</t>
        </is>
      </c>
    </row>
    <row r="539">
      <c r="A539" s="3" t="n">
        <v>538</v>
      </c>
      <c r="B539" s="3" t="n">
        <v>27</v>
      </c>
      <c r="C539" s="3" t="inlineStr">
        <is>
          <t>25</t>
        </is>
      </c>
      <c r="D539" s="4" t="inlineStr">
        <is>
          <t>KRL-76*370 Ø76*370</t>
        </is>
      </c>
      <c r="E539" s="3" t="inlineStr">
        <is>
          <t>Cái</t>
        </is>
      </c>
      <c r="F539" s="5" t="n">
        <v>391000</v>
      </c>
      <c r="G539" s="5" t="n">
        <v>469000</v>
      </c>
      <c r="H539" s="6" t="n">
        <v>587000</v>
      </c>
      <c r="I539" s="4" t="inlineStr">
        <is>
          <t>Cái 1C/H 18C/T Khoan nước</t>
        </is>
      </c>
    </row>
    <row r="540">
      <c r="A540" s="3" t="n">
        <v>539</v>
      </c>
      <c r="B540" s="3" t="n">
        <v>27</v>
      </c>
      <c r="C540" s="3" t="inlineStr">
        <is>
          <t>26</t>
        </is>
      </c>
      <c r="D540" s="4" t="inlineStr">
        <is>
          <t>KRL-83*370 Ø83*370</t>
        </is>
      </c>
      <c r="E540" s="3" t="inlineStr">
        <is>
          <t>Cái</t>
        </is>
      </c>
      <c r="F540" s="5" t="n">
        <v>436000</v>
      </c>
      <c r="G540" s="5" t="n">
        <v>523000</v>
      </c>
      <c r="H540" s="6" t="n">
        <v>654000</v>
      </c>
      <c r="I540" s="4" t="inlineStr">
        <is>
          <t>Cái 1C/H 15C/T Khoan nước</t>
        </is>
      </c>
    </row>
    <row r="541">
      <c r="A541" s="3" t="n">
        <v>540</v>
      </c>
      <c r="B541" s="3" t="n">
        <v>27</v>
      </c>
      <c r="C541" s="3" t="inlineStr">
        <is>
          <t>27</t>
        </is>
      </c>
      <c r="D541" s="4" t="inlineStr">
        <is>
          <t>KRL-89*370 Ø89*370</t>
        </is>
      </c>
      <c r="E541" s="3" t="inlineStr">
        <is>
          <t>Cái</t>
        </is>
      </c>
      <c r="F541" s="5" t="n">
        <v>474000</v>
      </c>
      <c r="G541" s="5" t="n">
        <v>569000</v>
      </c>
      <c r="H541" s="6" t="n">
        <v>711000</v>
      </c>
      <c r="I541" s="4" t="inlineStr">
        <is>
          <t>Cái 1C/H 10C/T Khoan nước</t>
        </is>
      </c>
    </row>
    <row r="542">
      <c r="A542" s="3" t="n">
        <v>541</v>
      </c>
      <c r="B542" s="3" t="n">
        <v>27</v>
      </c>
      <c r="C542" s="3" t="inlineStr">
        <is>
          <t>28</t>
        </is>
      </c>
      <c r="D542" s="4" t="inlineStr">
        <is>
          <t>KRLK-27*370 Ø27*370</t>
        </is>
      </c>
      <c r="E542" s="3" t="inlineStr">
        <is>
          <t>Cái</t>
        </is>
      </c>
      <c r="F542" s="5" t="n">
        <v>145000</v>
      </c>
      <c r="G542" s="5" t="n">
        <v>174000</v>
      </c>
      <c r="H542" s="6" t="n">
        <v>218000</v>
      </c>
      <c r="I542" s="4" t="inlineStr">
        <is>
          <t>Cái 1C/H 50C/T Khoan nước + Khô</t>
        </is>
      </c>
    </row>
    <row r="543">
      <c r="A543" s="3" t="n">
        <v>542</v>
      </c>
      <c r="B543" s="3" t="n">
        <v>27</v>
      </c>
      <c r="C543" s="3" t="inlineStr">
        <is>
          <t>29</t>
        </is>
      </c>
      <c r="D543" s="4" t="inlineStr">
        <is>
          <t>KRLK-32*370 Ø32*370</t>
        </is>
      </c>
      <c r="E543" s="3" t="inlineStr">
        <is>
          <t>Cái</t>
        </is>
      </c>
      <c r="F543" s="5" t="n">
        <v>154000</v>
      </c>
      <c r="G543" s="5" t="n">
        <v>185000</v>
      </c>
      <c r="H543" s="6" t="n">
        <v>231000</v>
      </c>
      <c r="I543" s="4" t="inlineStr">
        <is>
          <t>Cái 1C/H 50C/T Khoan nước + Khô</t>
        </is>
      </c>
    </row>
    <row r="544">
      <c r="A544" s="3" t="n">
        <v>543</v>
      </c>
      <c r="B544" s="3" t="n">
        <v>27</v>
      </c>
      <c r="C544" s="3" t="inlineStr">
        <is>
          <t>30</t>
        </is>
      </c>
      <c r="D544" s="4" t="inlineStr">
        <is>
          <t>KRLK-36*370 Ø36*370</t>
        </is>
      </c>
      <c r="E544" s="3" t="inlineStr">
        <is>
          <t>Cái</t>
        </is>
      </c>
      <c r="F544" s="5" t="n">
        <v>173000</v>
      </c>
      <c r="G544" s="5" t="n">
        <v>208000</v>
      </c>
      <c r="H544" s="6" t="n">
        <v>260000</v>
      </c>
      <c r="I544" s="4" t="inlineStr">
        <is>
          <t>Cái 1C/H 40C/T Khoan nước + Khô</t>
        </is>
      </c>
    </row>
    <row r="545">
      <c r="A545" s="3" t="n">
        <v>544</v>
      </c>
      <c r="B545" s="3" t="n">
        <v>27</v>
      </c>
      <c r="C545" s="3" t="inlineStr">
        <is>
          <t>31</t>
        </is>
      </c>
      <c r="D545" s="4" t="inlineStr">
        <is>
          <t>KRLK-40*370 Ø40*370</t>
        </is>
      </c>
      <c r="E545" s="3" t="inlineStr">
        <is>
          <t>Cái</t>
        </is>
      </c>
      <c r="F545" s="5" t="n">
        <v>193000</v>
      </c>
      <c r="G545" s="5" t="n">
        <v>232000</v>
      </c>
      <c r="H545" s="6" t="n">
        <v>290000</v>
      </c>
      <c r="I545" s="4" t="inlineStr">
        <is>
          <t>Cái 1C/H 40C/T Khoan nước + Khô</t>
        </is>
      </c>
    </row>
    <row r="546">
      <c r="A546" s="3" t="n">
        <v>545</v>
      </c>
      <c r="B546" s="3" t="n">
        <v>27</v>
      </c>
      <c r="C546" s="3" t="inlineStr">
        <is>
          <t>32</t>
        </is>
      </c>
      <c r="D546" s="4" t="inlineStr">
        <is>
          <t>KRLK-44*370 Ø44*370</t>
        </is>
      </c>
      <c r="E546" s="3" t="inlineStr">
        <is>
          <t>Cái</t>
        </is>
      </c>
      <c r="F546" s="5" t="n">
        <v>212000</v>
      </c>
      <c r="G546" s="5" t="n">
        <v>254000</v>
      </c>
      <c r="H546" s="6" t="n">
        <v>318000</v>
      </c>
      <c r="I546" s="4" t="inlineStr">
        <is>
          <t>Cái 1C/H 30C/T Khoan nước + Khô</t>
        </is>
      </c>
    </row>
    <row r="547">
      <c r="A547" s="3" t="n">
        <v>546</v>
      </c>
      <c r="B547" s="3" t="n">
        <v>27</v>
      </c>
      <c r="C547" s="3" t="inlineStr">
        <is>
          <t>33</t>
        </is>
      </c>
      <c r="D547" s="4" t="inlineStr">
        <is>
          <t>KRLK-51*370 Ø51*370</t>
        </is>
      </c>
      <c r="E547" s="3" t="inlineStr">
        <is>
          <t>Cái</t>
        </is>
      </c>
      <c r="F547" s="5" t="n">
        <v>231000</v>
      </c>
      <c r="G547" s="5" t="n">
        <v>277000</v>
      </c>
      <c r="H547" s="6" t="n">
        <v>347000</v>
      </c>
      <c r="I547" s="4" t="inlineStr">
        <is>
          <t>Cái 1C/H 30C/T Khoan nước + Khô</t>
        </is>
      </c>
    </row>
    <row r="548">
      <c r="A548" s="3" t="n">
        <v>547</v>
      </c>
      <c r="B548" s="3" t="n">
        <v>27</v>
      </c>
      <c r="C548" s="3" t="inlineStr">
        <is>
          <t>34</t>
        </is>
      </c>
      <c r="D548" s="4" t="inlineStr">
        <is>
          <t>KRLK-56*370 Ø56*370</t>
        </is>
      </c>
      <c r="E548" s="3" t="inlineStr">
        <is>
          <t>Cái</t>
        </is>
      </c>
      <c r="F548" s="5" t="n">
        <v>244000</v>
      </c>
      <c r="G548" s="5" t="n">
        <v>293000</v>
      </c>
      <c r="H548" s="6" t="n">
        <v>366000</v>
      </c>
      <c r="I548" s="4" t="inlineStr">
        <is>
          <t>Cái 1C/H 30C/T Khoan nước + Khô</t>
        </is>
      </c>
    </row>
    <row r="549">
      <c r="A549" s="3" t="n">
        <v>548</v>
      </c>
      <c r="B549" s="3" t="n">
        <v>27</v>
      </c>
      <c r="C549" s="3" t="inlineStr">
        <is>
          <t>35</t>
        </is>
      </c>
      <c r="D549" s="4" t="inlineStr">
        <is>
          <t>KRLK-63*370 Ø63*370</t>
        </is>
      </c>
      <c r="E549" s="3" t="inlineStr">
        <is>
          <t>Cái</t>
        </is>
      </c>
      <c r="F549" s="5" t="n">
        <v>282000</v>
      </c>
      <c r="G549" s="5" t="n">
        <v>338000</v>
      </c>
      <c r="H549" s="6" t="n">
        <v>423000</v>
      </c>
      <c r="I549" s="4" t="inlineStr">
        <is>
          <t>Cái 1C/H 28C/T Khoan nước + Khô</t>
        </is>
      </c>
    </row>
    <row r="550">
      <c r="A550" s="3" t="n">
        <v>549</v>
      </c>
      <c r="B550" s="3" t="n">
        <v>27</v>
      </c>
      <c r="C550" s="3" t="inlineStr">
        <is>
          <t>36</t>
        </is>
      </c>
      <c r="D550" s="4" t="inlineStr">
        <is>
          <t>Khoan rút lõi bê tông khô KRLK-63*250 Ø63*250</t>
        </is>
      </c>
      <c r="E550" s="3" t="inlineStr">
        <is>
          <t>Cái</t>
        </is>
      </c>
      <c r="F550" s="5" t="n">
        <v>303000</v>
      </c>
      <c r="G550" s="5" t="n">
        <v>364000</v>
      </c>
      <c r="H550" s="6" t="n">
        <v>455000</v>
      </c>
      <c r="I550" s="4" t="inlineStr">
        <is>
          <t>Cái 1C/H 48C/T Khoan rút lõi Khô</t>
        </is>
      </c>
    </row>
    <row r="551">
      <c r="A551" s="3" t="n">
        <v>550</v>
      </c>
      <c r="B551" s="3" t="n">
        <v>28</v>
      </c>
      <c r="C551" s="3" t="inlineStr">
        <is>
          <t>44</t>
        </is>
      </c>
      <c r="D551" s="4" t="inlineStr">
        <is>
          <t>Mũi khoan rút lõi KRS-55 New KRS-55*155 (New) Ø55*155</t>
        </is>
      </c>
      <c r="E551" s="3" t="inlineStr">
        <is>
          <t>Cái</t>
        </is>
      </c>
      <c r="F551" s="5" t="n">
        <v>1190000</v>
      </c>
      <c r="G551" s="5" t="n">
        <v>1380000</v>
      </c>
      <c r="H551" s="6" t="n">
        <v>1666000</v>
      </c>
      <c r="I551" s="4" t="inlineStr">
        <is>
          <t>Cái 1C/H 20C/T</t>
        </is>
      </c>
    </row>
    <row r="552">
      <c r="A552" s="3" t="n">
        <v>551</v>
      </c>
      <c r="B552" s="3" t="n">
        <v>28</v>
      </c>
      <c r="C552" s="3" t="inlineStr">
        <is>
          <t>45</t>
        </is>
      </c>
      <c r="D552" s="4" t="inlineStr">
        <is>
          <t>Mũi khoan rút lõi KRS-60 New KRS-60*155 (New) Ø60*155</t>
        </is>
      </c>
      <c r="E552" s="3" t="inlineStr">
        <is>
          <t>Cái</t>
        </is>
      </c>
      <c r="F552" s="5" t="n">
        <v>1290000</v>
      </c>
      <c r="G552" s="5" t="n">
        <v>1496000</v>
      </c>
      <c r="H552" s="6" t="n">
        <v>1806000</v>
      </c>
      <c r="I552" s="4" t="inlineStr">
        <is>
          <t>Cái 1C/H 20C/T</t>
        </is>
      </c>
    </row>
    <row r="553">
      <c r="A553" s="3" t="n">
        <v>552</v>
      </c>
      <c r="B553" s="3" t="n">
        <v>28</v>
      </c>
      <c r="C553" s="3" t="inlineStr">
        <is>
          <t>46</t>
        </is>
      </c>
      <c r="D553" s="4" t="inlineStr">
        <is>
          <t>Mũi khoan rút lõi KRS-63 New KRS-63*155 Ø63*155</t>
        </is>
      </c>
      <c r="E553" s="3" t="inlineStr">
        <is>
          <t>Cái</t>
        </is>
      </c>
      <c r="F553" s="5" t="n">
        <v>1350000</v>
      </c>
      <c r="G553" s="5" t="n">
        <v>1566000</v>
      </c>
      <c r="H553" s="6" t="n">
        <v>1890000</v>
      </c>
      <c r="I553" s="4" t="inlineStr">
        <is>
          <t>Cái 1C/H 20c/T</t>
        </is>
      </c>
    </row>
    <row r="554">
      <c r="A554" s="3" t="n">
        <v>553</v>
      </c>
      <c r="B554" s="3" t="n">
        <v>28</v>
      </c>
      <c r="C554" s="3" t="inlineStr"/>
      <c r="D554" s="4" t="inlineStr">
        <is>
          <t>SDST-M22</t>
        </is>
      </c>
      <c r="E554" s="3" t="inlineStr">
        <is>
          <t>Cái</t>
        </is>
      </c>
      <c r="F554" s="5" t="n">
        <v>24000</v>
      </c>
      <c r="G554" s="5" t="n">
        <v>30000</v>
      </c>
      <c r="H554" s="6" t="n">
        <v>38000</v>
      </c>
      <c r="I554" s="4" t="inlineStr">
        <is>
          <t>Cái 1C/H 200C/T Đầu gài</t>
        </is>
      </c>
    </row>
    <row r="555">
      <c r="A555" s="3" t="n">
        <v>554</v>
      </c>
      <c r="B555" s="3" t="n">
        <v>28</v>
      </c>
      <c r="C555" s="3" t="inlineStr">
        <is>
          <t>2</t>
        </is>
      </c>
      <c r="D555" s="4" t="inlineStr">
        <is>
          <t>Chuôi khoan rút lõi lục giác SDSV SDSV</t>
        </is>
      </c>
      <c r="E555" s="3" t="inlineStr">
        <is>
          <t>Cái</t>
        </is>
      </c>
      <c r="F555" s="5" t="n">
        <v>24000</v>
      </c>
      <c r="G555" s="5" t="n">
        <v>30000</v>
      </c>
      <c r="H555" s="6" t="n">
        <v>38000</v>
      </c>
      <c r="I555" s="4" t="inlineStr">
        <is>
          <t>Cái 1C/H 200C/T Đầu vuông</t>
        </is>
      </c>
    </row>
    <row r="556">
      <c r="A556" s="3" t="n">
        <v>555</v>
      </c>
      <c r="B556" s="3" t="n">
        <v>28</v>
      </c>
      <c r="C556" s="3" t="inlineStr">
        <is>
          <t>3</t>
        </is>
      </c>
      <c r="D556" s="4" t="inlineStr">
        <is>
          <t>Chuôi khoan rút lõi lục giác LGST LGST</t>
        </is>
      </c>
      <c r="E556" s="3" t="inlineStr">
        <is>
          <t>Cái</t>
        </is>
      </c>
      <c r="F556" s="5" t="n">
        <v>24000</v>
      </c>
      <c r="G556" s="5" t="n">
        <v>30000</v>
      </c>
      <c r="H556" s="6" t="n">
        <v>38000</v>
      </c>
      <c r="I556" s="4" t="inlineStr">
        <is>
          <t>Cái 1C/H 200C/T Đầu lục giác</t>
        </is>
      </c>
    </row>
    <row r="557">
      <c r="A557" s="3" t="n">
        <v>556</v>
      </c>
      <c r="B557" s="3" t="n">
        <v>28</v>
      </c>
      <c r="C557" s="3" t="inlineStr">
        <is>
          <t>4</t>
        </is>
      </c>
      <c r="D557" s="4" t="inlineStr">
        <is>
          <t>Chuôi khoan rút lõi lục giác DLG-M22 DLG-M22</t>
        </is>
      </c>
      <c r="E557" s="3" t="inlineStr">
        <is>
          <t>Cái</t>
        </is>
      </c>
      <c r="F557" s="5" t="n">
        <v>24000</v>
      </c>
      <c r="G557" s="5" t="n">
        <v>30000</v>
      </c>
      <c r="H557" s="6" t="n">
        <v>38000</v>
      </c>
      <c r="I557" s="4" t="inlineStr">
        <is>
          <t>Cái 1C/H 200C/T Đầu lục giác</t>
        </is>
      </c>
    </row>
    <row r="558">
      <c r="A558" s="3" t="n">
        <v>557</v>
      </c>
      <c r="B558" s="3" t="n">
        <v>29</v>
      </c>
      <c r="C558" s="3" t="inlineStr">
        <is>
          <t>1</t>
        </is>
      </c>
      <c r="D558" s="4" t="inlineStr">
        <is>
          <t>KBX-25 Ø25*78.5</t>
        </is>
      </c>
      <c r="E558" s="3" t="inlineStr">
        <is>
          <t>Cái</t>
        </is>
      </c>
      <c r="F558" s="5" t="n">
        <v>34000</v>
      </c>
      <c r="G558" s="5" t="n">
        <v>40000</v>
      </c>
      <c r="H558" s="6" t="n">
        <v>49000</v>
      </c>
      <c r="I558" s="4" t="inlineStr">
        <is>
          <t>Cái</t>
        </is>
      </c>
    </row>
    <row r="559">
      <c r="A559" s="3" t="n">
        <v>558</v>
      </c>
      <c r="B559" s="3" t="n">
        <v>29</v>
      </c>
      <c r="C559" s="3" t="inlineStr">
        <is>
          <t>2</t>
        </is>
      </c>
      <c r="D559" s="4" t="inlineStr">
        <is>
          <t>KBX-28 Ø28*78.5</t>
        </is>
      </c>
      <c r="E559" s="3" t="inlineStr">
        <is>
          <t>Cái</t>
        </is>
      </c>
      <c r="F559" s="5" t="n">
        <v>38000</v>
      </c>
      <c r="G559" s="5" t="n">
        <v>45000</v>
      </c>
      <c r="H559" s="6" t="n">
        <v>55000</v>
      </c>
      <c r="I559" s="4" t="inlineStr">
        <is>
          <t>Cái</t>
        </is>
      </c>
    </row>
    <row r="560">
      <c r="A560" s="3" t="n">
        <v>559</v>
      </c>
      <c r="B560" s="3" t="n">
        <v>29</v>
      </c>
      <c r="C560" s="3" t="inlineStr">
        <is>
          <t>3</t>
        </is>
      </c>
      <c r="D560" s="4" t="inlineStr">
        <is>
          <t>KBX-30 Ø30*78.5</t>
        </is>
      </c>
      <c r="E560" s="3" t="inlineStr">
        <is>
          <t>Cái</t>
        </is>
      </c>
      <c r="F560" s="5" t="n">
        <v>40000</v>
      </c>
      <c r="G560" s="5" t="n">
        <v>47000</v>
      </c>
      <c r="H560" s="6" t="n">
        <v>58000</v>
      </c>
      <c r="I560" s="4" t="inlineStr">
        <is>
          <t>Cái</t>
        </is>
      </c>
    </row>
    <row r="561">
      <c r="A561" s="3" t="n">
        <v>560</v>
      </c>
      <c r="B561" s="3" t="n">
        <v>29</v>
      </c>
      <c r="C561" s="3" t="inlineStr">
        <is>
          <t>4</t>
        </is>
      </c>
      <c r="D561" s="4" t="inlineStr">
        <is>
          <t>KBX-45 Ø45*80</t>
        </is>
      </c>
      <c r="E561" s="3" t="inlineStr">
        <is>
          <t>Cái</t>
        </is>
      </c>
      <c r="F561" s="5" t="n">
        <v>60000</v>
      </c>
      <c r="G561" s="5" t="n">
        <v>71000</v>
      </c>
      <c r="H561" s="6" t="n">
        <v>87000</v>
      </c>
      <c r="I561" s="4" t="inlineStr">
        <is>
          <t>Cái</t>
        </is>
      </c>
    </row>
    <row r="562">
      <c r="A562" s="3" t="n">
        <v>561</v>
      </c>
      <c r="B562" s="3" t="n">
        <v>29</v>
      </c>
      <c r="C562" s="3" t="inlineStr">
        <is>
          <t>5</t>
        </is>
      </c>
      <c r="D562" s="4" t="inlineStr">
        <is>
          <t>KBX-55 Ø55*80</t>
        </is>
      </c>
      <c r="E562" s="3" t="inlineStr">
        <is>
          <t>Cái</t>
        </is>
      </c>
      <c r="F562" s="5" t="n">
        <v>74000</v>
      </c>
      <c r="G562" s="5" t="n">
        <v>87000</v>
      </c>
      <c r="H562" s="6" t="n">
        <v>107000</v>
      </c>
      <c r="I562" s="4" t="inlineStr">
        <is>
          <t>Cái</t>
        </is>
      </c>
    </row>
    <row r="563">
      <c r="A563" s="3" t="n">
        <v>562</v>
      </c>
      <c r="B563" s="3" t="n">
        <v>29</v>
      </c>
      <c r="C563" s="3" t="inlineStr">
        <is>
          <t>1</t>
        </is>
      </c>
      <c r="D563" s="4" t="inlineStr">
        <is>
          <t>KBX-20 NEW Ø20*78.5</t>
        </is>
      </c>
      <c r="E563" s="3" t="inlineStr">
        <is>
          <t>Cái</t>
        </is>
      </c>
      <c r="F563" s="5" t="n">
        <v>22000</v>
      </c>
      <c r="G563" s="5" t="n">
        <v>26000</v>
      </c>
      <c r="H563" s="6" t="n">
        <v>32000</v>
      </c>
      <c r="I563" s="4" t="inlineStr">
        <is>
          <t>Cái</t>
        </is>
      </c>
    </row>
    <row r="564">
      <c r="A564" s="3" t="n">
        <v>563</v>
      </c>
      <c r="B564" s="3" t="n">
        <v>29</v>
      </c>
      <c r="C564" s="3" t="inlineStr">
        <is>
          <t>2</t>
        </is>
      </c>
      <c r="D564" s="4" t="inlineStr">
        <is>
          <t>KBX-22 NEW Ø22*78.5</t>
        </is>
      </c>
      <c r="E564" s="3" t="inlineStr">
        <is>
          <t>Cái</t>
        </is>
      </c>
      <c r="F564" s="5" t="n">
        <v>24000</v>
      </c>
      <c r="G564" s="5" t="n">
        <v>28000</v>
      </c>
      <c r="H564" s="6" t="n">
        <v>35000</v>
      </c>
      <c r="I564" s="4" t="inlineStr">
        <is>
          <t>Cái</t>
        </is>
      </c>
    </row>
    <row r="565">
      <c r="A565" s="3" t="n">
        <v>564</v>
      </c>
      <c r="B565" s="3" t="n">
        <v>29</v>
      </c>
      <c r="C565" s="3" t="inlineStr">
        <is>
          <t>3</t>
        </is>
      </c>
      <c r="D565" s="4" t="inlineStr">
        <is>
          <t>KBX-25 NEW Ø25*78.5</t>
        </is>
      </c>
      <c r="E565" s="3" t="inlineStr">
        <is>
          <t>Cái</t>
        </is>
      </c>
      <c r="F565" s="5" t="n">
        <v>27000</v>
      </c>
      <c r="G565" s="5" t="n">
        <v>32000</v>
      </c>
      <c r="H565" s="6" t="n">
        <v>39000</v>
      </c>
      <c r="I565" s="4" t="inlineStr">
        <is>
          <t>Cái</t>
        </is>
      </c>
    </row>
    <row r="566">
      <c r="A566" s="3" t="n">
        <v>565</v>
      </c>
      <c r="B566" s="3" t="n">
        <v>29</v>
      </c>
      <c r="C566" s="3" t="inlineStr">
        <is>
          <t>4</t>
        </is>
      </c>
      <c r="D566" s="4" t="inlineStr">
        <is>
          <t>KBX-28 NEW Ø28*78.5</t>
        </is>
      </c>
      <c r="E566" s="3" t="inlineStr">
        <is>
          <t>Cái</t>
        </is>
      </c>
      <c r="F566" s="5" t="n">
        <v>30000</v>
      </c>
      <c r="G566" s="5" t="n">
        <v>36000</v>
      </c>
      <c r="H566" s="6" t="n">
        <v>44000</v>
      </c>
      <c r="I566" s="4" t="inlineStr">
        <is>
          <t>Cái</t>
        </is>
      </c>
    </row>
    <row r="567">
      <c r="A567" s="3" t="n">
        <v>566</v>
      </c>
      <c r="B567" s="3" t="n">
        <v>29</v>
      </c>
      <c r="C567" s="3" t="inlineStr">
        <is>
          <t>5</t>
        </is>
      </c>
      <c r="D567" s="4" t="inlineStr">
        <is>
          <t>KBX-30 NEW Ø30*78.5</t>
        </is>
      </c>
      <c r="E567" s="3" t="inlineStr">
        <is>
          <t>Cái</t>
        </is>
      </c>
      <c r="F567" s="5" t="n">
        <v>32000</v>
      </c>
      <c r="G567" s="5" t="n">
        <v>38000</v>
      </c>
      <c r="H567" s="6" t="n">
        <v>46000</v>
      </c>
      <c r="I567" s="4" t="inlineStr">
        <is>
          <t>Cái</t>
        </is>
      </c>
    </row>
    <row r="568">
      <c r="A568" s="3" t="n">
        <v>567</v>
      </c>
      <c r="B568" s="3" t="n">
        <v>29</v>
      </c>
      <c r="C568" s="3" t="inlineStr">
        <is>
          <t>6</t>
        </is>
      </c>
      <c r="D568" s="4" t="inlineStr">
        <is>
          <t>KBX-45 NEW Ø45*80</t>
        </is>
      </c>
      <c r="E568" s="3" t="inlineStr">
        <is>
          <t>Cái</t>
        </is>
      </c>
      <c r="F568" s="5" t="n">
        <v>48000</v>
      </c>
      <c r="G568" s="5" t="n">
        <v>57000</v>
      </c>
      <c r="H568" s="6" t="n">
        <v>70000</v>
      </c>
      <c r="I568" s="4" t="inlineStr">
        <is>
          <t>Cái</t>
        </is>
      </c>
    </row>
    <row r="569">
      <c r="A569" s="3" t="n">
        <v>568</v>
      </c>
      <c r="B569" s="3" t="n">
        <v>29</v>
      </c>
      <c r="C569" s="3" t="inlineStr">
        <is>
          <t>7</t>
        </is>
      </c>
      <c r="D569" s="4" t="inlineStr">
        <is>
          <t>KBX-55 NEW Ø55*80</t>
        </is>
      </c>
      <c r="E569" s="3" t="inlineStr">
        <is>
          <t>Cái</t>
        </is>
      </c>
      <c r="F569" s="5" t="n">
        <v>59000</v>
      </c>
      <c r="G569" s="5" t="n">
        <v>70000</v>
      </c>
      <c r="H569" s="6" t="n">
        <v>86000</v>
      </c>
      <c r="I569" s="4" t="inlineStr">
        <is>
          <t>Cái</t>
        </is>
      </c>
    </row>
    <row r="570">
      <c r="A570" s="3" t="n">
        <v>569</v>
      </c>
      <c r="B570" s="3" t="n">
        <v>29</v>
      </c>
      <c r="C570" s="3" t="inlineStr">
        <is>
          <t>8</t>
        </is>
      </c>
      <c r="D570" s="4" t="inlineStr">
        <is>
          <t>KBX-60 NEW Ø60*80</t>
        </is>
      </c>
      <c r="E570" s="3" t="inlineStr">
        <is>
          <t>Cái</t>
        </is>
      </c>
      <c r="F570" s="5" t="n">
        <v>64000</v>
      </c>
      <c r="G570" s="5" t="n">
        <v>76000</v>
      </c>
      <c r="H570" s="6" t="n">
        <v>93000</v>
      </c>
      <c r="I570" s="4" t="inlineStr">
        <is>
          <t>Cái</t>
        </is>
      </c>
    </row>
    <row r="571">
      <c r="A571" s="3" t="n">
        <v>570</v>
      </c>
      <c r="B571" s="3" t="n">
        <v>29</v>
      </c>
      <c r="C571" s="3" t="inlineStr">
        <is>
          <t>9</t>
        </is>
      </c>
      <c r="D571" s="4" t="inlineStr">
        <is>
          <t>KBX2-15 Ø15*90</t>
        </is>
      </c>
      <c r="E571" s="3" t="inlineStr">
        <is>
          <t>Cái</t>
        </is>
      </c>
      <c r="F571" s="5" t="n">
        <v>59000</v>
      </c>
      <c r="G571" s="5" t="n">
        <v>70000</v>
      </c>
      <c r="H571" s="6" t="n">
        <v>86000</v>
      </c>
      <c r="I571" s="4" t="inlineStr">
        <is>
          <t>Cái 10c/H 240c/T</t>
        </is>
      </c>
    </row>
    <row r="572">
      <c r="A572" s="3" t="n">
        <v>571</v>
      </c>
      <c r="B572" s="3" t="n">
        <v>29</v>
      </c>
      <c r="C572" s="3" t="inlineStr">
        <is>
          <t>10</t>
        </is>
      </c>
      <c r="D572" s="4" t="inlineStr">
        <is>
          <t>KBX2-16 Ø16*90</t>
        </is>
      </c>
      <c r="E572" s="3" t="inlineStr">
        <is>
          <t>Cái</t>
        </is>
      </c>
      <c r="F572" s="5" t="n">
        <v>59000</v>
      </c>
      <c r="G572" s="5" t="n">
        <v>70000</v>
      </c>
      <c r="H572" s="6" t="n">
        <v>86000</v>
      </c>
      <c r="I572" s="4" t="inlineStr">
        <is>
          <t>Cái 10c/H 240c/T</t>
        </is>
      </c>
    </row>
    <row r="573">
      <c r="A573" s="3" t="n">
        <v>572</v>
      </c>
      <c r="B573" s="3" t="n">
        <v>29</v>
      </c>
      <c r="C573" s="3" t="inlineStr">
        <is>
          <t>11</t>
        </is>
      </c>
      <c r="D573" s="4" t="inlineStr">
        <is>
          <t>KBX2-18 Ø18*90</t>
        </is>
      </c>
      <c r="E573" s="3" t="inlineStr">
        <is>
          <t>Cái</t>
        </is>
      </c>
      <c r="F573" s="5" t="n">
        <v>59000</v>
      </c>
      <c r="G573" s="5" t="n">
        <v>70000</v>
      </c>
      <c r="H573" s="6" t="n">
        <v>86000</v>
      </c>
      <c r="I573" s="4" t="inlineStr">
        <is>
          <t>Cái 10c/H 240c/T</t>
        </is>
      </c>
    </row>
    <row r="574">
      <c r="A574" s="3" t="n">
        <v>573</v>
      </c>
      <c r="B574" s="3" t="n">
        <v>29</v>
      </c>
      <c r="C574" s="3" t="inlineStr">
        <is>
          <t>12</t>
        </is>
      </c>
      <c r="D574" s="4" t="inlineStr">
        <is>
          <t>KBX2-19 Ø19*90</t>
        </is>
      </c>
      <c r="E574" s="3" t="inlineStr">
        <is>
          <t>Cái</t>
        </is>
      </c>
      <c r="F574" s="5" t="n">
        <v>65000</v>
      </c>
      <c r="G574" s="5" t="n">
        <v>77000</v>
      </c>
      <c r="H574" s="6" t="n">
        <v>94000</v>
      </c>
      <c r="I574" s="4" t="inlineStr">
        <is>
          <t>Cái 10c/H 240c/T</t>
        </is>
      </c>
    </row>
    <row r="575">
      <c r="A575" s="3" t="n">
        <v>574</v>
      </c>
      <c r="B575" s="3" t="n">
        <v>29</v>
      </c>
      <c r="C575" s="3" t="inlineStr">
        <is>
          <t>13</t>
        </is>
      </c>
      <c r="D575" s="4" t="inlineStr">
        <is>
          <t>KBX2-20 Ø20*90</t>
        </is>
      </c>
      <c r="E575" s="3" t="inlineStr">
        <is>
          <t>Cái</t>
        </is>
      </c>
      <c r="F575" s="5" t="n">
        <v>67000</v>
      </c>
      <c r="G575" s="5" t="n">
        <v>79000</v>
      </c>
      <c r="H575" s="6" t="n">
        <v>97000</v>
      </c>
      <c r="I575" s="4" t="inlineStr">
        <is>
          <t>Cái 10c/H 240c/T</t>
        </is>
      </c>
    </row>
    <row r="576">
      <c r="A576" s="3" t="n">
        <v>575</v>
      </c>
      <c r="B576" s="3" t="n">
        <v>29</v>
      </c>
      <c r="C576" s="3" t="inlineStr">
        <is>
          <t>14</t>
        </is>
      </c>
      <c r="D576" s="4" t="inlineStr">
        <is>
          <t>KBX2-21 Ø21*90</t>
        </is>
      </c>
      <c r="E576" s="3" t="inlineStr">
        <is>
          <t>Cái</t>
        </is>
      </c>
      <c r="F576" s="5" t="n">
        <v>68000</v>
      </c>
      <c r="G576" s="5" t="n">
        <v>80000</v>
      </c>
      <c r="H576" s="6" t="n">
        <v>99000</v>
      </c>
      <c r="I576" s="4" t="inlineStr">
        <is>
          <t>Cái 10c/H 240c/T</t>
        </is>
      </c>
    </row>
    <row r="577">
      <c r="A577" s="3" t="n">
        <v>576</v>
      </c>
      <c r="B577" s="3" t="n">
        <v>29</v>
      </c>
      <c r="C577" s="3" t="inlineStr">
        <is>
          <t>15</t>
        </is>
      </c>
      <c r="D577" s="4" t="inlineStr">
        <is>
          <t>KBX2-24 Ø24*90</t>
        </is>
      </c>
      <c r="E577" s="3" t="inlineStr">
        <is>
          <t>Cái</t>
        </is>
      </c>
      <c r="F577" s="5" t="n">
        <v>81000</v>
      </c>
      <c r="G577" s="5" t="n">
        <v>96000</v>
      </c>
      <c r="H577" s="6" t="n">
        <v>118000</v>
      </c>
      <c r="I577" s="4" t="inlineStr">
        <is>
          <t>Cái 10c/H 160c/T</t>
        </is>
      </c>
    </row>
    <row r="578">
      <c r="A578" s="3" t="n">
        <v>577</v>
      </c>
      <c r="B578" s="3" t="n">
        <v>29</v>
      </c>
      <c r="C578" s="3" t="inlineStr">
        <is>
          <t>16</t>
        </is>
      </c>
      <c r="D578" s="4" t="inlineStr">
        <is>
          <t>KBX2-25 Ø25*90</t>
        </is>
      </c>
      <c r="E578" s="3" t="inlineStr">
        <is>
          <t>Cái</t>
        </is>
      </c>
      <c r="F578" s="5" t="n">
        <v>83000</v>
      </c>
      <c r="G578" s="5" t="n">
        <v>98000</v>
      </c>
      <c r="H578" s="6" t="n">
        <v>120000</v>
      </c>
      <c r="I578" s="4" t="inlineStr">
        <is>
          <t>Cái 10c/H 160c/T</t>
        </is>
      </c>
    </row>
    <row r="579">
      <c r="A579" s="3" t="n">
        <v>578</v>
      </c>
      <c r="B579" s="3" t="n">
        <v>29</v>
      </c>
      <c r="C579" s="3" t="inlineStr">
        <is>
          <t>17</t>
        </is>
      </c>
      <c r="D579" s="4" t="inlineStr">
        <is>
          <t>KBX2-27 Ø27*90</t>
        </is>
      </c>
      <c r="E579" s="3" t="inlineStr">
        <is>
          <t>Cái</t>
        </is>
      </c>
      <c r="F579" s="5" t="n">
        <v>92000</v>
      </c>
      <c r="G579" s="5" t="n">
        <v>108000</v>
      </c>
      <c r="H579" s="6" t="n">
        <v>133000</v>
      </c>
      <c r="I579" s="4" t="inlineStr">
        <is>
          <t>Cái 10c/H 160c/T</t>
        </is>
      </c>
    </row>
    <row r="580">
      <c r="A580" s="3" t="n">
        <v>579</v>
      </c>
      <c r="B580" s="3" t="n">
        <v>29</v>
      </c>
      <c r="C580" s="3" t="inlineStr">
        <is>
          <t>18</t>
        </is>
      </c>
      <c r="D580" s="4" t="inlineStr">
        <is>
          <t>KBX2-30 Ø30*90</t>
        </is>
      </c>
      <c r="E580" s="3" t="inlineStr">
        <is>
          <t>Cái</t>
        </is>
      </c>
      <c r="F580" s="5" t="n">
        <v>103000</v>
      </c>
      <c r="G580" s="5" t="n">
        <v>121000</v>
      </c>
      <c r="H580" s="6" t="n">
        <v>149000</v>
      </c>
      <c r="I580" s="4" t="inlineStr">
        <is>
          <t>Cái 10c/H 160c/T</t>
        </is>
      </c>
    </row>
    <row r="581">
      <c r="A581" s="3" t="n">
        <v>580</v>
      </c>
      <c r="B581" s="3" t="n">
        <v>29</v>
      </c>
      <c r="C581" s="3" t="inlineStr">
        <is>
          <t>19</t>
        </is>
      </c>
      <c r="D581" s="4" t="inlineStr">
        <is>
          <t>KBX2-32 Ø32*90</t>
        </is>
      </c>
      <c r="E581" s="3" t="inlineStr">
        <is>
          <t>Cái</t>
        </is>
      </c>
      <c r="F581" s="5" t="n">
        <v>110000</v>
      </c>
      <c r="G581" s="5" t="n">
        <v>130000</v>
      </c>
      <c r="H581" s="6" t="n">
        <v>160000</v>
      </c>
      <c r="I581" s="4" t="inlineStr">
        <is>
          <t>Cái 10c/H 120c/T</t>
        </is>
      </c>
    </row>
    <row r="582">
      <c r="A582" s="3" t="n">
        <v>581</v>
      </c>
      <c r="B582" s="3" t="n">
        <v>29</v>
      </c>
      <c r="C582" s="3" t="inlineStr">
        <is>
          <t>20</t>
        </is>
      </c>
      <c r="D582" s="4" t="inlineStr">
        <is>
          <t>KBX2-35 Ø35*90</t>
        </is>
      </c>
      <c r="E582" s="3" t="inlineStr">
        <is>
          <t>Cái</t>
        </is>
      </c>
      <c r="F582" s="5" t="n">
        <v>119000</v>
      </c>
      <c r="G582" s="5" t="n">
        <v>141000</v>
      </c>
      <c r="H582" s="6" t="n">
        <v>173000</v>
      </c>
      <c r="I582" s="4" t="inlineStr">
        <is>
          <t>Cái 10c/H 120c/T</t>
        </is>
      </c>
    </row>
    <row r="583">
      <c r="A583" s="3" t="n">
        <v>582</v>
      </c>
      <c r="B583" s="3" t="n">
        <v>29</v>
      </c>
      <c r="C583" s="3" t="inlineStr">
        <is>
          <t>21</t>
        </is>
      </c>
      <c r="D583" s="4" t="inlineStr">
        <is>
          <t>KBX2-40 Ø40*90</t>
        </is>
      </c>
      <c r="E583" s="3" t="inlineStr">
        <is>
          <t>Cái</t>
        </is>
      </c>
      <c r="F583" s="5" t="n">
        <v>133000</v>
      </c>
      <c r="G583" s="5" t="n">
        <v>157000</v>
      </c>
      <c r="H583" s="6" t="n">
        <v>193000</v>
      </c>
      <c r="I583" s="4" t="inlineStr">
        <is>
          <t>Cái 10c/H 80c/T</t>
        </is>
      </c>
    </row>
    <row r="584">
      <c r="A584" s="3" t="n">
        <v>583</v>
      </c>
      <c r="B584" s="3" t="n">
        <v>29</v>
      </c>
      <c r="C584" s="3" t="inlineStr">
        <is>
          <t>22</t>
        </is>
      </c>
      <c r="D584" s="4" t="inlineStr">
        <is>
          <t>KBX2-42 Ø42*90</t>
        </is>
      </c>
      <c r="E584" s="3" t="inlineStr">
        <is>
          <t>Cái</t>
        </is>
      </c>
      <c r="F584" s="5" t="n">
        <v>140000</v>
      </c>
      <c r="G584" s="5" t="n">
        <v>165000</v>
      </c>
      <c r="H584" s="6" t="n">
        <v>203000</v>
      </c>
      <c r="I584" s="4" t="inlineStr">
        <is>
          <t>Cái 10c/H 80c/T</t>
        </is>
      </c>
    </row>
    <row r="585">
      <c r="A585" s="3" t="n">
        <v>584</v>
      </c>
      <c r="B585" s="3" t="n">
        <v>29</v>
      </c>
      <c r="C585" s="3" t="inlineStr">
        <is>
          <t>23</t>
        </is>
      </c>
      <c r="D585" s="4" t="inlineStr">
        <is>
          <t>KBX2-50 Ø50*90</t>
        </is>
      </c>
      <c r="E585" s="3" t="inlineStr">
        <is>
          <t>Cái</t>
        </is>
      </c>
      <c r="F585" s="5" t="n">
        <v>164000</v>
      </c>
      <c r="G585" s="5" t="n">
        <v>194000</v>
      </c>
      <c r="H585" s="6" t="n">
        <v>238000</v>
      </c>
      <c r="I585" s="4" t="inlineStr">
        <is>
          <t>Cái 6c/H 60c/T</t>
        </is>
      </c>
    </row>
    <row r="586">
      <c r="A586" s="3" t="n">
        <v>585</v>
      </c>
      <c r="B586" s="3" t="n">
        <v>29</v>
      </c>
      <c r="C586" s="3" t="inlineStr">
        <is>
          <t>24</t>
        </is>
      </c>
      <c r="D586" s="4" t="inlineStr">
        <is>
          <t>KBX2-60 Ø60*90</t>
        </is>
      </c>
      <c r="E586" s="3" t="inlineStr">
        <is>
          <t>Cái</t>
        </is>
      </c>
      <c r="F586" s="5" t="n">
        <v>191000</v>
      </c>
      <c r="G586" s="5" t="n">
        <v>225000</v>
      </c>
      <c r="H586" s="6" t="n">
        <v>277000</v>
      </c>
      <c r="I586" s="4" t="inlineStr">
        <is>
          <t>Cái 6c/H 60c/T</t>
        </is>
      </c>
    </row>
    <row r="587">
      <c r="A587" s="3" t="n">
        <v>586</v>
      </c>
      <c r="B587" s="3" t="n">
        <v>30</v>
      </c>
      <c r="C587" s="3" t="inlineStr">
        <is>
          <t>1</t>
        </is>
      </c>
      <c r="D587" s="4" t="inlineStr">
        <is>
          <t>TCT-R1-16/25 Ø16</t>
        </is>
      </c>
      <c r="E587" s="3" t="inlineStr">
        <is>
          <t>Cái</t>
        </is>
      </c>
      <c r="F587" s="5" t="n">
        <v>59000</v>
      </c>
      <c r="G587" s="5" t="n">
        <v>72000</v>
      </c>
      <c r="H587" s="6" t="n">
        <v>92000</v>
      </c>
      <c r="I587" s="4" t="inlineStr">
        <is>
          <t>Cái</t>
        </is>
      </c>
    </row>
    <row r="588">
      <c r="A588" s="3" t="n">
        <v>587</v>
      </c>
      <c r="B588" s="3" t="n">
        <v>30</v>
      </c>
      <c r="C588" s="3" t="inlineStr">
        <is>
          <t>2</t>
        </is>
      </c>
      <c r="D588" s="4" t="inlineStr">
        <is>
          <t>TCT-R1-17/25 Ø17</t>
        </is>
      </c>
      <c r="E588" s="3" t="inlineStr">
        <is>
          <t>Cái</t>
        </is>
      </c>
      <c r="F588" s="5" t="n">
        <v>62000</v>
      </c>
      <c r="G588" s="5" t="n">
        <v>76000</v>
      </c>
      <c r="H588" s="6" t="n">
        <v>96000</v>
      </c>
      <c r="I588" s="4" t="inlineStr">
        <is>
          <t>Cái</t>
        </is>
      </c>
    </row>
    <row r="589">
      <c r="A589" s="3" t="n">
        <v>588</v>
      </c>
      <c r="B589" s="3" t="n">
        <v>30</v>
      </c>
      <c r="C589" s="3" t="inlineStr">
        <is>
          <t>3</t>
        </is>
      </c>
      <c r="D589" s="4" t="inlineStr">
        <is>
          <t>TCT-R1-18/25 Ø18</t>
        </is>
      </c>
      <c r="E589" s="3" t="inlineStr">
        <is>
          <t>Cái</t>
        </is>
      </c>
      <c r="F589" s="5" t="n">
        <v>68000</v>
      </c>
      <c r="G589" s="5" t="n">
        <v>83000</v>
      </c>
      <c r="H589" s="6" t="n">
        <v>105000</v>
      </c>
      <c r="I589" s="4" t="inlineStr">
        <is>
          <t>Cái</t>
        </is>
      </c>
    </row>
    <row r="590">
      <c r="A590" s="3" t="n">
        <v>589</v>
      </c>
      <c r="B590" s="3" t="n">
        <v>30</v>
      </c>
      <c r="C590" s="3" t="inlineStr">
        <is>
          <t>4</t>
        </is>
      </c>
      <c r="D590" s="4" t="inlineStr">
        <is>
          <t>TCT-R1-19/25 Ø19</t>
        </is>
      </c>
      <c r="E590" s="3" t="inlineStr">
        <is>
          <t>Cái</t>
        </is>
      </c>
      <c r="F590" s="5" t="n">
        <v>70000</v>
      </c>
      <c r="G590" s="5" t="n">
        <v>86000</v>
      </c>
      <c r="H590" s="6" t="n">
        <v>109000</v>
      </c>
      <c r="I590" s="4" t="inlineStr">
        <is>
          <t>Cái</t>
        </is>
      </c>
    </row>
    <row r="591">
      <c r="A591" s="3" t="n">
        <v>590</v>
      </c>
      <c r="B591" s="3" t="n">
        <v>30</v>
      </c>
      <c r="C591" s="3" t="inlineStr">
        <is>
          <t>5</t>
        </is>
      </c>
      <c r="D591" s="4" t="inlineStr">
        <is>
          <t>TCT-R1-20/25 Ø20</t>
        </is>
      </c>
      <c r="E591" s="3" t="inlineStr">
        <is>
          <t>Cái</t>
        </is>
      </c>
      <c r="F591" s="5" t="n">
        <v>72000</v>
      </c>
      <c r="G591" s="5" t="n">
        <v>88000</v>
      </c>
      <c r="H591" s="6" t="n">
        <v>112000</v>
      </c>
      <c r="I591" s="4" t="inlineStr">
        <is>
          <t>Cái</t>
        </is>
      </c>
    </row>
    <row r="592">
      <c r="A592" s="3" t="n">
        <v>591</v>
      </c>
      <c r="B592" s="3" t="n">
        <v>30</v>
      </c>
      <c r="C592" s="3" t="inlineStr">
        <is>
          <t>6</t>
        </is>
      </c>
      <c r="D592" s="4" t="inlineStr">
        <is>
          <t>TCT-R1-21/25 Ø21</t>
        </is>
      </c>
      <c r="E592" s="3" t="inlineStr">
        <is>
          <t>Cái</t>
        </is>
      </c>
      <c r="F592" s="5" t="n">
        <v>77000</v>
      </c>
      <c r="G592" s="5" t="n">
        <v>94000</v>
      </c>
      <c r="H592" s="6" t="n">
        <v>119000</v>
      </c>
      <c r="I592" s="4" t="inlineStr">
        <is>
          <t>Cái</t>
        </is>
      </c>
    </row>
    <row r="593">
      <c r="A593" s="3" t="n">
        <v>592</v>
      </c>
      <c r="B593" s="3" t="n">
        <v>30</v>
      </c>
      <c r="C593" s="3" t="inlineStr">
        <is>
          <t>7</t>
        </is>
      </c>
      <c r="D593" s="4" t="inlineStr">
        <is>
          <t>TCT-R1-22/25 Ø23</t>
        </is>
      </c>
      <c r="E593" s="3" t="inlineStr">
        <is>
          <t>Cái</t>
        </is>
      </c>
      <c r="F593" s="5" t="n">
        <v>82000</v>
      </c>
      <c r="G593" s="5" t="n">
        <v>100000</v>
      </c>
      <c r="H593" s="6" t="n">
        <v>127000</v>
      </c>
      <c r="I593" s="4" t="inlineStr">
        <is>
          <t>Cái</t>
        </is>
      </c>
    </row>
    <row r="594">
      <c r="A594" s="3" t="n">
        <v>593</v>
      </c>
      <c r="B594" s="3" t="n">
        <v>30</v>
      </c>
      <c r="C594" s="3" t="inlineStr">
        <is>
          <t>8</t>
        </is>
      </c>
      <c r="D594" s="4" t="inlineStr">
        <is>
          <t>TCT-R1-23/25 Ø23</t>
        </is>
      </c>
      <c r="E594" s="3" t="inlineStr">
        <is>
          <t>Cái</t>
        </is>
      </c>
      <c r="F594" s="5" t="n">
        <v>85000</v>
      </c>
      <c r="G594" s="5" t="n">
        <v>104000</v>
      </c>
      <c r="H594" s="6" t="n">
        <v>132000</v>
      </c>
      <c r="I594" s="4" t="inlineStr">
        <is>
          <t>Cái</t>
        </is>
      </c>
    </row>
    <row r="595">
      <c r="A595" s="3" t="n">
        <v>594</v>
      </c>
      <c r="B595" s="3" t="n">
        <v>30</v>
      </c>
      <c r="C595" s="3" t="inlineStr">
        <is>
          <t>9</t>
        </is>
      </c>
      <c r="D595" s="4" t="inlineStr">
        <is>
          <t>TCT-R1-24/25 Ø24</t>
        </is>
      </c>
      <c r="E595" s="3" t="inlineStr">
        <is>
          <t>Cái</t>
        </is>
      </c>
      <c r="F595" s="5" t="n">
        <v>87000</v>
      </c>
      <c r="G595" s="5" t="n">
        <v>106000</v>
      </c>
      <c r="H595" s="6" t="n">
        <v>135000</v>
      </c>
      <c r="I595" s="4" t="inlineStr">
        <is>
          <t>Cái</t>
        </is>
      </c>
    </row>
    <row r="596">
      <c r="A596" s="3" t="n">
        <v>595</v>
      </c>
      <c r="B596" s="3" t="n">
        <v>30</v>
      </c>
      <c r="C596" s="3" t="inlineStr">
        <is>
          <t>10</t>
        </is>
      </c>
      <c r="D596" s="4" t="inlineStr">
        <is>
          <t>TCT-R1-25/25 Ø25</t>
        </is>
      </c>
      <c r="E596" s="3" t="inlineStr">
        <is>
          <t>Cái</t>
        </is>
      </c>
      <c r="F596" s="5" t="n">
        <v>91000</v>
      </c>
      <c r="G596" s="5" t="n">
        <v>111000</v>
      </c>
      <c r="H596" s="6" t="n">
        <v>141000</v>
      </c>
      <c r="I596" s="4" t="inlineStr">
        <is>
          <t>Cái</t>
        </is>
      </c>
    </row>
    <row r="597">
      <c r="A597" s="3" t="n">
        <v>596</v>
      </c>
      <c r="B597" s="3" t="n">
        <v>30</v>
      </c>
      <c r="C597" s="3" t="inlineStr">
        <is>
          <t>11</t>
        </is>
      </c>
      <c r="D597" s="4" t="inlineStr">
        <is>
          <t>TCT-R1-26/25 Ø26</t>
        </is>
      </c>
      <c r="E597" s="3" t="inlineStr">
        <is>
          <t>Cái</t>
        </is>
      </c>
      <c r="F597" s="5" t="n">
        <v>97000</v>
      </c>
      <c r="G597" s="5" t="n">
        <v>118000</v>
      </c>
      <c r="H597" s="6" t="n">
        <v>150000</v>
      </c>
      <c r="I597" s="4" t="inlineStr">
        <is>
          <t>Cái</t>
        </is>
      </c>
    </row>
    <row r="598">
      <c r="A598" s="3" t="n">
        <v>597</v>
      </c>
      <c r="B598" s="3" t="n">
        <v>30</v>
      </c>
      <c r="C598" s="3" t="inlineStr">
        <is>
          <t>12</t>
        </is>
      </c>
      <c r="D598" s="4" t="inlineStr">
        <is>
          <t>TCT-R1-27/25 Ø27</t>
        </is>
      </c>
      <c r="E598" s="3" t="inlineStr">
        <is>
          <t>Cái</t>
        </is>
      </c>
      <c r="F598" s="5" t="n">
        <v>99000</v>
      </c>
      <c r="G598" s="5" t="n">
        <v>121000</v>
      </c>
      <c r="H598" s="6" t="n">
        <v>154000</v>
      </c>
      <c r="I598" s="4" t="inlineStr">
        <is>
          <t>Cái</t>
        </is>
      </c>
    </row>
    <row r="599">
      <c r="A599" s="3" t="n">
        <v>598</v>
      </c>
      <c r="B599" s="3" t="n">
        <v>30</v>
      </c>
      <c r="C599" s="3" t="inlineStr">
        <is>
          <t>13</t>
        </is>
      </c>
      <c r="D599" s="4" t="inlineStr">
        <is>
          <t>TCT-R1-28/25 Ø28</t>
        </is>
      </c>
      <c r="E599" s="3" t="inlineStr">
        <is>
          <t>Cái</t>
        </is>
      </c>
      <c r="F599" s="5" t="n">
        <v>102000</v>
      </c>
      <c r="G599" s="5" t="n">
        <v>124000</v>
      </c>
      <c r="H599" s="6" t="n">
        <v>158000</v>
      </c>
      <c r="I599" s="4" t="inlineStr">
        <is>
          <t>Cái</t>
        </is>
      </c>
    </row>
    <row r="600">
      <c r="A600" s="3" t="n">
        <v>599</v>
      </c>
      <c r="B600" s="3" t="n">
        <v>30</v>
      </c>
      <c r="C600" s="3" t="inlineStr">
        <is>
          <t>14</t>
        </is>
      </c>
      <c r="D600" s="4" t="inlineStr">
        <is>
          <t>TCT-R1-30/25 Ø30</t>
        </is>
      </c>
      <c r="E600" s="3" t="inlineStr">
        <is>
          <t>Cái</t>
        </is>
      </c>
      <c r="F600" s="5" t="n">
        <v>112000</v>
      </c>
      <c r="G600" s="5" t="n">
        <v>137000</v>
      </c>
      <c r="H600" s="6" t="n">
        <v>174000</v>
      </c>
      <c r="I600" s="4" t="inlineStr">
        <is>
          <t>Cái</t>
        </is>
      </c>
    </row>
    <row r="601">
      <c r="A601" s="3" t="n">
        <v>600</v>
      </c>
      <c r="B601" s="3" t="n">
        <v>30</v>
      </c>
      <c r="C601" s="3" t="inlineStr">
        <is>
          <t>15</t>
        </is>
      </c>
      <c r="D601" s="4" t="inlineStr">
        <is>
          <t>TCT-R1-32/25 Ø32</t>
        </is>
      </c>
      <c r="E601" s="3" t="inlineStr">
        <is>
          <t>Cái</t>
        </is>
      </c>
      <c r="F601" s="5" t="n">
        <v>116000</v>
      </c>
      <c r="G601" s="5" t="n">
        <v>142000</v>
      </c>
      <c r="H601" s="6" t="n">
        <v>180000</v>
      </c>
      <c r="I601" s="4" t="inlineStr">
        <is>
          <t>Cái</t>
        </is>
      </c>
    </row>
    <row r="602">
      <c r="A602" s="3" t="n">
        <v>601</v>
      </c>
      <c r="B602" s="3" t="n">
        <v>30</v>
      </c>
      <c r="C602" s="3" t="inlineStr">
        <is>
          <t>16</t>
        </is>
      </c>
      <c r="D602" s="4" t="inlineStr">
        <is>
          <t>TCT-R1-34/25 Ø34</t>
        </is>
      </c>
      <c r="E602" s="3" t="inlineStr">
        <is>
          <t>Cái</t>
        </is>
      </c>
      <c r="F602" s="5" t="n">
        <v>124000</v>
      </c>
      <c r="G602" s="5" t="n">
        <v>151000</v>
      </c>
      <c r="H602" s="6" t="n">
        <v>192000</v>
      </c>
      <c r="I602" s="4" t="inlineStr">
        <is>
          <t>Cái</t>
        </is>
      </c>
    </row>
    <row r="603">
      <c r="A603" s="3" t="n">
        <v>602</v>
      </c>
      <c r="B603" s="3" t="n">
        <v>30</v>
      </c>
      <c r="C603" s="3" t="inlineStr">
        <is>
          <t>17</t>
        </is>
      </c>
      <c r="D603" s="4" t="inlineStr">
        <is>
          <t>TCT-R1-35/25 Ø35</t>
        </is>
      </c>
      <c r="E603" s="3" t="inlineStr">
        <is>
          <t>Cái</t>
        </is>
      </c>
      <c r="F603" s="5" t="n">
        <v>129000</v>
      </c>
      <c r="G603" s="5" t="n">
        <v>157000</v>
      </c>
      <c r="H603" s="6" t="n">
        <v>200000</v>
      </c>
      <c r="I603" s="4" t="inlineStr">
        <is>
          <t>Cái</t>
        </is>
      </c>
    </row>
    <row r="604">
      <c r="A604" s="3" t="n">
        <v>603</v>
      </c>
      <c r="B604" s="3" t="n">
        <v>30</v>
      </c>
      <c r="C604" s="3" t="inlineStr">
        <is>
          <t>18</t>
        </is>
      </c>
      <c r="D604" s="4" t="inlineStr">
        <is>
          <t>TCT-R1-36/25 Ø36</t>
        </is>
      </c>
      <c r="E604" s="3" t="inlineStr">
        <is>
          <t>Cái</t>
        </is>
      </c>
      <c r="F604" s="5" t="n">
        <v>131000</v>
      </c>
      <c r="G604" s="5" t="n">
        <v>160000</v>
      </c>
      <c r="H604" s="6" t="n">
        <v>203000</v>
      </c>
      <c r="I604" s="4" t="inlineStr">
        <is>
          <t>Cái</t>
        </is>
      </c>
    </row>
    <row r="605">
      <c r="A605" s="3" t="n">
        <v>604</v>
      </c>
      <c r="B605" s="3" t="n">
        <v>30</v>
      </c>
      <c r="C605" s="3" t="inlineStr">
        <is>
          <t>19</t>
        </is>
      </c>
      <c r="D605" s="4" t="inlineStr">
        <is>
          <t>TCT-R1-38/25 Ø38</t>
        </is>
      </c>
      <c r="E605" s="3" t="inlineStr">
        <is>
          <t>Cái</t>
        </is>
      </c>
      <c r="F605" s="5" t="n">
        <v>140000</v>
      </c>
      <c r="G605" s="5" t="n">
        <v>171000</v>
      </c>
      <c r="H605" s="6" t="n">
        <v>217000</v>
      </c>
      <c r="I605" s="4" t="inlineStr">
        <is>
          <t>Cái</t>
        </is>
      </c>
    </row>
    <row r="606">
      <c r="A606" s="3" t="n">
        <v>605</v>
      </c>
      <c r="B606" s="3" t="n">
        <v>30</v>
      </c>
      <c r="C606" s="3" t="inlineStr">
        <is>
          <t>20</t>
        </is>
      </c>
      <c r="D606" s="4" t="inlineStr">
        <is>
          <t>TCT-R1-40/25 Ø40</t>
        </is>
      </c>
      <c r="E606" s="3" t="inlineStr">
        <is>
          <t>Cái</t>
        </is>
      </c>
      <c r="F606" s="5" t="n">
        <v>145000</v>
      </c>
      <c r="G606" s="5" t="n">
        <v>177000</v>
      </c>
      <c r="H606" s="6" t="n">
        <v>225000</v>
      </c>
      <c r="I606" s="4" t="inlineStr">
        <is>
          <t>Cái</t>
        </is>
      </c>
    </row>
    <row r="607">
      <c r="A607" s="3" t="n">
        <v>606</v>
      </c>
      <c r="B607" s="3" t="n">
        <v>30</v>
      </c>
      <c r="C607" s="3" t="inlineStr">
        <is>
          <t>21</t>
        </is>
      </c>
      <c r="D607" s="4" t="inlineStr">
        <is>
          <t>TCT-R1-42/25 Ø42</t>
        </is>
      </c>
      <c r="E607" s="3" t="inlineStr">
        <is>
          <t>Cái</t>
        </is>
      </c>
      <c r="F607" s="5" t="n">
        <v>153000</v>
      </c>
      <c r="G607" s="5" t="n">
        <v>187000</v>
      </c>
      <c r="H607" s="6" t="n">
        <v>237000</v>
      </c>
      <c r="I607" s="4" t="inlineStr">
        <is>
          <t>Cái</t>
        </is>
      </c>
    </row>
    <row r="608">
      <c r="A608" s="3" t="n">
        <v>607</v>
      </c>
      <c r="B608" s="3" t="n">
        <v>30</v>
      </c>
      <c r="C608" s="3" t="inlineStr">
        <is>
          <t>22</t>
        </is>
      </c>
      <c r="D608" s="4" t="inlineStr">
        <is>
          <t>TCT-R1-45/25 Ø45</t>
        </is>
      </c>
      <c r="E608" s="3" t="inlineStr">
        <is>
          <t>Cái</t>
        </is>
      </c>
      <c r="F608" s="5" t="n">
        <v>162000</v>
      </c>
      <c r="G608" s="5" t="n">
        <v>198000</v>
      </c>
      <c r="H608" s="6" t="n">
        <v>251000</v>
      </c>
      <c r="I608" s="4" t="inlineStr">
        <is>
          <t>Cái</t>
        </is>
      </c>
    </row>
    <row r="609">
      <c r="A609" s="3" t="n">
        <v>608</v>
      </c>
      <c r="B609" s="3" t="n">
        <v>30</v>
      </c>
      <c r="C609" s="3" t="inlineStr">
        <is>
          <t>23</t>
        </is>
      </c>
      <c r="D609" s="4" t="inlineStr">
        <is>
          <t>TCT-R1-50/25 Ø50</t>
        </is>
      </c>
      <c r="E609" s="3" t="inlineStr">
        <is>
          <t>Cái</t>
        </is>
      </c>
      <c r="F609" s="5" t="n">
        <v>183000</v>
      </c>
      <c r="G609" s="5" t="n">
        <v>223000</v>
      </c>
      <c r="H609" s="6" t="n">
        <v>284000</v>
      </c>
      <c r="I609" s="4" t="inlineStr">
        <is>
          <t>Cái</t>
        </is>
      </c>
    </row>
    <row r="610">
      <c r="A610" s="3" t="n">
        <v>609</v>
      </c>
      <c r="B610" s="3" t="n">
        <v>30</v>
      </c>
      <c r="C610" s="3" t="inlineStr">
        <is>
          <t>24</t>
        </is>
      </c>
      <c r="D610" s="4" t="inlineStr">
        <is>
          <t>TCT-R1-55/25 Ø55</t>
        </is>
      </c>
      <c r="E610" s="3" t="inlineStr">
        <is>
          <t>Cái</t>
        </is>
      </c>
      <c r="F610" s="5" t="n">
        <v>201000</v>
      </c>
      <c r="G610" s="5" t="n">
        <v>245000</v>
      </c>
      <c r="H610" s="6" t="n">
        <v>312000</v>
      </c>
      <c r="I610" s="4" t="inlineStr">
        <is>
          <t>Cái</t>
        </is>
      </c>
    </row>
    <row r="611">
      <c r="A611" s="3" t="n">
        <v>610</v>
      </c>
      <c r="B611" s="3" t="n">
        <v>30</v>
      </c>
      <c r="C611" s="3" t="inlineStr">
        <is>
          <t>25</t>
        </is>
      </c>
      <c r="D611" s="4" t="inlineStr">
        <is>
          <t>TCT-R1-60/25 Ø60</t>
        </is>
      </c>
      <c r="E611" s="3" t="inlineStr">
        <is>
          <t>Cái</t>
        </is>
      </c>
      <c r="F611" s="5" t="n">
        <v>219000</v>
      </c>
      <c r="G611" s="5" t="n">
        <v>267000</v>
      </c>
      <c r="H611" s="6" t="n">
        <v>340000</v>
      </c>
      <c r="I611" s="4" t="inlineStr">
        <is>
          <t>Cái</t>
        </is>
      </c>
    </row>
    <row r="612">
      <c r="A612" s="3" t="n">
        <v>611</v>
      </c>
      <c r="B612" s="3" t="n">
        <v>30</v>
      </c>
      <c r="C612" s="3" t="inlineStr">
        <is>
          <t>26</t>
        </is>
      </c>
      <c r="D612" s="4" t="inlineStr">
        <is>
          <t>TCT-R1-65/25 Ø65</t>
        </is>
      </c>
      <c r="E612" s="3" t="inlineStr">
        <is>
          <t>Cái</t>
        </is>
      </c>
      <c r="F612" s="5" t="n">
        <v>236000</v>
      </c>
      <c r="G612" s="5" t="n">
        <v>288000</v>
      </c>
      <c r="H612" s="6" t="n">
        <v>366000</v>
      </c>
      <c r="I612" s="4" t="inlineStr">
        <is>
          <t>Cái</t>
        </is>
      </c>
    </row>
    <row r="613">
      <c r="A613" s="3" t="n">
        <v>612</v>
      </c>
      <c r="B613" s="3" t="n">
        <v>30</v>
      </c>
      <c r="C613" s="3" t="inlineStr">
        <is>
          <t>27</t>
        </is>
      </c>
      <c r="D613" s="4" t="inlineStr">
        <is>
          <t>TCT-R1-70/25 Ø70</t>
        </is>
      </c>
      <c r="E613" s="3" t="inlineStr">
        <is>
          <t>Cái</t>
        </is>
      </c>
      <c r="F613" s="5" t="n">
        <v>262000</v>
      </c>
      <c r="G613" s="5" t="n">
        <v>320000</v>
      </c>
      <c r="H613" s="6" t="n">
        <v>406000</v>
      </c>
      <c r="I613" s="4" t="inlineStr">
        <is>
          <t>Cái</t>
        </is>
      </c>
    </row>
    <row r="614">
      <c r="A614" s="3" t="n">
        <v>613</v>
      </c>
      <c r="B614" s="3" t="n">
        <v>30</v>
      </c>
      <c r="C614" s="3" t="inlineStr">
        <is>
          <t>28</t>
        </is>
      </c>
      <c r="D614" s="4" t="inlineStr">
        <is>
          <t>TCT-R1-75/25 Ø75</t>
        </is>
      </c>
      <c r="E614" s="3" t="inlineStr">
        <is>
          <t>Cái</t>
        </is>
      </c>
      <c r="F614" s="5" t="n">
        <v>276000</v>
      </c>
      <c r="G614" s="5" t="n">
        <v>337000</v>
      </c>
      <c r="H614" s="6" t="n">
        <v>428000</v>
      </c>
      <c r="I614" s="4" t="inlineStr">
        <is>
          <t>Cái</t>
        </is>
      </c>
    </row>
    <row r="615">
      <c r="A615" s="3" t="n">
        <v>614</v>
      </c>
      <c r="B615" s="3" t="n">
        <v>30</v>
      </c>
      <c r="C615" s="3" t="inlineStr">
        <is>
          <t>29</t>
        </is>
      </c>
      <c r="D615" s="4" t="inlineStr">
        <is>
          <t>TCT-R1-90/25 Ø90</t>
        </is>
      </c>
      <c r="E615" s="3" t="inlineStr">
        <is>
          <t>Cái</t>
        </is>
      </c>
      <c r="F615" s="5" t="n">
        <v>328000</v>
      </c>
      <c r="G615" s="5" t="n">
        <v>400000</v>
      </c>
      <c r="H615" s="6" t="n">
        <v>508000</v>
      </c>
      <c r="I615" s="4" t="inlineStr">
        <is>
          <t>Cái</t>
        </is>
      </c>
    </row>
    <row r="616">
      <c r="A616" s="3" t="n">
        <v>615</v>
      </c>
      <c r="B616" s="3" t="n">
        <v>30</v>
      </c>
      <c r="C616" s="3" t="inlineStr">
        <is>
          <t>30</t>
        </is>
      </c>
      <c r="D616" s="4" t="inlineStr">
        <is>
          <t>TCT-R1-95/25 Ø95</t>
        </is>
      </c>
      <c r="E616" s="3" t="inlineStr">
        <is>
          <t>Cái</t>
        </is>
      </c>
      <c r="F616" s="5" t="n">
        <v>358000</v>
      </c>
      <c r="G616" s="5" t="n">
        <v>437000</v>
      </c>
      <c r="H616" s="6" t="n">
        <v>555000</v>
      </c>
      <c r="I616" s="4" t="inlineStr">
        <is>
          <t>Cái</t>
        </is>
      </c>
    </row>
    <row r="617">
      <c r="A617" s="3" t="n">
        <v>616</v>
      </c>
      <c r="B617" s="3" t="n">
        <v>30</v>
      </c>
      <c r="C617" s="3" t="inlineStr">
        <is>
          <t>1</t>
        </is>
      </c>
      <c r="D617" s="4" t="inlineStr">
        <is>
          <t>TCT-R3-14/25 Ø14</t>
        </is>
      </c>
      <c r="E617" s="3" t="inlineStr">
        <is>
          <t>Cái</t>
        </is>
      </c>
      <c r="F617" s="5" t="n">
        <v>314000</v>
      </c>
      <c r="G617" s="5" t="n">
        <v>370000</v>
      </c>
      <c r="H617" s="6" t="n">
        <v>455000</v>
      </c>
      <c r="I617" s="4" t="inlineStr">
        <is>
          <t>Cái</t>
        </is>
      </c>
    </row>
    <row r="618">
      <c r="A618" s="3" t="n">
        <v>617</v>
      </c>
      <c r="B618" s="3" t="n">
        <v>30</v>
      </c>
      <c r="C618" s="3" t="inlineStr">
        <is>
          <t>2</t>
        </is>
      </c>
      <c r="D618" s="4" t="inlineStr">
        <is>
          <t>TCT-R3-15/25 Ø15</t>
        </is>
      </c>
      <c r="E618" s="3" t="inlineStr">
        <is>
          <t>Cái</t>
        </is>
      </c>
      <c r="F618" s="5" t="n">
        <v>314000</v>
      </c>
      <c r="G618" s="5" t="n">
        <v>370000</v>
      </c>
      <c r="H618" s="6" t="n">
        <v>455000</v>
      </c>
      <c r="I618" s="4" t="inlineStr">
        <is>
          <t>Cái</t>
        </is>
      </c>
    </row>
    <row r="619">
      <c r="A619" s="3" t="n">
        <v>618</v>
      </c>
      <c r="B619" s="3" t="n">
        <v>30</v>
      </c>
      <c r="C619" s="3" t="inlineStr">
        <is>
          <t>3</t>
        </is>
      </c>
      <c r="D619" s="4" t="inlineStr">
        <is>
          <t>TCT-R3-16/25 Ø16</t>
        </is>
      </c>
      <c r="E619" s="3" t="inlineStr">
        <is>
          <t>Cái</t>
        </is>
      </c>
      <c r="F619" s="5" t="n">
        <v>316000</v>
      </c>
      <c r="G619" s="5" t="n">
        <v>373000</v>
      </c>
      <c r="H619" s="6" t="n">
        <v>458000</v>
      </c>
      <c r="I619" s="4" t="inlineStr">
        <is>
          <t>Cái</t>
        </is>
      </c>
    </row>
    <row r="620">
      <c r="A620" s="3" t="n">
        <v>619</v>
      </c>
      <c r="B620" s="3" t="n">
        <v>30</v>
      </c>
      <c r="C620" s="3" t="inlineStr">
        <is>
          <t>4</t>
        </is>
      </c>
      <c r="D620" s="4" t="inlineStr">
        <is>
          <t>TCT-R3-17/25 Ø17</t>
        </is>
      </c>
      <c r="E620" s="3" t="inlineStr">
        <is>
          <t>Cái</t>
        </is>
      </c>
      <c r="F620" s="5" t="n">
        <v>316000</v>
      </c>
      <c r="G620" s="5" t="n">
        <v>373000</v>
      </c>
      <c r="H620" s="6" t="n">
        <v>458000</v>
      </c>
      <c r="I620" s="4" t="inlineStr">
        <is>
          <t>Cái</t>
        </is>
      </c>
    </row>
    <row r="621">
      <c r="A621" s="3" t="n">
        <v>620</v>
      </c>
      <c r="B621" s="3" t="n">
        <v>30</v>
      </c>
      <c r="C621" s="3" t="inlineStr">
        <is>
          <t>5</t>
        </is>
      </c>
      <c r="D621" s="4" t="inlineStr">
        <is>
          <t>TCT-R3-18/25 Ø18</t>
        </is>
      </c>
      <c r="E621" s="3" t="inlineStr">
        <is>
          <t>Cái</t>
        </is>
      </c>
      <c r="F621" s="5" t="n">
        <v>316000</v>
      </c>
      <c r="G621" s="5" t="n">
        <v>373000</v>
      </c>
      <c r="H621" s="6" t="n">
        <v>458000</v>
      </c>
      <c r="I621" s="4" t="inlineStr">
        <is>
          <t>Cái</t>
        </is>
      </c>
    </row>
    <row r="622">
      <c r="A622" s="3" t="n">
        <v>621</v>
      </c>
      <c r="B622" s="3" t="n">
        <v>30</v>
      </c>
      <c r="C622" s="3" t="inlineStr">
        <is>
          <t>6</t>
        </is>
      </c>
      <c r="D622" s="4" t="inlineStr">
        <is>
          <t>TCT-R3-19/25 Ø19</t>
        </is>
      </c>
      <c r="E622" s="3" t="inlineStr">
        <is>
          <t>Cái</t>
        </is>
      </c>
      <c r="F622" s="5" t="n">
        <v>316000</v>
      </c>
      <c r="G622" s="5" t="n">
        <v>373000</v>
      </c>
      <c r="H622" s="6" t="n">
        <v>458000</v>
      </c>
      <c r="I622" s="4" t="inlineStr">
        <is>
          <t>Cái</t>
        </is>
      </c>
    </row>
    <row r="623">
      <c r="A623" s="3" t="n">
        <v>622</v>
      </c>
      <c r="B623" s="3" t="n">
        <v>30</v>
      </c>
      <c r="C623" s="3" t="inlineStr">
        <is>
          <t>7</t>
        </is>
      </c>
      <c r="D623" s="4" t="inlineStr">
        <is>
          <t>TCT-R3-20/25 Ø20</t>
        </is>
      </c>
      <c r="E623" s="3" t="inlineStr">
        <is>
          <t>Cái</t>
        </is>
      </c>
      <c r="F623" s="5" t="n">
        <v>316000</v>
      </c>
      <c r="G623" s="5" t="n">
        <v>373000</v>
      </c>
      <c r="H623" s="6" t="n">
        <v>458000</v>
      </c>
      <c r="I623" s="4" t="inlineStr">
        <is>
          <t>Cái</t>
        </is>
      </c>
    </row>
    <row r="624">
      <c r="A624" s="3" t="n">
        <v>623</v>
      </c>
      <c r="B624" s="3" t="n">
        <v>30</v>
      </c>
      <c r="C624" s="3" t="inlineStr">
        <is>
          <t>8</t>
        </is>
      </c>
      <c r="D624" s="4" t="inlineStr">
        <is>
          <t>TCT-R3-21/25 Ø21</t>
        </is>
      </c>
      <c r="E624" s="3" t="inlineStr">
        <is>
          <t>Cái</t>
        </is>
      </c>
      <c r="F624" s="5" t="n">
        <v>386000</v>
      </c>
      <c r="G624" s="5" t="n">
        <v>456000</v>
      </c>
      <c r="H624" s="6" t="n">
        <v>560000</v>
      </c>
      <c r="I624" s="4" t="inlineStr">
        <is>
          <t>Cái</t>
        </is>
      </c>
    </row>
    <row r="625">
      <c r="A625" s="3" t="n">
        <v>624</v>
      </c>
      <c r="B625" s="3" t="n">
        <v>30</v>
      </c>
      <c r="C625" s="3" t="inlineStr">
        <is>
          <t>9</t>
        </is>
      </c>
      <c r="D625" s="4" t="inlineStr">
        <is>
          <t>TCT-R3-22/25 Ø22</t>
        </is>
      </c>
      <c r="E625" s="3" t="inlineStr">
        <is>
          <t>Cái</t>
        </is>
      </c>
      <c r="F625" s="5" t="n">
        <v>386000</v>
      </c>
      <c r="G625" s="5" t="n">
        <v>456000</v>
      </c>
      <c r="H625" s="6" t="n">
        <v>560000</v>
      </c>
      <c r="I625" s="4" t="inlineStr">
        <is>
          <t>Cái</t>
        </is>
      </c>
    </row>
    <row r="626">
      <c r="A626" s="3" t="n">
        <v>625</v>
      </c>
      <c r="B626" s="3" t="n">
        <v>30</v>
      </c>
      <c r="C626" s="3" t="inlineStr">
        <is>
          <t>10</t>
        </is>
      </c>
      <c r="D626" s="4" t="inlineStr">
        <is>
          <t>TCT-R3-23/25 Ø23</t>
        </is>
      </c>
      <c r="E626" s="3" t="inlineStr">
        <is>
          <t>Cái</t>
        </is>
      </c>
      <c r="F626" s="5" t="n">
        <v>386000</v>
      </c>
      <c r="G626" s="5" t="n">
        <v>456000</v>
      </c>
      <c r="H626" s="6" t="n">
        <v>560000</v>
      </c>
      <c r="I626" s="4" t="inlineStr">
        <is>
          <t>Cái</t>
        </is>
      </c>
    </row>
    <row r="627">
      <c r="A627" s="3" t="n">
        <v>626</v>
      </c>
      <c r="B627" s="3" t="n">
        <v>30</v>
      </c>
      <c r="C627" s="3" t="inlineStr">
        <is>
          <t>11</t>
        </is>
      </c>
      <c r="D627" s="4" t="inlineStr">
        <is>
          <t>TCT-R3-24/25 Ø24</t>
        </is>
      </c>
      <c r="E627" s="3" t="inlineStr">
        <is>
          <t>Cái</t>
        </is>
      </c>
      <c r="F627" s="5" t="n">
        <v>386000</v>
      </c>
      <c r="G627" s="5" t="n">
        <v>456000</v>
      </c>
      <c r="H627" s="6" t="n">
        <v>560000</v>
      </c>
      <c r="I627" s="4" t="inlineStr">
        <is>
          <t>Cái</t>
        </is>
      </c>
    </row>
    <row r="628">
      <c r="A628" s="3" t="n">
        <v>627</v>
      </c>
      <c r="B628" s="3" t="n">
        <v>30</v>
      </c>
      <c r="C628" s="3" t="inlineStr">
        <is>
          <t>12</t>
        </is>
      </c>
      <c r="D628" s="4" t="inlineStr">
        <is>
          <t>TCT-R3-25/25 Ø25</t>
        </is>
      </c>
      <c r="E628" s="3" t="inlineStr">
        <is>
          <t>Cái</t>
        </is>
      </c>
      <c r="F628" s="5" t="n">
        <v>386000</v>
      </c>
      <c r="G628" s="5" t="n">
        <v>456000</v>
      </c>
      <c r="H628" s="6" t="n">
        <v>560000</v>
      </c>
      <c r="I628" s="4" t="inlineStr">
        <is>
          <t>Cái</t>
        </is>
      </c>
    </row>
    <row r="629">
      <c r="A629" s="3" t="n">
        <v>628</v>
      </c>
      <c r="B629" s="3" t="n">
        <v>30</v>
      </c>
      <c r="C629" s="3" t="inlineStr">
        <is>
          <t>13</t>
        </is>
      </c>
      <c r="D629" s="4" t="inlineStr">
        <is>
          <t>TCT-R3-26/25 Ø26</t>
        </is>
      </c>
      <c r="E629" s="3" t="inlineStr">
        <is>
          <t>Cái</t>
        </is>
      </c>
      <c r="F629" s="5" t="n">
        <v>396000</v>
      </c>
      <c r="G629" s="5" t="n">
        <v>467000</v>
      </c>
      <c r="H629" s="6" t="n">
        <v>574000</v>
      </c>
      <c r="I629" s="4" t="inlineStr">
        <is>
          <t>Cái</t>
        </is>
      </c>
    </row>
    <row r="630">
      <c r="A630" s="3" t="n">
        <v>629</v>
      </c>
      <c r="B630" s="3" t="n">
        <v>31</v>
      </c>
      <c r="C630" s="3" t="inlineStr">
        <is>
          <t>14</t>
        </is>
      </c>
      <c r="D630" s="4" t="inlineStr">
        <is>
          <t>TCT-R3-27/25 Ø27</t>
        </is>
      </c>
      <c r="E630" s="3" t="inlineStr">
        <is>
          <t>Cái</t>
        </is>
      </c>
      <c r="F630" s="5" t="n">
        <v>396000</v>
      </c>
      <c r="G630" s="5" t="n">
        <v>467000</v>
      </c>
      <c r="H630" s="6" t="n">
        <v>574000</v>
      </c>
      <c r="I630" s="4" t="inlineStr">
        <is>
          <t>Cái</t>
        </is>
      </c>
    </row>
    <row r="631">
      <c r="A631" s="3" t="n">
        <v>630</v>
      </c>
      <c r="B631" s="3" t="n">
        <v>31</v>
      </c>
      <c r="C631" s="3" t="inlineStr">
        <is>
          <t>15</t>
        </is>
      </c>
      <c r="D631" s="4" t="inlineStr">
        <is>
          <t>TCT-R3-28/25 Ø28</t>
        </is>
      </c>
      <c r="E631" s="3" t="inlineStr">
        <is>
          <t>Cái</t>
        </is>
      </c>
      <c r="F631" s="5" t="n">
        <v>396000</v>
      </c>
      <c r="G631" s="5" t="n">
        <v>467000</v>
      </c>
      <c r="H631" s="6" t="n">
        <v>574000</v>
      </c>
      <c r="I631" s="4" t="inlineStr">
        <is>
          <t>Cái</t>
        </is>
      </c>
    </row>
    <row r="632">
      <c r="A632" s="3" t="n">
        <v>631</v>
      </c>
      <c r="B632" s="3" t="n">
        <v>31</v>
      </c>
      <c r="C632" s="3" t="inlineStr">
        <is>
          <t>16</t>
        </is>
      </c>
      <c r="D632" s="4" t="inlineStr">
        <is>
          <t>TCT-R3-29/25 Ø29</t>
        </is>
      </c>
      <c r="E632" s="3" t="inlineStr">
        <is>
          <t>Cái</t>
        </is>
      </c>
      <c r="F632" s="5" t="n">
        <v>396000</v>
      </c>
      <c r="G632" s="5" t="n">
        <v>467000</v>
      </c>
      <c r="H632" s="6" t="n">
        <v>574000</v>
      </c>
      <c r="I632" s="4" t="inlineStr">
        <is>
          <t>Cái</t>
        </is>
      </c>
    </row>
    <row r="633">
      <c r="A633" s="3" t="n">
        <v>632</v>
      </c>
      <c r="B633" s="3" t="n">
        <v>31</v>
      </c>
      <c r="C633" s="3" t="inlineStr">
        <is>
          <t>17</t>
        </is>
      </c>
      <c r="D633" s="4" t="inlineStr">
        <is>
          <t>TCT-R3-30/25 Ø30</t>
        </is>
      </c>
      <c r="E633" s="3" t="inlineStr">
        <is>
          <t>Cái</t>
        </is>
      </c>
      <c r="F633" s="5" t="n">
        <v>396000</v>
      </c>
      <c r="G633" s="5" t="n">
        <v>467000</v>
      </c>
      <c r="H633" s="6" t="n">
        <v>574000</v>
      </c>
      <c r="I633" s="4" t="inlineStr">
        <is>
          <t>Cái</t>
        </is>
      </c>
    </row>
    <row r="634">
      <c r="A634" s="3" t="n">
        <v>633</v>
      </c>
      <c r="B634" s="3" t="n">
        <v>31</v>
      </c>
      <c r="C634" s="3" t="inlineStr">
        <is>
          <t>18</t>
        </is>
      </c>
      <c r="D634" s="4" t="inlineStr">
        <is>
          <t>TCT-R3-31/25 Ø31</t>
        </is>
      </c>
      <c r="E634" s="3" t="inlineStr">
        <is>
          <t>Cái</t>
        </is>
      </c>
      <c r="F634" s="5" t="n">
        <v>411000</v>
      </c>
      <c r="G634" s="5" t="n">
        <v>485000</v>
      </c>
      <c r="H634" s="6" t="n">
        <v>596000</v>
      </c>
      <c r="I634" s="4" t="inlineStr">
        <is>
          <t>Cái</t>
        </is>
      </c>
    </row>
    <row r="635">
      <c r="A635" s="3" t="n">
        <v>634</v>
      </c>
      <c r="B635" s="3" t="n">
        <v>31</v>
      </c>
      <c r="C635" s="3" t="inlineStr">
        <is>
          <t>19</t>
        </is>
      </c>
      <c r="D635" s="4" t="inlineStr">
        <is>
          <t>TCT-R3-32/25 Ø32</t>
        </is>
      </c>
      <c r="E635" s="3" t="inlineStr">
        <is>
          <t>Cái</t>
        </is>
      </c>
      <c r="F635" s="5" t="n">
        <v>411000</v>
      </c>
      <c r="G635" s="5" t="n">
        <v>485000</v>
      </c>
      <c r="H635" s="6" t="n">
        <v>596000</v>
      </c>
      <c r="I635" s="4" t="inlineStr">
        <is>
          <t>Cái</t>
        </is>
      </c>
    </row>
    <row r="636">
      <c r="A636" s="3" t="n">
        <v>635</v>
      </c>
      <c r="B636" s="3" t="n">
        <v>31</v>
      </c>
      <c r="C636" s="3" t="inlineStr">
        <is>
          <t>20</t>
        </is>
      </c>
      <c r="D636" s="4" t="inlineStr">
        <is>
          <t>TCT-R3-33/25 Ø33</t>
        </is>
      </c>
      <c r="E636" s="3" t="inlineStr">
        <is>
          <t>Cái</t>
        </is>
      </c>
      <c r="F636" s="5" t="n">
        <v>411000</v>
      </c>
      <c r="G636" s="5" t="n">
        <v>485000</v>
      </c>
      <c r="H636" s="6" t="n">
        <v>596000</v>
      </c>
      <c r="I636" s="4" t="inlineStr">
        <is>
          <t>Cái</t>
        </is>
      </c>
    </row>
    <row r="637">
      <c r="A637" s="3" t="n">
        <v>636</v>
      </c>
      <c r="B637" s="3" t="n">
        <v>31</v>
      </c>
      <c r="C637" s="3" t="inlineStr">
        <is>
          <t>21</t>
        </is>
      </c>
      <c r="D637" s="4" t="inlineStr">
        <is>
          <t>TCT-R3-34/25 Ø34</t>
        </is>
      </c>
      <c r="E637" s="3" t="inlineStr">
        <is>
          <t>Cái</t>
        </is>
      </c>
      <c r="F637" s="5" t="n">
        <v>411000</v>
      </c>
      <c r="G637" s="5" t="n">
        <v>485000</v>
      </c>
      <c r="H637" s="6" t="n">
        <v>596000</v>
      </c>
      <c r="I637" s="4" t="inlineStr">
        <is>
          <t>Cái</t>
        </is>
      </c>
    </row>
    <row r="638">
      <c r="A638" s="3" t="n">
        <v>637</v>
      </c>
      <c r="B638" s="3" t="n">
        <v>31</v>
      </c>
      <c r="C638" s="3" t="inlineStr">
        <is>
          <t>22</t>
        </is>
      </c>
      <c r="D638" s="4" t="inlineStr">
        <is>
          <t>TCT-R3-35/25 Ø35</t>
        </is>
      </c>
      <c r="E638" s="3" t="inlineStr">
        <is>
          <t>Cái</t>
        </is>
      </c>
      <c r="F638" s="5" t="n">
        <v>411000</v>
      </c>
      <c r="G638" s="5" t="n">
        <v>485000</v>
      </c>
      <c r="H638" s="6" t="n">
        <v>596000</v>
      </c>
      <c r="I638" s="4" t="inlineStr">
        <is>
          <t>Cái</t>
        </is>
      </c>
    </row>
    <row r="639">
      <c r="A639" s="3" t="n">
        <v>638</v>
      </c>
      <c r="B639" s="3" t="n">
        <v>31</v>
      </c>
      <c r="C639" s="3" t="inlineStr">
        <is>
          <t>23</t>
        </is>
      </c>
      <c r="D639" s="4" t="inlineStr">
        <is>
          <t>TCT-R3-36/25 Ø36</t>
        </is>
      </c>
      <c r="E639" s="3" t="inlineStr">
        <is>
          <t>Cái</t>
        </is>
      </c>
      <c r="F639" s="5" t="n">
        <v>464000</v>
      </c>
      <c r="G639" s="5" t="n">
        <v>548000</v>
      </c>
      <c r="H639" s="6" t="n">
        <v>673000</v>
      </c>
      <c r="I639" s="4" t="inlineStr">
        <is>
          <t>Cái</t>
        </is>
      </c>
    </row>
    <row r="640">
      <c r="A640" s="3" t="n">
        <v>639</v>
      </c>
      <c r="B640" s="3" t="n">
        <v>31</v>
      </c>
      <c r="C640" s="3" t="inlineStr">
        <is>
          <t>24</t>
        </is>
      </c>
      <c r="D640" s="4" t="inlineStr">
        <is>
          <t>TCT-R3-37/25 Ø37</t>
        </is>
      </c>
      <c r="E640" s="3" t="inlineStr">
        <is>
          <t>Cái</t>
        </is>
      </c>
      <c r="F640" s="5" t="n">
        <v>464000</v>
      </c>
      <c r="G640" s="5" t="n">
        <v>548000</v>
      </c>
      <c r="H640" s="6" t="n">
        <v>673000</v>
      </c>
      <c r="I640" s="4" t="inlineStr">
        <is>
          <t>Cái</t>
        </is>
      </c>
    </row>
    <row r="641">
      <c r="A641" s="3" t="n">
        <v>640</v>
      </c>
      <c r="B641" s="3" t="n">
        <v>31</v>
      </c>
      <c r="C641" s="3" t="inlineStr">
        <is>
          <t>25</t>
        </is>
      </c>
      <c r="D641" s="4" t="inlineStr">
        <is>
          <t>TCT-R3-38/25 Ø38</t>
        </is>
      </c>
      <c r="E641" s="3" t="inlineStr">
        <is>
          <t>Cái</t>
        </is>
      </c>
      <c r="F641" s="5" t="n">
        <v>464000</v>
      </c>
      <c r="G641" s="5" t="n">
        <v>548000</v>
      </c>
      <c r="H641" s="6" t="n">
        <v>673000</v>
      </c>
      <c r="I641" s="4" t="inlineStr">
        <is>
          <t>Cái</t>
        </is>
      </c>
    </row>
    <row r="642">
      <c r="A642" s="3" t="n">
        <v>641</v>
      </c>
      <c r="B642" s="3" t="n">
        <v>31</v>
      </c>
      <c r="C642" s="3" t="inlineStr">
        <is>
          <t>26</t>
        </is>
      </c>
      <c r="D642" s="4" t="inlineStr">
        <is>
          <t>TCT-R3-39/25 Ø39</t>
        </is>
      </c>
      <c r="E642" s="3" t="inlineStr">
        <is>
          <t>Cái</t>
        </is>
      </c>
      <c r="F642" s="5" t="n">
        <v>464000</v>
      </c>
      <c r="G642" s="5" t="n">
        <v>548000</v>
      </c>
      <c r="H642" s="6" t="n">
        <v>673000</v>
      </c>
      <c r="I642" s="4" t="inlineStr">
        <is>
          <t>Cái</t>
        </is>
      </c>
    </row>
    <row r="643">
      <c r="A643" s="3" t="n">
        <v>642</v>
      </c>
      <c r="B643" s="3" t="n">
        <v>31</v>
      </c>
      <c r="C643" s="3" t="inlineStr">
        <is>
          <t>27</t>
        </is>
      </c>
      <c r="D643" s="4" t="inlineStr">
        <is>
          <t>TCT-R3-40/25 Ø40</t>
        </is>
      </c>
      <c r="E643" s="3" t="inlineStr">
        <is>
          <t>Cái</t>
        </is>
      </c>
      <c r="F643" s="5" t="n">
        <v>444000</v>
      </c>
      <c r="G643" s="5" t="n">
        <v>524000</v>
      </c>
      <c r="H643" s="6" t="n">
        <v>644000</v>
      </c>
      <c r="I643" s="4" t="inlineStr">
        <is>
          <t>Cái</t>
        </is>
      </c>
    </row>
    <row r="644">
      <c r="A644" s="3" t="n">
        <v>643</v>
      </c>
      <c r="B644" s="3" t="n">
        <v>31</v>
      </c>
      <c r="C644" s="3" t="inlineStr">
        <is>
          <t>28</t>
        </is>
      </c>
      <c r="D644" s="4" t="inlineStr">
        <is>
          <t>TCT-R3-41/25 Ø41</t>
        </is>
      </c>
      <c r="E644" s="3" t="inlineStr">
        <is>
          <t>Cái</t>
        </is>
      </c>
      <c r="F644" s="5" t="n">
        <v>523000</v>
      </c>
      <c r="G644" s="5" t="n">
        <v>617000</v>
      </c>
      <c r="H644" s="6" t="n">
        <v>758000</v>
      </c>
      <c r="I644" s="4" t="inlineStr">
        <is>
          <t>Cái</t>
        </is>
      </c>
    </row>
    <row r="645">
      <c r="A645" s="3" t="n">
        <v>644</v>
      </c>
      <c r="B645" s="3" t="n">
        <v>31</v>
      </c>
      <c r="C645" s="3" t="inlineStr">
        <is>
          <t>29</t>
        </is>
      </c>
      <c r="D645" s="4" t="inlineStr">
        <is>
          <t>TCT-R3-42/25 Ø42</t>
        </is>
      </c>
      <c r="E645" s="3" t="inlineStr">
        <is>
          <t>Cái</t>
        </is>
      </c>
      <c r="F645" s="5" t="n">
        <v>523000</v>
      </c>
      <c r="G645" s="5" t="n">
        <v>617000</v>
      </c>
      <c r="H645" s="6" t="n">
        <v>758000</v>
      </c>
      <c r="I645" s="4" t="inlineStr">
        <is>
          <t>Cái</t>
        </is>
      </c>
    </row>
    <row r="646">
      <c r="A646" s="3" t="n">
        <v>645</v>
      </c>
      <c r="B646" s="3" t="n">
        <v>31</v>
      </c>
      <c r="C646" s="3" t="inlineStr">
        <is>
          <t>30</t>
        </is>
      </c>
      <c r="D646" s="4" t="inlineStr">
        <is>
          <t>TCT-R3-43/25 Ø43</t>
        </is>
      </c>
      <c r="E646" s="3" t="inlineStr">
        <is>
          <t>Cái</t>
        </is>
      </c>
      <c r="F646" s="5" t="n">
        <v>523000</v>
      </c>
      <c r="G646" s="5" t="n">
        <v>617000</v>
      </c>
      <c r="H646" s="6" t="n">
        <v>758000</v>
      </c>
      <c r="I646" s="4" t="inlineStr">
        <is>
          <t>Cái</t>
        </is>
      </c>
    </row>
    <row r="647">
      <c r="A647" s="3" t="n">
        <v>646</v>
      </c>
      <c r="B647" s="3" t="n">
        <v>31</v>
      </c>
      <c r="C647" s="3" t="inlineStr">
        <is>
          <t>31</t>
        </is>
      </c>
      <c r="D647" s="4" t="inlineStr">
        <is>
          <t>TCT-R3-44/25 Ø44</t>
        </is>
      </c>
      <c r="E647" s="3" t="inlineStr">
        <is>
          <t>Cái</t>
        </is>
      </c>
      <c r="F647" s="5" t="n">
        <v>523000</v>
      </c>
      <c r="G647" s="5" t="n">
        <v>617000</v>
      </c>
      <c r="H647" s="6" t="n">
        <v>758000</v>
      </c>
      <c r="I647" s="4" t="inlineStr">
        <is>
          <t>Cái</t>
        </is>
      </c>
    </row>
    <row r="648">
      <c r="A648" s="3" t="n">
        <v>647</v>
      </c>
      <c r="B648" s="3" t="n">
        <v>31</v>
      </c>
      <c r="C648" s="3" t="inlineStr">
        <is>
          <t>32</t>
        </is>
      </c>
      <c r="D648" s="4" t="inlineStr">
        <is>
          <t>TCT-R3-45/25 Ø45</t>
        </is>
      </c>
      <c r="E648" s="3" t="inlineStr">
        <is>
          <t>Cái</t>
        </is>
      </c>
      <c r="F648" s="5" t="n">
        <v>523000</v>
      </c>
      <c r="G648" s="5" t="n">
        <v>617000</v>
      </c>
      <c r="H648" s="6" t="n">
        <v>758000</v>
      </c>
      <c r="I648" s="4" t="inlineStr">
        <is>
          <t>Cái</t>
        </is>
      </c>
    </row>
    <row r="649">
      <c r="A649" s="3" t="n">
        <v>648</v>
      </c>
      <c r="B649" s="3" t="n">
        <v>31</v>
      </c>
      <c r="C649" s="3" t="inlineStr">
        <is>
          <t>33</t>
        </is>
      </c>
      <c r="D649" s="4" t="inlineStr">
        <is>
          <t>TCT-R3-46/25 Ø46</t>
        </is>
      </c>
      <c r="E649" s="3" t="inlineStr">
        <is>
          <t>Cái</t>
        </is>
      </c>
      <c r="F649" s="5" t="n">
        <v>558000</v>
      </c>
      <c r="G649" s="5" t="n">
        <v>658000</v>
      </c>
      <c r="H649" s="6" t="n">
        <v>809000</v>
      </c>
      <c r="I649" s="4" t="inlineStr">
        <is>
          <t>Cái</t>
        </is>
      </c>
    </row>
    <row r="650">
      <c r="A650" s="3" t="n">
        <v>649</v>
      </c>
      <c r="B650" s="3" t="n">
        <v>31</v>
      </c>
      <c r="C650" s="3" t="inlineStr">
        <is>
          <t>34</t>
        </is>
      </c>
      <c r="D650" s="4" t="inlineStr">
        <is>
          <t>TCT-R3-47/25 Ø47</t>
        </is>
      </c>
      <c r="E650" s="3" t="inlineStr">
        <is>
          <t>Cái</t>
        </is>
      </c>
      <c r="F650" s="5" t="n">
        <v>558000</v>
      </c>
      <c r="G650" s="5" t="n">
        <v>658000</v>
      </c>
      <c r="H650" s="6" t="n">
        <v>809000</v>
      </c>
      <c r="I650" s="4" t="inlineStr">
        <is>
          <t>Cái</t>
        </is>
      </c>
    </row>
    <row r="651">
      <c r="A651" s="3" t="n">
        <v>650</v>
      </c>
      <c r="B651" s="3" t="n">
        <v>31</v>
      </c>
      <c r="C651" s="3" t="inlineStr">
        <is>
          <t>35</t>
        </is>
      </c>
      <c r="D651" s="4" t="inlineStr">
        <is>
          <t>TCT-R3-48/25 Ø48</t>
        </is>
      </c>
      <c r="E651" s="3" t="inlineStr">
        <is>
          <t>Cái</t>
        </is>
      </c>
      <c r="F651" s="5" t="n">
        <v>558000</v>
      </c>
      <c r="G651" s="5" t="n">
        <v>658000</v>
      </c>
      <c r="H651" s="6" t="n">
        <v>809000</v>
      </c>
      <c r="I651" s="4" t="inlineStr">
        <is>
          <t>Cái</t>
        </is>
      </c>
    </row>
    <row r="652">
      <c r="A652" s="3" t="n">
        <v>651</v>
      </c>
      <c r="B652" s="3" t="n">
        <v>31</v>
      </c>
      <c r="C652" s="3" t="inlineStr">
        <is>
          <t>36</t>
        </is>
      </c>
      <c r="D652" s="4" t="inlineStr">
        <is>
          <t>TCT-R3-50/25 Ø50</t>
        </is>
      </c>
      <c r="E652" s="3" t="inlineStr">
        <is>
          <t>Cái</t>
        </is>
      </c>
      <c r="F652" s="5" t="n">
        <v>558000</v>
      </c>
      <c r="G652" s="5" t="n">
        <v>658000</v>
      </c>
      <c r="H652" s="6" t="n">
        <v>809000</v>
      </c>
      <c r="I652" s="4" t="inlineStr">
        <is>
          <t>Cái</t>
        </is>
      </c>
    </row>
    <row r="653">
      <c r="A653" s="3" t="n">
        <v>652</v>
      </c>
      <c r="B653" s="3" t="n">
        <v>31</v>
      </c>
      <c r="C653" s="3" t="inlineStr">
        <is>
          <t>37</t>
        </is>
      </c>
      <c r="D653" s="4" t="inlineStr">
        <is>
          <t>TCT-R3-51/25 Ø51</t>
        </is>
      </c>
      <c r="E653" s="3" t="inlineStr">
        <is>
          <t>Cái</t>
        </is>
      </c>
      <c r="F653" s="5" t="n">
        <v>660000</v>
      </c>
      <c r="G653" s="5" t="n">
        <v>779000</v>
      </c>
      <c r="H653" s="6" t="n">
        <v>957000</v>
      </c>
      <c r="I653" s="4" t="inlineStr">
        <is>
          <t>Cái</t>
        </is>
      </c>
    </row>
    <row r="654">
      <c r="A654" s="3" t="n">
        <v>653</v>
      </c>
      <c r="B654" s="3" t="n">
        <v>31</v>
      </c>
      <c r="C654" s="3" t="inlineStr">
        <is>
          <t>38</t>
        </is>
      </c>
      <c r="D654" s="4" t="inlineStr">
        <is>
          <t>TCT-R3-52/25 Ø52</t>
        </is>
      </c>
      <c r="E654" s="3" t="inlineStr">
        <is>
          <t>Cái</t>
        </is>
      </c>
      <c r="F654" s="5" t="n">
        <v>666000</v>
      </c>
      <c r="G654" s="5" t="n">
        <v>786000</v>
      </c>
      <c r="H654" s="6" t="n">
        <v>966000</v>
      </c>
      <c r="I654" s="4" t="inlineStr">
        <is>
          <t>Cái</t>
        </is>
      </c>
    </row>
    <row r="655">
      <c r="A655" s="3" t="n">
        <v>654</v>
      </c>
      <c r="B655" s="3" t="n">
        <v>31</v>
      </c>
      <c r="C655" s="3" t="inlineStr">
        <is>
          <t>39</t>
        </is>
      </c>
      <c r="D655" s="4" t="inlineStr">
        <is>
          <t>TCT-R3-53/25 Ø53</t>
        </is>
      </c>
      <c r="E655" s="3" t="inlineStr">
        <is>
          <t>Cái</t>
        </is>
      </c>
      <c r="F655" s="5" t="n">
        <v>666000</v>
      </c>
      <c r="G655" s="5" t="n">
        <v>786000</v>
      </c>
      <c r="H655" s="6" t="n">
        <v>966000</v>
      </c>
      <c r="I655" s="4" t="inlineStr">
        <is>
          <t>Cái</t>
        </is>
      </c>
    </row>
    <row r="656">
      <c r="A656" s="3" t="n">
        <v>655</v>
      </c>
      <c r="B656" s="3" t="n">
        <v>31</v>
      </c>
      <c r="C656" s="3" t="inlineStr">
        <is>
          <t>40</t>
        </is>
      </c>
      <c r="D656" s="4" t="inlineStr">
        <is>
          <t>TCT-R3-55/25 Ø55</t>
        </is>
      </c>
      <c r="E656" s="3" t="inlineStr">
        <is>
          <t>Cái</t>
        </is>
      </c>
      <c r="F656" s="5" t="n">
        <v>656000</v>
      </c>
      <c r="G656" s="5" t="n">
        <v>774000</v>
      </c>
      <c r="H656" s="6" t="n">
        <v>951000</v>
      </c>
      <c r="I656" s="4" t="inlineStr">
        <is>
          <t>Cái</t>
        </is>
      </c>
    </row>
    <row r="657">
      <c r="A657" s="3" t="n">
        <v>656</v>
      </c>
      <c r="B657" s="3" t="n">
        <v>31</v>
      </c>
      <c r="C657" s="3" t="inlineStr">
        <is>
          <t>41</t>
        </is>
      </c>
      <c r="D657" s="4" t="inlineStr">
        <is>
          <t>TCT-R3-56/25 Ø56</t>
        </is>
      </c>
      <c r="E657" s="3" t="inlineStr">
        <is>
          <t>Cái</t>
        </is>
      </c>
      <c r="F657" s="5" t="n">
        <v>767000</v>
      </c>
      <c r="G657" s="5" t="n">
        <v>905000</v>
      </c>
      <c r="H657" s="6" t="n">
        <v>1112000</v>
      </c>
      <c r="I657" s="4" t="inlineStr">
        <is>
          <t>Cái</t>
        </is>
      </c>
    </row>
    <row r="658">
      <c r="A658" s="3" t="n">
        <v>657</v>
      </c>
      <c r="B658" s="3" t="n">
        <v>31</v>
      </c>
      <c r="C658" s="3" t="inlineStr">
        <is>
          <t>42</t>
        </is>
      </c>
      <c r="D658" s="4" t="inlineStr">
        <is>
          <t>TCT-R3-57/25 Ø57</t>
        </is>
      </c>
      <c r="E658" s="3" t="inlineStr">
        <is>
          <t>Cái</t>
        </is>
      </c>
      <c r="F658" s="5" t="n">
        <v>790000</v>
      </c>
      <c r="G658" s="5" t="n">
        <v>932000</v>
      </c>
      <c r="H658" s="6" t="n">
        <v>1146000</v>
      </c>
      <c r="I658" s="4" t="inlineStr">
        <is>
          <t>Cái</t>
        </is>
      </c>
    </row>
    <row r="659">
      <c r="A659" s="3" t="n">
        <v>658</v>
      </c>
      <c r="B659" s="3" t="n">
        <v>31</v>
      </c>
      <c r="C659" s="3" t="inlineStr">
        <is>
          <t>43</t>
        </is>
      </c>
      <c r="D659" s="4" t="inlineStr">
        <is>
          <t>TCT-R3-58/25 Ø58</t>
        </is>
      </c>
      <c r="E659" s="3" t="inlineStr">
        <is>
          <t>Cái</t>
        </is>
      </c>
      <c r="F659" s="5" t="n">
        <v>796000</v>
      </c>
      <c r="G659" s="5" t="n">
        <v>939000</v>
      </c>
      <c r="H659" s="6" t="n">
        <v>1154000</v>
      </c>
      <c r="I659" s="4" t="inlineStr">
        <is>
          <t>Cái</t>
        </is>
      </c>
    </row>
    <row r="660">
      <c r="A660" s="3" t="n">
        <v>659</v>
      </c>
      <c r="B660" s="3" t="n">
        <v>31</v>
      </c>
      <c r="C660" s="3" t="inlineStr">
        <is>
          <t>44</t>
        </is>
      </c>
      <c r="D660" s="4" t="inlineStr">
        <is>
          <t>TCT-R3-59/25 Ø59</t>
        </is>
      </c>
      <c r="E660" s="3" t="inlineStr">
        <is>
          <t>Cái</t>
        </is>
      </c>
      <c r="F660" s="5" t="n">
        <v>803000</v>
      </c>
      <c r="G660" s="5" t="n">
        <v>947000</v>
      </c>
      <c r="H660" s="6" t="n">
        <v>1164000</v>
      </c>
      <c r="I660" s="4" t="inlineStr">
        <is>
          <t>Cái</t>
        </is>
      </c>
    </row>
    <row r="661">
      <c r="A661" s="3" t="n">
        <v>660</v>
      </c>
      <c r="B661" s="3" t="n">
        <v>31</v>
      </c>
      <c r="C661" s="3" t="inlineStr">
        <is>
          <t>45</t>
        </is>
      </c>
      <c r="D661" s="4" t="inlineStr">
        <is>
          <t>TCT-R3-60/25 Ø60</t>
        </is>
      </c>
      <c r="E661" s="3" t="inlineStr">
        <is>
          <t>Cái</t>
        </is>
      </c>
      <c r="F661" s="5" t="n">
        <v>781000</v>
      </c>
      <c r="G661" s="5" t="n">
        <v>922000</v>
      </c>
      <c r="H661" s="6" t="n">
        <v>1133000</v>
      </c>
      <c r="I661" s="4" t="inlineStr">
        <is>
          <t>Cái</t>
        </is>
      </c>
    </row>
    <row r="662">
      <c r="A662" s="3" t="n">
        <v>661</v>
      </c>
      <c r="B662" s="3" t="n">
        <v>31</v>
      </c>
      <c r="C662" s="3" t="inlineStr">
        <is>
          <t>46</t>
        </is>
      </c>
      <c r="D662" s="4" t="inlineStr">
        <is>
          <t>TCT-R3-61/25 Ø61</t>
        </is>
      </c>
      <c r="E662" s="3" t="inlineStr">
        <is>
          <t>Cái</t>
        </is>
      </c>
      <c r="F662" s="5" t="n">
        <v>857000</v>
      </c>
      <c r="G662" s="5" t="n">
        <v>1011000</v>
      </c>
      <c r="H662" s="6" t="n">
        <v>1243000</v>
      </c>
      <c r="I662" s="4" t="inlineStr">
        <is>
          <t>Cái</t>
        </is>
      </c>
    </row>
    <row r="663">
      <c r="A663" s="3" t="n">
        <v>662</v>
      </c>
      <c r="B663" s="3" t="n">
        <v>31</v>
      </c>
      <c r="C663" s="3" t="inlineStr">
        <is>
          <t>47</t>
        </is>
      </c>
      <c r="D663" s="4" t="inlineStr">
        <is>
          <t>TCT-R3-62/25 Ø62</t>
        </is>
      </c>
      <c r="E663" s="3" t="inlineStr">
        <is>
          <t>Cái</t>
        </is>
      </c>
      <c r="F663" s="5" t="n">
        <v>864000</v>
      </c>
      <c r="G663" s="5" t="n">
        <v>1020000</v>
      </c>
      <c r="H663" s="6" t="n">
        <v>1253000</v>
      </c>
      <c r="I663" s="4" t="inlineStr">
        <is>
          <t>Cái</t>
        </is>
      </c>
    </row>
    <row r="664">
      <c r="A664" s="3" t="n">
        <v>663</v>
      </c>
      <c r="B664" s="3" t="n">
        <v>31</v>
      </c>
      <c r="C664" s="3" t="inlineStr">
        <is>
          <t>48</t>
        </is>
      </c>
      <c r="D664" s="4" t="inlineStr">
        <is>
          <t>TCT-R3-63/25 Ø63</t>
        </is>
      </c>
      <c r="E664" s="3" t="inlineStr">
        <is>
          <t>Cái</t>
        </is>
      </c>
      <c r="F664" s="5" t="n">
        <v>864000</v>
      </c>
      <c r="G664" s="5" t="n">
        <v>1020000</v>
      </c>
      <c r="H664" s="6" t="n">
        <v>1253000</v>
      </c>
      <c r="I664" s="4" t="inlineStr">
        <is>
          <t>Cái</t>
        </is>
      </c>
    </row>
    <row r="665">
      <c r="A665" s="3" t="n">
        <v>664</v>
      </c>
      <c r="B665" s="3" t="n">
        <v>31</v>
      </c>
      <c r="C665" s="3" t="inlineStr">
        <is>
          <t>49</t>
        </is>
      </c>
      <c r="D665" s="4" t="inlineStr">
        <is>
          <t>TCT-R3-65/25 Ø65</t>
        </is>
      </c>
      <c r="E665" s="3" t="inlineStr">
        <is>
          <t>Cái</t>
        </is>
      </c>
      <c r="F665" s="5" t="n">
        <v>868000</v>
      </c>
      <c r="G665" s="5" t="n">
        <v>1024000</v>
      </c>
      <c r="H665" s="6" t="n">
        <v>1259000</v>
      </c>
      <c r="I665" s="4" t="inlineStr">
        <is>
          <t>Cái</t>
        </is>
      </c>
    </row>
    <row r="666">
      <c r="A666" s="3" t="n">
        <v>665</v>
      </c>
      <c r="B666" s="3" t="n">
        <v>31</v>
      </c>
      <c r="C666" s="3" t="inlineStr">
        <is>
          <t>50</t>
        </is>
      </c>
      <c r="D666" s="4" t="inlineStr">
        <is>
          <t>TCT-R3-67/25 Ø67</t>
        </is>
      </c>
      <c r="E666" s="3" t="inlineStr">
        <is>
          <t>Cái</t>
        </is>
      </c>
      <c r="F666" s="5" t="n">
        <v>955000</v>
      </c>
      <c r="G666" s="5" t="n">
        <v>1127000</v>
      </c>
      <c r="H666" s="6" t="n">
        <v>1385000</v>
      </c>
      <c r="I666" s="4" t="inlineStr">
        <is>
          <t>Cái</t>
        </is>
      </c>
    </row>
    <row r="667">
      <c r="A667" s="3" t="n">
        <v>666</v>
      </c>
      <c r="B667" s="3" t="n">
        <v>31</v>
      </c>
      <c r="C667" s="3" t="inlineStr">
        <is>
          <t>51</t>
        </is>
      </c>
      <c r="D667" s="4" t="inlineStr">
        <is>
          <t>TCT-R3-68/25 Ø68</t>
        </is>
      </c>
      <c r="E667" s="3" t="inlineStr">
        <is>
          <t>Cái</t>
        </is>
      </c>
      <c r="F667" s="5" t="n">
        <v>961000</v>
      </c>
      <c r="G667" s="5" t="n">
        <v>1134000</v>
      </c>
      <c r="H667" s="6" t="n">
        <v>1394000</v>
      </c>
      <c r="I667" s="4" t="inlineStr">
        <is>
          <t>Cái</t>
        </is>
      </c>
    </row>
    <row r="668">
      <c r="A668" s="3" t="n">
        <v>667</v>
      </c>
      <c r="B668" s="3" t="n">
        <v>31</v>
      </c>
      <c r="C668" s="3" t="inlineStr">
        <is>
          <t>52</t>
        </is>
      </c>
      <c r="D668" s="4" t="inlineStr">
        <is>
          <t>TCT-R3-69/25 Ø69</t>
        </is>
      </c>
      <c r="E668" s="3" t="inlineStr">
        <is>
          <t>Cái</t>
        </is>
      </c>
      <c r="F668" s="5" t="n">
        <v>985000</v>
      </c>
      <c r="G668" s="5" t="n">
        <v>1162000</v>
      </c>
      <c r="H668" s="6" t="n">
        <v>1428000</v>
      </c>
      <c r="I668" s="4" t="inlineStr">
        <is>
          <t>Cái</t>
        </is>
      </c>
    </row>
    <row r="669">
      <c r="A669" s="3" t="n">
        <v>668</v>
      </c>
      <c r="B669" s="3" t="n">
        <v>31</v>
      </c>
      <c r="C669" s="3" t="inlineStr">
        <is>
          <t>53</t>
        </is>
      </c>
      <c r="D669" s="4" t="inlineStr">
        <is>
          <t>TCT-R3-70/25 Ø70</t>
        </is>
      </c>
      <c r="E669" s="3" t="inlineStr">
        <is>
          <t>Cái</t>
        </is>
      </c>
      <c r="F669" s="5" t="n">
        <v>1007000</v>
      </c>
      <c r="G669" s="5" t="n">
        <v>1188000</v>
      </c>
      <c r="H669" s="6" t="n">
        <v>1460000</v>
      </c>
      <c r="I669" s="4" t="inlineStr">
        <is>
          <t>Cái</t>
        </is>
      </c>
    </row>
    <row r="670">
      <c r="A670" s="3" t="n">
        <v>669</v>
      </c>
      <c r="B670" s="3" t="n">
        <v>31</v>
      </c>
      <c r="C670" s="3" t="inlineStr">
        <is>
          <t>54</t>
        </is>
      </c>
      <c r="D670" s="4" t="inlineStr">
        <is>
          <t>TCT-R3-75/25 Ø75</t>
        </is>
      </c>
      <c r="E670" s="3" t="inlineStr">
        <is>
          <t>Cái</t>
        </is>
      </c>
      <c r="F670" s="5" t="n">
        <v>1127000</v>
      </c>
      <c r="G670" s="5" t="n">
        <v>1330000</v>
      </c>
      <c r="H670" s="6" t="n">
        <v>1634000</v>
      </c>
      <c r="I670" s="4" t="inlineStr">
        <is>
          <t>Cái</t>
        </is>
      </c>
    </row>
    <row r="671">
      <c r="A671" s="3" t="n">
        <v>670</v>
      </c>
      <c r="B671" s="3" t="n">
        <v>31</v>
      </c>
      <c r="C671" s="3" t="inlineStr">
        <is>
          <t>55</t>
        </is>
      </c>
      <c r="D671" s="4" t="inlineStr">
        <is>
          <t>TCT-R3-76/25 Ø76</t>
        </is>
      </c>
      <c r="E671" s="3" t="inlineStr">
        <is>
          <t>Cái</t>
        </is>
      </c>
      <c r="F671" s="5" t="n">
        <v>1127000</v>
      </c>
      <c r="G671" s="5" t="n">
        <v>1330000</v>
      </c>
      <c r="H671" s="6" t="n">
        <v>1634000</v>
      </c>
      <c r="I671" s="4" t="inlineStr">
        <is>
          <t>Cái</t>
        </is>
      </c>
    </row>
    <row r="672">
      <c r="A672" s="3" t="n">
        <v>671</v>
      </c>
      <c r="B672" s="3" t="n">
        <v>32</v>
      </c>
      <c r="C672" s="3" t="inlineStr">
        <is>
          <t>56</t>
        </is>
      </c>
      <c r="D672" s="4" t="inlineStr">
        <is>
          <t>TCT-R3-80/25 Ø80</t>
        </is>
      </c>
      <c r="E672" s="3" t="inlineStr">
        <is>
          <t>Cái</t>
        </is>
      </c>
      <c r="F672" s="5" t="n">
        <v>1166000</v>
      </c>
      <c r="G672" s="5" t="n">
        <v>1376000</v>
      </c>
      <c r="H672" s="6" t="n">
        <v>1691000</v>
      </c>
      <c r="I672" s="4" t="inlineStr">
        <is>
          <t>Cái</t>
        </is>
      </c>
    </row>
    <row r="673">
      <c r="A673" s="3" t="n">
        <v>672</v>
      </c>
      <c r="B673" s="3" t="n">
        <v>32</v>
      </c>
      <c r="C673" s="3" t="inlineStr">
        <is>
          <t>57</t>
        </is>
      </c>
      <c r="D673" s="4" t="inlineStr">
        <is>
          <t>TCT-R3-85/25 Ø85</t>
        </is>
      </c>
      <c r="E673" s="3" t="inlineStr">
        <is>
          <t>Cái</t>
        </is>
      </c>
      <c r="F673" s="5" t="n">
        <v>1227000</v>
      </c>
      <c r="G673" s="5" t="n">
        <v>1448000</v>
      </c>
      <c r="H673" s="6" t="n">
        <v>1779000</v>
      </c>
      <c r="I673" s="4" t="inlineStr">
        <is>
          <t>Cái</t>
        </is>
      </c>
    </row>
    <row r="674">
      <c r="A674" s="3" t="n">
        <v>673</v>
      </c>
      <c r="B674" s="3" t="n">
        <v>32</v>
      </c>
      <c r="C674" s="3" t="inlineStr">
        <is>
          <t>58</t>
        </is>
      </c>
      <c r="D674" s="4" t="inlineStr">
        <is>
          <t>Mũi khoét hợp kim King Blue TCT-R3-90/25 Ø90</t>
        </is>
      </c>
      <c r="E674" s="3" t="inlineStr">
        <is>
          <t>Cái</t>
        </is>
      </c>
      <c r="F674" s="5" t="n">
        <v>1349000</v>
      </c>
      <c r="G674" s="5" t="n">
        <v>1592000</v>
      </c>
      <c r="H674" s="6" t="n">
        <v>1956000</v>
      </c>
      <c r="I674" s="4" t="inlineStr">
        <is>
          <t>Cái</t>
        </is>
      </c>
    </row>
    <row r="675">
      <c r="A675" s="3" t="n">
        <v>674</v>
      </c>
      <c r="B675" s="3" t="n">
        <v>32</v>
      </c>
      <c r="C675" s="3" t="inlineStr">
        <is>
          <t>59</t>
        </is>
      </c>
      <c r="D675" s="4" t="inlineStr">
        <is>
          <t>TCT-R3-95/25 Ø95</t>
        </is>
      </c>
      <c r="E675" s="3" t="inlineStr">
        <is>
          <t>Cái</t>
        </is>
      </c>
      <c r="F675" s="5" t="n">
        <v>1695000</v>
      </c>
      <c r="G675" s="5" t="n">
        <v>2000000</v>
      </c>
      <c r="H675" s="6" t="n">
        <v>2458000</v>
      </c>
      <c r="I675" s="4" t="inlineStr">
        <is>
          <t>Cái</t>
        </is>
      </c>
    </row>
    <row r="676">
      <c r="A676" s="3" t="n">
        <v>675</v>
      </c>
      <c r="B676" s="3" t="n">
        <v>32</v>
      </c>
      <c r="C676" s="3" t="inlineStr">
        <is>
          <t>60</t>
        </is>
      </c>
      <c r="D676" s="4" t="inlineStr">
        <is>
          <t>TCT-R3-100/25 Ø100</t>
        </is>
      </c>
      <c r="E676" s="3" t="inlineStr">
        <is>
          <t>Cái</t>
        </is>
      </c>
      <c r="F676" s="5" t="n">
        <v>1769000</v>
      </c>
      <c r="G676" s="5" t="n">
        <v>2087000</v>
      </c>
      <c r="H676" s="6" t="n">
        <v>2565000</v>
      </c>
      <c r="I676" s="4" t="inlineStr">
        <is>
          <t>Cái</t>
        </is>
      </c>
    </row>
    <row r="677">
      <c r="A677" s="3" t="n">
        <v>676</v>
      </c>
      <c r="B677" s="3" t="n">
        <v>32</v>
      </c>
      <c r="C677" s="3" t="inlineStr">
        <is>
          <t>61</t>
        </is>
      </c>
      <c r="D677" s="4" t="inlineStr">
        <is>
          <t>TCT-R3-120/25 Ø120</t>
        </is>
      </c>
      <c r="E677" s="3" t="inlineStr">
        <is>
          <t>Cái</t>
        </is>
      </c>
      <c r="F677" s="5" t="n">
        <v>2393000</v>
      </c>
      <c r="G677" s="5" t="n">
        <v>2824000</v>
      </c>
      <c r="H677" s="6" t="n">
        <v>3470000</v>
      </c>
      <c r="I677" s="4" t="inlineStr">
        <is>
          <t>Cái</t>
        </is>
      </c>
    </row>
    <row r="678">
      <c r="A678" s="3" t="n">
        <v>677</v>
      </c>
      <c r="B678" s="3" t="n">
        <v>32</v>
      </c>
      <c r="C678" s="3" t="inlineStr">
        <is>
          <t>1</t>
        </is>
      </c>
      <c r="D678" s="4" t="inlineStr">
        <is>
          <t>R2-16mm Ø16</t>
        </is>
      </c>
      <c r="E678" s="3" t="inlineStr">
        <is>
          <t>Cái</t>
        </is>
      </c>
      <c r="F678" s="5" t="n">
        <v>29000</v>
      </c>
      <c r="G678" s="5" t="n">
        <v>35000</v>
      </c>
      <c r="H678" s="6" t="n">
        <v>45000</v>
      </c>
      <c r="I678" s="4" t="inlineStr">
        <is>
          <t>Cái</t>
        </is>
      </c>
    </row>
    <row r="679">
      <c r="A679" s="3" t="n">
        <v>678</v>
      </c>
      <c r="B679" s="3" t="n">
        <v>32</v>
      </c>
      <c r="C679" s="3" t="inlineStr">
        <is>
          <t>2</t>
        </is>
      </c>
      <c r="D679" s="4" t="inlineStr">
        <is>
          <t>R2-17mm Ø17</t>
        </is>
      </c>
      <c r="E679" s="3" t="inlineStr">
        <is>
          <t>Cái</t>
        </is>
      </c>
      <c r="F679" s="5" t="n">
        <v>32000</v>
      </c>
      <c r="G679" s="5" t="n">
        <v>39000</v>
      </c>
      <c r="H679" s="6" t="n">
        <v>50000</v>
      </c>
      <c r="I679" s="4" t="inlineStr">
        <is>
          <t>Cái</t>
        </is>
      </c>
    </row>
    <row r="680">
      <c r="A680" s="3" t="n">
        <v>679</v>
      </c>
      <c r="B680" s="3" t="n">
        <v>32</v>
      </c>
      <c r="C680" s="3" t="inlineStr">
        <is>
          <t>3</t>
        </is>
      </c>
      <c r="D680" s="4" t="inlineStr">
        <is>
          <t>R2-18mm Ø18</t>
        </is>
      </c>
      <c r="E680" s="3" t="inlineStr">
        <is>
          <t>Cái</t>
        </is>
      </c>
      <c r="F680" s="5" t="n">
        <v>35000</v>
      </c>
      <c r="G680" s="5" t="n">
        <v>43000</v>
      </c>
      <c r="H680" s="6" t="n">
        <v>54000</v>
      </c>
      <c r="I680" s="4" t="inlineStr">
        <is>
          <t>Cái</t>
        </is>
      </c>
    </row>
    <row r="681">
      <c r="A681" s="3" t="n">
        <v>680</v>
      </c>
      <c r="B681" s="3" t="n">
        <v>32</v>
      </c>
      <c r="C681" s="3" t="inlineStr">
        <is>
          <t>4</t>
        </is>
      </c>
      <c r="D681" s="4" t="inlineStr">
        <is>
          <t>R2-19mm Ø19</t>
        </is>
      </c>
      <c r="E681" s="3" t="inlineStr">
        <is>
          <t>Cái</t>
        </is>
      </c>
      <c r="F681" s="5" t="n">
        <v>37000</v>
      </c>
      <c r="G681" s="5" t="n">
        <v>45000</v>
      </c>
      <c r="H681" s="6" t="n">
        <v>57000</v>
      </c>
      <c r="I681" s="4" t="inlineStr">
        <is>
          <t>Cái</t>
        </is>
      </c>
    </row>
    <row r="682">
      <c r="A682" s="3" t="n">
        <v>681</v>
      </c>
      <c r="B682" s="3" t="n">
        <v>32</v>
      </c>
      <c r="C682" s="3" t="inlineStr">
        <is>
          <t>5</t>
        </is>
      </c>
      <c r="D682" s="4" t="inlineStr">
        <is>
          <t>R2-20mm Ø20</t>
        </is>
      </c>
      <c r="E682" s="3" t="inlineStr">
        <is>
          <t>Cái</t>
        </is>
      </c>
      <c r="F682" s="5" t="n">
        <v>40000</v>
      </c>
      <c r="G682" s="5" t="n">
        <v>49000</v>
      </c>
      <c r="H682" s="6" t="n">
        <v>62000</v>
      </c>
      <c r="I682" s="4" t="inlineStr">
        <is>
          <t>Cái</t>
        </is>
      </c>
    </row>
    <row r="683">
      <c r="A683" s="3" t="n">
        <v>682</v>
      </c>
      <c r="B683" s="3" t="n">
        <v>32</v>
      </c>
      <c r="C683" s="3" t="inlineStr">
        <is>
          <t>6</t>
        </is>
      </c>
      <c r="D683" s="4" t="inlineStr">
        <is>
          <t>R2-21mm Ø21</t>
        </is>
      </c>
      <c r="E683" s="3" t="inlineStr">
        <is>
          <t>Cái</t>
        </is>
      </c>
      <c r="F683" s="5" t="n">
        <v>41000</v>
      </c>
      <c r="G683" s="5" t="n">
        <v>50000</v>
      </c>
      <c r="H683" s="6" t="n">
        <v>64000</v>
      </c>
      <c r="I683" s="4" t="inlineStr">
        <is>
          <t>Cái</t>
        </is>
      </c>
    </row>
    <row r="684">
      <c r="A684" s="3" t="n">
        <v>683</v>
      </c>
      <c r="B684" s="3" t="n">
        <v>32</v>
      </c>
      <c r="C684" s="3" t="inlineStr">
        <is>
          <t>7</t>
        </is>
      </c>
      <c r="D684" s="4" t="inlineStr">
        <is>
          <t>R2-22mm Ø22</t>
        </is>
      </c>
      <c r="E684" s="3" t="inlineStr">
        <is>
          <t>Cái</t>
        </is>
      </c>
      <c r="F684" s="5" t="n">
        <v>45000</v>
      </c>
      <c r="G684" s="5" t="n">
        <v>55000</v>
      </c>
      <c r="H684" s="6" t="n">
        <v>70000</v>
      </c>
      <c r="I684" s="4" t="inlineStr">
        <is>
          <t>Cái</t>
        </is>
      </c>
    </row>
    <row r="685">
      <c r="A685" s="3" t="n">
        <v>684</v>
      </c>
      <c r="B685" s="3" t="n">
        <v>32</v>
      </c>
      <c r="C685" s="3" t="inlineStr">
        <is>
          <t>8</t>
        </is>
      </c>
      <c r="D685" s="4" t="inlineStr">
        <is>
          <t>R2-23mm Ø23</t>
        </is>
      </c>
      <c r="E685" s="3" t="inlineStr">
        <is>
          <t>Cái</t>
        </is>
      </c>
      <c r="F685" s="5" t="n">
        <v>47000</v>
      </c>
      <c r="G685" s="5" t="n">
        <v>57000</v>
      </c>
      <c r="H685" s="6" t="n">
        <v>73000</v>
      </c>
      <c r="I685" s="4" t="inlineStr">
        <is>
          <t>Cái</t>
        </is>
      </c>
    </row>
    <row r="686">
      <c r="A686" s="3" t="n">
        <v>685</v>
      </c>
      <c r="B686" s="3" t="n">
        <v>32</v>
      </c>
      <c r="C686" s="3" t="inlineStr">
        <is>
          <t>9</t>
        </is>
      </c>
      <c r="D686" s="4" t="inlineStr">
        <is>
          <t>R2-25mm Ø25</t>
        </is>
      </c>
      <c r="E686" s="3" t="inlineStr">
        <is>
          <t>Cái</t>
        </is>
      </c>
      <c r="F686" s="5" t="n">
        <v>49000</v>
      </c>
      <c r="G686" s="5" t="n">
        <v>60000</v>
      </c>
      <c r="H686" s="6" t="n">
        <v>76000</v>
      </c>
      <c r="I686" s="4" t="inlineStr">
        <is>
          <t>Cái</t>
        </is>
      </c>
    </row>
    <row r="687">
      <c r="A687" s="3" t="n">
        <v>686</v>
      </c>
      <c r="B687" s="3" t="n">
        <v>32</v>
      </c>
      <c r="C687" s="3" t="inlineStr">
        <is>
          <t>10</t>
        </is>
      </c>
      <c r="D687" s="4" t="inlineStr">
        <is>
          <t>R2-27mm Ø27</t>
        </is>
      </c>
      <c r="E687" s="3" t="inlineStr">
        <is>
          <t>Cái</t>
        </is>
      </c>
      <c r="F687" s="5" t="n">
        <v>53000</v>
      </c>
      <c r="G687" s="5" t="n">
        <v>65000</v>
      </c>
      <c r="H687" s="6" t="n">
        <v>82000</v>
      </c>
      <c r="I687" s="4" t="inlineStr">
        <is>
          <t>Cái</t>
        </is>
      </c>
    </row>
    <row r="688">
      <c r="A688" s="3" t="n">
        <v>687</v>
      </c>
      <c r="B688" s="3" t="n">
        <v>32</v>
      </c>
      <c r="C688" s="3" t="inlineStr">
        <is>
          <t>11</t>
        </is>
      </c>
      <c r="D688" s="4" t="inlineStr">
        <is>
          <t>R2-32mm Ø32</t>
        </is>
      </c>
      <c r="E688" s="3" t="inlineStr">
        <is>
          <t>Cái</t>
        </is>
      </c>
      <c r="F688" s="5" t="n">
        <v>66000</v>
      </c>
      <c r="G688" s="5" t="n">
        <v>80000</v>
      </c>
      <c r="H688" s="6" t="n">
        <v>102000</v>
      </c>
      <c r="I688" s="4" t="inlineStr">
        <is>
          <t>Cái</t>
        </is>
      </c>
    </row>
    <row r="689">
      <c r="A689" s="3" t="n">
        <v>688</v>
      </c>
      <c r="B689" s="3" t="n">
        <v>32</v>
      </c>
      <c r="C689" s="3" t="inlineStr">
        <is>
          <t>12</t>
        </is>
      </c>
      <c r="D689" s="4" t="inlineStr">
        <is>
          <t>R2-34mm Ø34</t>
        </is>
      </c>
      <c r="E689" s="3" t="inlineStr">
        <is>
          <t>Cái</t>
        </is>
      </c>
      <c r="F689" s="5" t="n">
        <v>68000</v>
      </c>
      <c r="G689" s="5" t="n">
        <v>83000</v>
      </c>
      <c r="H689" s="6" t="n">
        <v>105000</v>
      </c>
      <c r="I689" s="4" t="inlineStr">
        <is>
          <t>Cái</t>
        </is>
      </c>
    </row>
    <row r="690">
      <c r="A690" s="3" t="n">
        <v>689</v>
      </c>
      <c r="B690" s="3" t="n">
        <v>32</v>
      </c>
      <c r="C690" s="3" t="inlineStr">
        <is>
          <t>13</t>
        </is>
      </c>
      <c r="D690" s="4" t="inlineStr">
        <is>
          <t>R2-40mm Ø40</t>
        </is>
      </c>
      <c r="E690" s="3" t="inlineStr">
        <is>
          <t>Cái</t>
        </is>
      </c>
      <c r="F690" s="5" t="n">
        <v>79000</v>
      </c>
      <c r="G690" s="5" t="n">
        <v>97000</v>
      </c>
      <c r="H690" s="6" t="n">
        <v>123000</v>
      </c>
      <c r="I690" s="4" t="inlineStr">
        <is>
          <t>Cái</t>
        </is>
      </c>
    </row>
    <row r="691">
      <c r="A691" s="3" t="n">
        <v>690</v>
      </c>
      <c r="B691" s="3" t="n">
        <v>32</v>
      </c>
      <c r="C691" s="3" t="inlineStr">
        <is>
          <t>14</t>
        </is>
      </c>
      <c r="D691" s="4" t="inlineStr">
        <is>
          <t>R2-42mm Ø42</t>
        </is>
      </c>
      <c r="E691" s="3" t="inlineStr">
        <is>
          <t>Cái</t>
        </is>
      </c>
      <c r="F691" s="5" t="n">
        <v>84000</v>
      </c>
      <c r="G691" s="5" t="n">
        <v>102000</v>
      </c>
      <c r="H691" s="6" t="n">
        <v>130000</v>
      </c>
      <c r="I691" s="4" t="inlineStr">
        <is>
          <t>Cái</t>
        </is>
      </c>
    </row>
    <row r="692">
      <c r="A692" s="3" t="n">
        <v>691</v>
      </c>
      <c r="B692" s="3" t="n">
        <v>32</v>
      </c>
      <c r="C692" s="3" t="inlineStr">
        <is>
          <t>15</t>
        </is>
      </c>
      <c r="D692" s="4" t="inlineStr">
        <is>
          <t>R2-50mm Ø50</t>
        </is>
      </c>
      <c r="E692" s="3" t="inlineStr">
        <is>
          <t>Cái</t>
        </is>
      </c>
      <c r="F692" s="5" t="n">
        <v>99000</v>
      </c>
      <c r="G692" s="5" t="n">
        <v>121000</v>
      </c>
      <c r="H692" s="6" t="n">
        <v>154000</v>
      </c>
      <c r="I692" s="4" t="inlineStr">
        <is>
          <t>Cái</t>
        </is>
      </c>
    </row>
    <row r="693">
      <c r="A693" s="3" t="n">
        <v>692</v>
      </c>
      <c r="B693" s="3" t="n">
        <v>32</v>
      </c>
      <c r="C693" s="3" t="inlineStr">
        <is>
          <t>16</t>
        </is>
      </c>
      <c r="D693" s="4" t="inlineStr">
        <is>
          <t>R2-55mm Ø55</t>
        </is>
      </c>
      <c r="E693" s="3" t="inlineStr">
        <is>
          <t>Cái</t>
        </is>
      </c>
      <c r="F693" s="5" t="n">
        <v>109000</v>
      </c>
      <c r="G693" s="5" t="n">
        <v>133000</v>
      </c>
      <c r="H693" s="6" t="n">
        <v>169000</v>
      </c>
      <c r="I693" s="4" t="inlineStr">
        <is>
          <t>Cái</t>
        </is>
      </c>
    </row>
    <row r="694">
      <c r="A694" s="3" t="n">
        <v>693</v>
      </c>
      <c r="B694" s="3" t="n">
        <v>32</v>
      </c>
      <c r="C694" s="3" t="inlineStr">
        <is>
          <t>17</t>
        </is>
      </c>
      <c r="D694" s="4" t="inlineStr">
        <is>
          <t>R2-60mm Ø60</t>
        </is>
      </c>
      <c r="E694" s="3" t="inlineStr">
        <is>
          <t>Cái</t>
        </is>
      </c>
      <c r="F694" s="5" t="n">
        <v>124000</v>
      </c>
      <c r="G694" s="5" t="n">
        <v>151000</v>
      </c>
      <c r="H694" s="6" t="n">
        <v>192000</v>
      </c>
      <c r="I694" s="4" t="inlineStr">
        <is>
          <t>Cái</t>
        </is>
      </c>
    </row>
    <row r="695">
      <c r="A695" s="3" t="n">
        <v>694</v>
      </c>
      <c r="B695" s="3" t="n">
        <v>33</v>
      </c>
      <c r="C695" s="3" t="inlineStr">
        <is>
          <t>1</t>
        </is>
      </c>
      <c r="D695" s="4" t="inlineStr">
        <is>
          <t>TCT-M3-12 Ø12</t>
        </is>
      </c>
      <c r="E695" s="3" t="inlineStr">
        <is>
          <t>Cái</t>
        </is>
      </c>
      <c r="F695" s="5" t="n">
        <v>450000</v>
      </c>
      <c r="G695" s="5" t="n">
        <v>653000</v>
      </c>
      <c r="H695" s="6" t="n">
        <v>558000</v>
      </c>
      <c r="I695" s="4" t="inlineStr">
        <is>
          <t>Cái 1C/H</t>
        </is>
      </c>
    </row>
    <row r="696">
      <c r="A696" s="3" t="n">
        <v>695</v>
      </c>
      <c r="B696" s="3" t="n">
        <v>33</v>
      </c>
      <c r="C696" s="3" t="inlineStr">
        <is>
          <t>2</t>
        </is>
      </c>
      <c r="D696" s="4" t="inlineStr">
        <is>
          <t>TCT-M3-13 Ø13</t>
        </is>
      </c>
      <c r="E696" s="3" t="inlineStr">
        <is>
          <t>Cái</t>
        </is>
      </c>
      <c r="F696" s="5" t="n">
        <v>450000</v>
      </c>
      <c r="G696" s="5" t="n">
        <v>653000</v>
      </c>
      <c r="H696" s="6" t="n">
        <v>558000</v>
      </c>
      <c r="I696" s="4" t="inlineStr">
        <is>
          <t>Cái 1C/H</t>
        </is>
      </c>
    </row>
    <row r="697">
      <c r="A697" s="3" t="n">
        <v>696</v>
      </c>
      <c r="B697" s="3" t="n">
        <v>33</v>
      </c>
      <c r="C697" s="3" t="inlineStr">
        <is>
          <t>3</t>
        </is>
      </c>
      <c r="D697" s="4" t="inlineStr">
        <is>
          <t>TCT-M3-14 Ø14</t>
        </is>
      </c>
      <c r="E697" s="3" t="inlineStr">
        <is>
          <t>Cái</t>
        </is>
      </c>
      <c r="F697" s="5" t="n">
        <v>450000</v>
      </c>
      <c r="G697" s="5" t="n">
        <v>653000</v>
      </c>
      <c r="H697" s="6" t="n">
        <v>558000</v>
      </c>
      <c r="I697" s="4" t="inlineStr">
        <is>
          <t>Cái 1C/H</t>
        </is>
      </c>
    </row>
    <row r="698">
      <c r="A698" s="3" t="n">
        <v>697</v>
      </c>
      <c r="B698" s="3" t="n">
        <v>33</v>
      </c>
      <c r="C698" s="3" t="inlineStr">
        <is>
          <t>4</t>
        </is>
      </c>
      <c r="D698" s="4" t="inlineStr">
        <is>
          <t>TCT-M3-15 Ø15</t>
        </is>
      </c>
      <c r="E698" s="3" t="inlineStr">
        <is>
          <t>Cái</t>
        </is>
      </c>
      <c r="F698" s="5" t="n">
        <v>450000</v>
      </c>
      <c r="G698" s="5" t="n">
        <v>653000</v>
      </c>
      <c r="H698" s="6" t="n">
        <v>558000</v>
      </c>
      <c r="I698" s="4" t="inlineStr">
        <is>
          <t>Cái 1C/H</t>
        </is>
      </c>
    </row>
    <row r="699">
      <c r="A699" s="3" t="n">
        <v>698</v>
      </c>
      <c r="B699" s="3" t="n">
        <v>33</v>
      </c>
      <c r="C699" s="3" t="inlineStr">
        <is>
          <t>5</t>
        </is>
      </c>
      <c r="D699" s="4" t="inlineStr">
        <is>
          <t>TCT-M3-16 Ø16</t>
        </is>
      </c>
      <c r="E699" s="3" t="inlineStr">
        <is>
          <t>Cái</t>
        </is>
      </c>
      <c r="F699" s="5" t="n">
        <v>450000</v>
      </c>
      <c r="G699" s="5" t="n">
        <v>653000</v>
      </c>
      <c r="H699" s="6" t="n">
        <v>558000</v>
      </c>
      <c r="I699" s="4" t="inlineStr">
        <is>
          <t>Cái 1C/H</t>
        </is>
      </c>
    </row>
    <row r="700">
      <c r="A700" s="3" t="n">
        <v>699</v>
      </c>
      <c r="B700" s="3" t="n">
        <v>33</v>
      </c>
      <c r="C700" s="3" t="inlineStr">
        <is>
          <t>6</t>
        </is>
      </c>
      <c r="D700" s="4" t="inlineStr">
        <is>
          <t>TCT-M3-17 Ø17</t>
        </is>
      </c>
      <c r="E700" s="3" t="inlineStr">
        <is>
          <t>Cái</t>
        </is>
      </c>
      <c r="F700" s="5" t="n">
        <v>450000</v>
      </c>
      <c r="G700" s="5" t="n">
        <v>653000</v>
      </c>
      <c r="H700" s="6" t="n">
        <v>558000</v>
      </c>
      <c r="I700" s="4" t="inlineStr">
        <is>
          <t>Cái 1C/H</t>
        </is>
      </c>
    </row>
    <row r="701">
      <c r="A701" s="3" t="n">
        <v>700</v>
      </c>
      <c r="B701" s="3" t="n">
        <v>33</v>
      </c>
      <c r="C701" s="3" t="inlineStr">
        <is>
          <t>7</t>
        </is>
      </c>
      <c r="D701" s="4" t="inlineStr">
        <is>
          <t>Mũi khoan từ Kingblue TCT-M3-18 Ø18</t>
        </is>
      </c>
      <c r="E701" s="3" t="inlineStr">
        <is>
          <t>Cái</t>
        </is>
      </c>
      <c r="F701" s="5" t="n">
        <v>450000</v>
      </c>
      <c r="G701" s="5" t="n">
        <v>653000</v>
      </c>
      <c r="H701" s="6" t="n">
        <v>558000</v>
      </c>
      <c r="I701" s="4" t="inlineStr">
        <is>
          <t>Cái 1C/H</t>
        </is>
      </c>
    </row>
    <row r="702">
      <c r="A702" s="3" t="n">
        <v>701</v>
      </c>
      <c r="B702" s="3" t="n">
        <v>33</v>
      </c>
      <c r="C702" s="3" t="inlineStr">
        <is>
          <t>8</t>
        </is>
      </c>
      <c r="D702" s="4" t="inlineStr">
        <is>
          <t>TCT-M3-19 Ø19</t>
        </is>
      </c>
      <c r="E702" s="3" t="inlineStr">
        <is>
          <t>Cái</t>
        </is>
      </c>
      <c r="F702" s="5" t="n">
        <v>450000</v>
      </c>
      <c r="G702" s="5" t="n">
        <v>653000</v>
      </c>
      <c r="H702" s="6" t="n">
        <v>558000</v>
      </c>
      <c r="I702" s="4" t="inlineStr">
        <is>
          <t>Cái 1C/H</t>
        </is>
      </c>
    </row>
    <row r="703">
      <c r="A703" s="3" t="n">
        <v>702</v>
      </c>
      <c r="B703" s="3" t="n">
        <v>33</v>
      </c>
      <c r="C703" s="3" t="inlineStr">
        <is>
          <t>9</t>
        </is>
      </c>
      <c r="D703" s="4" t="inlineStr">
        <is>
          <t>TCT-M3-20 Ø20</t>
        </is>
      </c>
      <c r="E703" s="3" t="inlineStr">
        <is>
          <t>Cái</t>
        </is>
      </c>
      <c r="F703" s="5" t="n">
        <v>450000</v>
      </c>
      <c r="G703" s="5" t="n">
        <v>653000</v>
      </c>
      <c r="H703" s="6" t="n">
        <v>558000</v>
      </c>
      <c r="I703" s="4" t="inlineStr">
        <is>
          <t>Cái 1C/H</t>
        </is>
      </c>
    </row>
    <row r="704">
      <c r="A704" s="3" t="n">
        <v>703</v>
      </c>
      <c r="B704" s="3" t="n">
        <v>33</v>
      </c>
      <c r="C704" s="3" t="inlineStr">
        <is>
          <t>10</t>
        </is>
      </c>
      <c r="D704" s="4" t="inlineStr">
        <is>
          <t>TCT-M3-21 Ø21</t>
        </is>
      </c>
      <c r="E704" s="3" t="inlineStr">
        <is>
          <t>Cái</t>
        </is>
      </c>
      <c r="F704" s="5" t="n">
        <v>450000</v>
      </c>
      <c r="G704" s="5" t="n">
        <v>653000</v>
      </c>
      <c r="H704" s="6" t="n">
        <v>558000</v>
      </c>
      <c r="I704" s="4" t="inlineStr">
        <is>
          <t>Cái 1C/H</t>
        </is>
      </c>
    </row>
    <row r="705">
      <c r="A705" s="3" t="n">
        <v>704</v>
      </c>
      <c r="B705" s="3" t="n">
        <v>33</v>
      </c>
      <c r="C705" s="3" t="inlineStr">
        <is>
          <t>11</t>
        </is>
      </c>
      <c r="D705" s="4" t="inlineStr">
        <is>
          <t>TCT-M3-22 Ø22</t>
        </is>
      </c>
      <c r="E705" s="3" t="inlineStr">
        <is>
          <t>Cái</t>
        </is>
      </c>
      <c r="F705" s="5" t="n">
        <v>450000</v>
      </c>
      <c r="G705" s="5" t="n">
        <v>653000</v>
      </c>
      <c r="H705" s="6" t="n">
        <v>558000</v>
      </c>
      <c r="I705" s="4" t="inlineStr">
        <is>
          <t>Cái 1C/H</t>
        </is>
      </c>
    </row>
    <row r="706">
      <c r="A706" s="3" t="n">
        <v>705</v>
      </c>
      <c r="B706" s="3" t="n">
        <v>33</v>
      </c>
      <c r="C706" s="3" t="inlineStr">
        <is>
          <t>12</t>
        </is>
      </c>
      <c r="D706" s="4" t="inlineStr">
        <is>
          <t>TCT-M3-23 Ø23</t>
        </is>
      </c>
      <c r="E706" s="3" t="inlineStr">
        <is>
          <t>Cái</t>
        </is>
      </c>
      <c r="F706" s="5" t="n">
        <v>450000</v>
      </c>
      <c r="G706" s="5" t="n">
        <v>653000</v>
      </c>
      <c r="H706" s="6" t="n">
        <v>558000</v>
      </c>
      <c r="I706" s="4" t="inlineStr">
        <is>
          <t>Cái 1C/H</t>
        </is>
      </c>
    </row>
    <row r="707">
      <c r="A707" s="3" t="n">
        <v>706</v>
      </c>
      <c r="B707" s="3" t="n">
        <v>33</v>
      </c>
      <c r="C707" s="3" t="inlineStr">
        <is>
          <t>13</t>
        </is>
      </c>
      <c r="D707" s="4" t="inlineStr">
        <is>
          <t>TCT-M3-24 Ø24</t>
        </is>
      </c>
      <c r="E707" s="3" t="inlineStr">
        <is>
          <t>Cái</t>
        </is>
      </c>
      <c r="F707" s="5" t="n">
        <v>450000</v>
      </c>
      <c r="G707" s="5" t="n">
        <v>653000</v>
      </c>
      <c r="H707" s="6" t="n">
        <v>558000</v>
      </c>
      <c r="I707" s="4" t="inlineStr">
        <is>
          <t>Cái 1C/H</t>
        </is>
      </c>
    </row>
    <row r="708">
      <c r="A708" s="3" t="n">
        <v>707</v>
      </c>
      <c r="B708" s="3" t="n">
        <v>33</v>
      </c>
      <c r="C708" s="3" t="inlineStr">
        <is>
          <t>14</t>
        </is>
      </c>
      <c r="D708" s="4" t="inlineStr">
        <is>
          <t>TCT-M3-25 Ø25</t>
        </is>
      </c>
      <c r="E708" s="3" t="inlineStr">
        <is>
          <t>Cái</t>
        </is>
      </c>
      <c r="F708" s="5" t="n">
        <v>450000</v>
      </c>
      <c r="G708" s="5" t="n">
        <v>653000</v>
      </c>
      <c r="H708" s="6" t="n">
        <v>558000</v>
      </c>
      <c r="I708" s="4" t="inlineStr">
        <is>
          <t>Cái 1C/H</t>
        </is>
      </c>
    </row>
    <row r="709">
      <c r="A709" s="3" t="n">
        <v>708</v>
      </c>
      <c r="B709" s="3" t="n">
        <v>33</v>
      </c>
      <c r="C709" s="3" t="inlineStr">
        <is>
          <t>15</t>
        </is>
      </c>
      <c r="D709" s="4" t="inlineStr">
        <is>
          <t>TCT-M3-26 Ø26</t>
        </is>
      </c>
      <c r="E709" s="3" t="inlineStr">
        <is>
          <t>Cái</t>
        </is>
      </c>
      <c r="F709" s="5" t="n">
        <v>497000</v>
      </c>
      <c r="G709" s="5" t="n">
        <v>721000</v>
      </c>
      <c r="H709" s="6" t="n">
        <v>614000</v>
      </c>
      <c r="I709" s="4" t="inlineStr">
        <is>
          <t>Cái 1C/H</t>
        </is>
      </c>
    </row>
    <row r="710">
      <c r="A710" s="3" t="n">
        <v>709</v>
      </c>
      <c r="B710" s="3" t="n">
        <v>33</v>
      </c>
      <c r="C710" s="3" t="inlineStr">
        <is>
          <t>16</t>
        </is>
      </c>
      <c r="D710" s="4" t="inlineStr">
        <is>
          <t>TCT-M3-27 Ø27</t>
        </is>
      </c>
      <c r="E710" s="3" t="inlineStr">
        <is>
          <t>Cái</t>
        </is>
      </c>
      <c r="F710" s="5" t="n">
        <v>497000</v>
      </c>
      <c r="G710" s="5" t="n">
        <v>721000</v>
      </c>
      <c r="H710" s="6" t="n">
        <v>614000</v>
      </c>
      <c r="I710" s="4" t="inlineStr">
        <is>
          <t>Cái 1C/H</t>
        </is>
      </c>
    </row>
    <row r="711">
      <c r="A711" s="3" t="n">
        <v>710</v>
      </c>
      <c r="B711" s="3" t="n">
        <v>33</v>
      </c>
      <c r="C711" s="3" t="inlineStr">
        <is>
          <t>17</t>
        </is>
      </c>
      <c r="D711" s="4" t="inlineStr">
        <is>
          <t>TCT-M3-28 Ø28</t>
        </is>
      </c>
      <c r="E711" s="3" t="inlineStr">
        <is>
          <t>Cái</t>
        </is>
      </c>
      <c r="F711" s="5" t="n">
        <v>497000</v>
      </c>
      <c r="G711" s="5" t="n">
        <v>721000</v>
      </c>
      <c r="H711" s="6" t="n">
        <v>614000</v>
      </c>
      <c r="I711" s="4" t="inlineStr">
        <is>
          <t>Cái 1C/H</t>
        </is>
      </c>
    </row>
    <row r="712">
      <c r="A712" s="3" t="n">
        <v>711</v>
      </c>
      <c r="B712" s="3" t="n">
        <v>33</v>
      </c>
      <c r="C712" s="3" t="inlineStr">
        <is>
          <t>18</t>
        </is>
      </c>
      <c r="D712" s="4" t="inlineStr">
        <is>
          <t>TCT-M3-29 Ø29</t>
        </is>
      </c>
      <c r="E712" s="3" t="inlineStr">
        <is>
          <t>Cái</t>
        </is>
      </c>
      <c r="F712" s="5" t="n">
        <v>497000</v>
      </c>
      <c r="G712" s="5" t="n">
        <v>721000</v>
      </c>
      <c r="H712" s="6" t="n">
        <v>614000</v>
      </c>
      <c r="I712" s="4" t="inlineStr">
        <is>
          <t>Cái 1C/H</t>
        </is>
      </c>
    </row>
    <row r="713">
      <c r="A713" s="3" t="n">
        <v>712</v>
      </c>
      <c r="B713" s="3" t="n">
        <v>33</v>
      </c>
      <c r="C713" s="3" t="inlineStr">
        <is>
          <t>19</t>
        </is>
      </c>
      <c r="D713" s="4" t="inlineStr">
        <is>
          <t>TCT-M3-30 Ø30</t>
        </is>
      </c>
      <c r="E713" s="3" t="inlineStr">
        <is>
          <t>Cái</t>
        </is>
      </c>
      <c r="F713" s="5" t="n">
        <v>497000</v>
      </c>
      <c r="G713" s="5" t="n">
        <v>721000</v>
      </c>
      <c r="H713" s="6" t="n">
        <v>614000</v>
      </c>
      <c r="I713" s="4" t="inlineStr">
        <is>
          <t>Cái 1C/H</t>
        </is>
      </c>
    </row>
    <row r="714">
      <c r="A714" s="3" t="n">
        <v>713</v>
      </c>
      <c r="B714" s="3" t="n">
        <v>33</v>
      </c>
      <c r="C714" s="3" t="inlineStr">
        <is>
          <t>20</t>
        </is>
      </c>
      <c r="D714" s="4" t="inlineStr">
        <is>
          <t>TCT-M3-31 Ø31</t>
        </is>
      </c>
      <c r="E714" s="3" t="inlineStr">
        <is>
          <t>Cái</t>
        </is>
      </c>
      <c r="F714" s="5" t="n">
        <v>589000</v>
      </c>
      <c r="G714" s="5" t="n">
        <v>854000</v>
      </c>
      <c r="H714" s="6" t="n">
        <v>754000</v>
      </c>
      <c r="I714" s="4" t="inlineStr">
        <is>
          <t>Cái 1C/H</t>
        </is>
      </c>
    </row>
    <row r="715">
      <c r="A715" s="3" t="n">
        <v>714</v>
      </c>
      <c r="B715" s="3" t="n">
        <v>33</v>
      </c>
      <c r="C715" s="3" t="inlineStr">
        <is>
          <t>21</t>
        </is>
      </c>
      <c r="D715" s="4" t="inlineStr">
        <is>
          <t>TCT-M3-32 Ø32</t>
        </is>
      </c>
      <c r="E715" s="3" t="inlineStr">
        <is>
          <t>Cái</t>
        </is>
      </c>
      <c r="F715" s="5" t="n">
        <v>589000</v>
      </c>
      <c r="G715" s="5" t="n">
        <v>854000</v>
      </c>
      <c r="H715" s="6" t="n">
        <v>754000</v>
      </c>
      <c r="I715" s="4" t="inlineStr">
        <is>
          <t>Cái 1C/H</t>
        </is>
      </c>
    </row>
    <row r="716">
      <c r="A716" s="3" t="n">
        <v>715</v>
      </c>
      <c r="B716" s="3" t="n">
        <v>33</v>
      </c>
      <c r="C716" s="3" t="inlineStr">
        <is>
          <t>22</t>
        </is>
      </c>
      <c r="D716" s="4" t="inlineStr">
        <is>
          <t>TCT-M3-33 Ø33</t>
        </is>
      </c>
      <c r="E716" s="3" t="inlineStr">
        <is>
          <t>Cái</t>
        </is>
      </c>
      <c r="F716" s="5" t="n">
        <v>589000</v>
      </c>
      <c r="G716" s="5" t="n">
        <v>854000</v>
      </c>
      <c r="H716" s="6" t="n">
        <v>754000</v>
      </c>
      <c r="I716" s="4" t="inlineStr">
        <is>
          <t>Cái 1C/H</t>
        </is>
      </c>
    </row>
    <row r="717">
      <c r="A717" s="3" t="n">
        <v>716</v>
      </c>
      <c r="B717" s="3" t="n">
        <v>34</v>
      </c>
      <c r="C717" s="3" t="inlineStr">
        <is>
          <t>23</t>
        </is>
      </c>
      <c r="D717" s="4" t="inlineStr">
        <is>
          <t>TCT-M3-34 Ø34</t>
        </is>
      </c>
      <c r="E717" s="3" t="inlineStr">
        <is>
          <t>Cái</t>
        </is>
      </c>
      <c r="F717" s="5" t="n">
        <v>589000</v>
      </c>
      <c r="G717" s="5" t="n">
        <v>854000</v>
      </c>
      <c r="H717" s="6" t="n">
        <v>754000</v>
      </c>
      <c r="I717" s="4" t="inlineStr">
        <is>
          <t>Cái 1C/H</t>
        </is>
      </c>
    </row>
    <row r="718">
      <c r="A718" s="3" t="n">
        <v>717</v>
      </c>
      <c r="B718" s="3" t="n">
        <v>34</v>
      </c>
      <c r="C718" s="3" t="inlineStr">
        <is>
          <t>24</t>
        </is>
      </c>
      <c r="D718" s="4" t="inlineStr">
        <is>
          <t>TCT-M3-35 Ø35</t>
        </is>
      </c>
      <c r="E718" s="3" t="inlineStr">
        <is>
          <t>Cái</t>
        </is>
      </c>
      <c r="F718" s="5" t="n">
        <v>589000</v>
      </c>
      <c r="G718" s="5" t="n">
        <v>854000</v>
      </c>
      <c r="H718" s="6" t="n">
        <v>754000</v>
      </c>
      <c r="I718" s="4" t="inlineStr">
        <is>
          <t>Cái 1C/H</t>
        </is>
      </c>
    </row>
    <row r="719">
      <c r="A719" s="3" t="n">
        <v>718</v>
      </c>
      <c r="B719" s="3" t="n">
        <v>34</v>
      </c>
      <c r="C719" s="3" t="inlineStr">
        <is>
          <t>25</t>
        </is>
      </c>
      <c r="D719" s="4" t="inlineStr">
        <is>
          <t>TCT-M3-36 Ø36</t>
        </is>
      </c>
      <c r="E719" s="3" t="inlineStr">
        <is>
          <t>Cái</t>
        </is>
      </c>
      <c r="F719" s="5" t="n">
        <v>660000</v>
      </c>
      <c r="G719" s="5" t="n">
        <v>957000</v>
      </c>
      <c r="H719" s="6" t="n">
        <v>851000</v>
      </c>
      <c r="I719" s="4" t="inlineStr">
        <is>
          <t>Cái 1C/H</t>
        </is>
      </c>
    </row>
    <row r="720">
      <c r="A720" s="3" t="n">
        <v>719</v>
      </c>
      <c r="B720" s="3" t="n">
        <v>34</v>
      </c>
      <c r="C720" s="3" t="inlineStr">
        <is>
          <t>26</t>
        </is>
      </c>
      <c r="D720" s="4" t="inlineStr">
        <is>
          <t>TCT-M3-37 Ø37</t>
        </is>
      </c>
      <c r="E720" s="3" t="inlineStr">
        <is>
          <t>Cái</t>
        </is>
      </c>
      <c r="F720" s="5" t="n">
        <v>660000</v>
      </c>
      <c r="G720" s="5" t="n">
        <v>957000</v>
      </c>
      <c r="H720" s="6" t="n">
        <v>851000</v>
      </c>
      <c r="I720" s="4" t="inlineStr">
        <is>
          <t>Cái 1C/H</t>
        </is>
      </c>
    </row>
    <row r="721">
      <c r="A721" s="3" t="n">
        <v>720</v>
      </c>
      <c r="B721" s="3" t="n">
        <v>34</v>
      </c>
      <c r="C721" s="3" t="inlineStr">
        <is>
          <t>27</t>
        </is>
      </c>
      <c r="D721" s="4" t="inlineStr">
        <is>
          <t>TCT-M3-38 Ø38</t>
        </is>
      </c>
      <c r="E721" s="3" t="inlineStr">
        <is>
          <t>Cái</t>
        </is>
      </c>
      <c r="F721" s="5" t="n">
        <v>660000</v>
      </c>
      <c r="G721" s="5" t="n">
        <v>957000</v>
      </c>
      <c r="H721" s="6" t="n">
        <v>851000</v>
      </c>
      <c r="I721" s="4" t="inlineStr">
        <is>
          <t>Cái 1C/H</t>
        </is>
      </c>
    </row>
    <row r="722">
      <c r="A722" s="3" t="n">
        <v>721</v>
      </c>
      <c r="B722" s="3" t="n">
        <v>34</v>
      </c>
      <c r="C722" s="3" t="inlineStr">
        <is>
          <t>28</t>
        </is>
      </c>
      <c r="D722" s="4" t="inlineStr">
        <is>
          <t>TCT-M3-39 Ø39</t>
        </is>
      </c>
      <c r="E722" s="3" t="inlineStr">
        <is>
          <t>Cái</t>
        </is>
      </c>
      <c r="F722" s="5" t="n">
        <v>660000</v>
      </c>
      <c r="G722" s="5" t="n">
        <v>957000</v>
      </c>
      <c r="H722" s="6" t="n">
        <v>851000</v>
      </c>
      <c r="I722" s="4" t="inlineStr">
        <is>
          <t>Cái 1C/H</t>
        </is>
      </c>
    </row>
    <row r="723">
      <c r="A723" s="3" t="n">
        <v>722</v>
      </c>
      <c r="B723" s="3" t="n">
        <v>34</v>
      </c>
      <c r="C723" s="3" t="inlineStr">
        <is>
          <t>29</t>
        </is>
      </c>
      <c r="D723" s="4" t="inlineStr">
        <is>
          <t>TCT-M3-40 Ø40</t>
        </is>
      </c>
      <c r="E723" s="3" t="inlineStr">
        <is>
          <t>Cái</t>
        </is>
      </c>
      <c r="F723" s="5" t="n">
        <v>660000</v>
      </c>
      <c r="G723" s="5" t="n">
        <v>957000</v>
      </c>
      <c r="H723" s="6" t="n">
        <v>851000</v>
      </c>
      <c r="I723" s="4" t="inlineStr">
        <is>
          <t>Cái 1C/H</t>
        </is>
      </c>
    </row>
    <row r="724">
      <c r="A724" s="3" t="n">
        <v>723</v>
      </c>
      <c r="B724" s="3" t="n">
        <v>34</v>
      </c>
      <c r="C724" s="3" t="inlineStr">
        <is>
          <t>30</t>
        </is>
      </c>
      <c r="D724" s="4" t="inlineStr">
        <is>
          <t>TCT-M3-41 Ø41</t>
        </is>
      </c>
      <c r="E724" s="3" t="inlineStr">
        <is>
          <t>Cái</t>
        </is>
      </c>
      <c r="F724" s="5" t="n">
        <v>706000</v>
      </c>
      <c r="G724" s="5" t="n">
        <v>1024000</v>
      </c>
      <c r="H724" s="6" t="n">
        <v>910000</v>
      </c>
      <c r="I724" s="4" t="inlineStr">
        <is>
          <t>Cái 1C/H</t>
        </is>
      </c>
    </row>
    <row r="725">
      <c r="A725" s="3" t="n">
        <v>724</v>
      </c>
      <c r="B725" s="3" t="n">
        <v>34</v>
      </c>
      <c r="C725" s="3" t="inlineStr">
        <is>
          <t>31</t>
        </is>
      </c>
      <c r="D725" s="4" t="inlineStr">
        <is>
          <t>TCT-M3-42 Ø42</t>
        </is>
      </c>
      <c r="E725" s="3" t="inlineStr">
        <is>
          <t>Cái</t>
        </is>
      </c>
      <c r="F725" s="5" t="n">
        <v>706000</v>
      </c>
      <c r="G725" s="5" t="n">
        <v>1024000</v>
      </c>
      <c r="H725" s="6" t="n">
        <v>910000</v>
      </c>
      <c r="I725" s="4" t="inlineStr">
        <is>
          <t>Cái 1C/H</t>
        </is>
      </c>
    </row>
    <row r="726">
      <c r="A726" s="3" t="n">
        <v>725</v>
      </c>
      <c r="B726" s="3" t="n">
        <v>34</v>
      </c>
      <c r="C726" s="3" t="inlineStr">
        <is>
          <t>32</t>
        </is>
      </c>
      <c r="D726" s="4" t="inlineStr">
        <is>
          <t>TCT-M3-43 Ø43</t>
        </is>
      </c>
      <c r="E726" s="3" t="inlineStr">
        <is>
          <t>Cái</t>
        </is>
      </c>
      <c r="F726" s="5" t="n">
        <v>706000</v>
      </c>
      <c r="G726" s="5" t="n">
        <v>1024000</v>
      </c>
      <c r="H726" s="6" t="n">
        <v>910000</v>
      </c>
      <c r="I726" s="4" t="inlineStr">
        <is>
          <t>Cái 1C/H</t>
        </is>
      </c>
    </row>
    <row r="727">
      <c r="A727" s="3" t="n">
        <v>726</v>
      </c>
      <c r="B727" s="3" t="n">
        <v>34</v>
      </c>
      <c r="C727" s="3" t="inlineStr">
        <is>
          <t>33</t>
        </is>
      </c>
      <c r="D727" s="4" t="inlineStr">
        <is>
          <t>TCT-M3-44 Ø44</t>
        </is>
      </c>
      <c r="E727" s="3" t="inlineStr">
        <is>
          <t>Cái</t>
        </is>
      </c>
      <c r="F727" s="5" t="n">
        <v>706000</v>
      </c>
      <c r="G727" s="5" t="n">
        <v>1024000</v>
      </c>
      <c r="H727" s="6" t="n">
        <v>910000</v>
      </c>
      <c r="I727" s="4" t="inlineStr">
        <is>
          <t>Cái 1C/H</t>
        </is>
      </c>
    </row>
    <row r="728">
      <c r="A728" s="3" t="n">
        <v>727</v>
      </c>
      <c r="B728" s="3" t="n">
        <v>34</v>
      </c>
      <c r="C728" s="3" t="inlineStr">
        <is>
          <t>34</t>
        </is>
      </c>
      <c r="D728" s="4" t="inlineStr">
        <is>
          <t>TCT-M3-45 Ø45</t>
        </is>
      </c>
      <c r="E728" s="3" t="inlineStr">
        <is>
          <t>Cái</t>
        </is>
      </c>
      <c r="F728" s="5" t="n">
        <v>706000</v>
      </c>
      <c r="G728" s="5" t="n">
        <v>1024000</v>
      </c>
      <c r="H728" s="6" t="n">
        <v>910000</v>
      </c>
      <c r="I728" s="4" t="inlineStr">
        <is>
          <t>Cái 1C/H</t>
        </is>
      </c>
    </row>
    <row r="729">
      <c r="A729" s="3" t="n">
        <v>728</v>
      </c>
      <c r="B729" s="3" t="n">
        <v>34</v>
      </c>
      <c r="C729" s="3" t="inlineStr">
        <is>
          <t>35</t>
        </is>
      </c>
      <c r="D729" s="4" t="inlineStr">
        <is>
          <t>TCT-M3-46 Ø46</t>
        </is>
      </c>
      <c r="E729" s="3" t="inlineStr">
        <is>
          <t>Cái</t>
        </is>
      </c>
      <c r="F729" s="5" t="n">
        <v>777000</v>
      </c>
      <c r="G729" s="5" t="n">
        <v>1127000</v>
      </c>
      <c r="H729" s="6" t="n">
        <v>1003000</v>
      </c>
      <c r="I729" s="4" t="inlineStr">
        <is>
          <t>Cái 1C/H</t>
        </is>
      </c>
    </row>
    <row r="730">
      <c r="A730" s="3" t="n">
        <v>729</v>
      </c>
      <c r="B730" s="3" t="n">
        <v>34</v>
      </c>
      <c r="C730" s="3" t="inlineStr">
        <is>
          <t>36</t>
        </is>
      </c>
      <c r="D730" s="4" t="inlineStr">
        <is>
          <t>TCT-M3-47 Ø47</t>
        </is>
      </c>
      <c r="E730" s="3" t="inlineStr">
        <is>
          <t>Cái</t>
        </is>
      </c>
      <c r="F730" s="5" t="n">
        <v>777000</v>
      </c>
      <c r="G730" s="5" t="n">
        <v>1127000</v>
      </c>
      <c r="H730" s="6" t="n">
        <v>1003000</v>
      </c>
      <c r="I730" s="4" t="inlineStr">
        <is>
          <t>Cái 1C/H</t>
        </is>
      </c>
    </row>
    <row r="731">
      <c r="A731" s="3" t="n">
        <v>730</v>
      </c>
      <c r="B731" s="3" t="n">
        <v>34</v>
      </c>
      <c r="C731" s="3" t="inlineStr">
        <is>
          <t>37</t>
        </is>
      </c>
      <c r="D731" s="4" t="inlineStr">
        <is>
          <t>TCT-M3-48 Ø49</t>
        </is>
      </c>
      <c r="E731" s="3" t="inlineStr">
        <is>
          <t>Cái</t>
        </is>
      </c>
      <c r="F731" s="5" t="n">
        <v>777000</v>
      </c>
      <c r="G731" s="5" t="n">
        <v>1127000</v>
      </c>
      <c r="H731" s="6" t="n">
        <v>1003000</v>
      </c>
      <c r="I731" s="4" t="inlineStr">
        <is>
          <t>Cái 1C/H</t>
        </is>
      </c>
    </row>
    <row r="732">
      <c r="A732" s="3" t="n">
        <v>731</v>
      </c>
      <c r="B732" s="3" t="n">
        <v>34</v>
      </c>
      <c r="C732" s="3" t="inlineStr">
        <is>
          <t>38</t>
        </is>
      </c>
      <c r="D732" s="4" t="inlineStr">
        <is>
          <t>TCT-M3-49 Ø49</t>
        </is>
      </c>
      <c r="E732" s="3" t="inlineStr">
        <is>
          <t>Cái</t>
        </is>
      </c>
      <c r="F732" s="5" t="n">
        <v>777000</v>
      </c>
      <c r="G732" s="5" t="n">
        <v>1127000</v>
      </c>
      <c r="H732" s="6" t="n">
        <v>1003000</v>
      </c>
      <c r="I732" s="4" t="inlineStr">
        <is>
          <t>Cái 1C/H</t>
        </is>
      </c>
    </row>
    <row r="733">
      <c r="A733" s="3" t="n">
        <v>732</v>
      </c>
      <c r="B733" s="3" t="n">
        <v>34</v>
      </c>
      <c r="C733" s="3" t="inlineStr">
        <is>
          <t>39</t>
        </is>
      </c>
      <c r="D733" s="4" t="inlineStr">
        <is>
          <t>TCT-M3-50 Ø50</t>
        </is>
      </c>
      <c r="E733" s="3" t="inlineStr">
        <is>
          <t>Cái</t>
        </is>
      </c>
      <c r="F733" s="5" t="n">
        <v>777000</v>
      </c>
      <c r="G733" s="5" t="n">
        <v>1127000</v>
      </c>
      <c r="H733" s="6" t="n">
        <v>1003000</v>
      </c>
      <c r="I733" s="4" t="inlineStr">
        <is>
          <t>Cái 1C/H</t>
        </is>
      </c>
    </row>
    <row r="734">
      <c r="A734" s="3" t="n">
        <v>733</v>
      </c>
      <c r="B734" s="3" t="n">
        <v>34</v>
      </c>
      <c r="C734" s="3" t="inlineStr">
        <is>
          <t>40</t>
        </is>
      </c>
      <c r="D734" s="4" t="inlineStr">
        <is>
          <t>TCT-M3-51 Ø51</t>
        </is>
      </c>
      <c r="E734" s="3" t="inlineStr">
        <is>
          <t>Cái</t>
        </is>
      </c>
      <c r="F734" s="5" t="n">
        <v>1096000</v>
      </c>
      <c r="G734" s="5" t="n">
        <v>1589000</v>
      </c>
      <c r="H734" s="6" t="n"/>
      <c r="I734" s="4" t="inlineStr">
        <is>
          <t>Cái 1C/H</t>
        </is>
      </c>
    </row>
    <row r="735">
      <c r="A735" s="3" t="n">
        <v>734</v>
      </c>
      <c r="B735" s="3" t="n">
        <v>34</v>
      </c>
      <c r="C735" s="3" t="inlineStr">
        <is>
          <t>41</t>
        </is>
      </c>
      <c r="D735" s="4" t="inlineStr">
        <is>
          <t>Mũi khoan từ Kingblue TCT-M3-52 Ø52</t>
        </is>
      </c>
      <c r="E735" s="3" t="inlineStr">
        <is>
          <t>Cái</t>
        </is>
      </c>
      <c r="F735" s="5" t="n">
        <v>1096000</v>
      </c>
      <c r="G735" s="5" t="n">
        <v>1589000</v>
      </c>
      <c r="H735" s="6" t="n"/>
      <c r="I735" s="4" t="inlineStr">
        <is>
          <t>Cái 1C/H</t>
        </is>
      </c>
    </row>
    <row r="736">
      <c r="A736" s="3" t="n">
        <v>735</v>
      </c>
      <c r="B736" s="3" t="n">
        <v>34</v>
      </c>
      <c r="C736" s="3" t="inlineStr">
        <is>
          <t>42</t>
        </is>
      </c>
      <c r="D736" s="4" t="inlineStr">
        <is>
          <t>TCT-M3-53 Ø53</t>
        </is>
      </c>
      <c r="E736" s="3" t="inlineStr">
        <is>
          <t>Cái</t>
        </is>
      </c>
      <c r="F736" s="5" t="n">
        <v>1096000</v>
      </c>
      <c r="G736" s="5" t="n">
        <v>1589000</v>
      </c>
      <c r="H736" s="6" t="n"/>
      <c r="I736" s="4" t="inlineStr">
        <is>
          <t>Cái 1C/H</t>
        </is>
      </c>
    </row>
    <row r="737">
      <c r="A737" s="3" t="n">
        <v>736</v>
      </c>
      <c r="B737" s="3" t="n">
        <v>34</v>
      </c>
      <c r="C737" s="3" t="inlineStr">
        <is>
          <t>43</t>
        </is>
      </c>
      <c r="D737" s="4" t="inlineStr">
        <is>
          <t>TCT-M3-54 Ø54</t>
        </is>
      </c>
      <c r="E737" s="3" t="inlineStr">
        <is>
          <t>Cái</t>
        </is>
      </c>
      <c r="F737" s="5" t="n">
        <v>1096000</v>
      </c>
      <c r="G737" s="5" t="n">
        <v>1589000</v>
      </c>
      <c r="H737" s="6" t="n"/>
      <c r="I737" s="4" t="inlineStr">
        <is>
          <t>Cái 1C/H</t>
        </is>
      </c>
    </row>
    <row r="738">
      <c r="A738" s="3" t="n">
        <v>737</v>
      </c>
      <c r="B738" s="3" t="n">
        <v>34</v>
      </c>
      <c r="C738" s="3" t="inlineStr">
        <is>
          <t>44</t>
        </is>
      </c>
      <c r="D738" s="4" t="inlineStr">
        <is>
          <t>TCT-M3-55 Ø55</t>
        </is>
      </c>
      <c r="E738" s="3" t="inlineStr">
        <is>
          <t>Cái</t>
        </is>
      </c>
      <c r="F738" s="5" t="n">
        <v>1096000</v>
      </c>
      <c r="G738" s="5" t="n">
        <v>1589000</v>
      </c>
      <c r="H738" s="6" t="n"/>
      <c r="I738" s="4" t="inlineStr">
        <is>
          <t>Cái 1C/H</t>
        </is>
      </c>
    </row>
    <row r="739">
      <c r="A739" s="3" t="n">
        <v>738</v>
      </c>
      <c r="B739" s="3" t="n">
        <v>34</v>
      </c>
      <c r="C739" s="3" t="inlineStr">
        <is>
          <t>45</t>
        </is>
      </c>
      <c r="D739" s="4" t="inlineStr">
        <is>
          <t>TCT-M3-56 Ø56</t>
        </is>
      </c>
      <c r="E739" s="3" t="inlineStr">
        <is>
          <t>Cái</t>
        </is>
      </c>
      <c r="F739" s="5" t="n">
        <v>1190000</v>
      </c>
      <c r="G739" s="5" t="n">
        <v>1726000</v>
      </c>
      <c r="H739" s="6" t="n"/>
      <c r="I739" s="4" t="inlineStr">
        <is>
          <t>Cái 1C/H</t>
        </is>
      </c>
    </row>
    <row r="740">
      <c r="A740" s="3" t="n">
        <v>739</v>
      </c>
      <c r="B740" s="3" t="n">
        <v>34</v>
      </c>
      <c r="C740" s="3" t="inlineStr">
        <is>
          <t>46</t>
        </is>
      </c>
      <c r="D740" s="4" t="inlineStr">
        <is>
          <t>TCT-M3-57 Ø57</t>
        </is>
      </c>
      <c r="E740" s="3" t="inlineStr">
        <is>
          <t>Cái</t>
        </is>
      </c>
      <c r="F740" s="5" t="n">
        <v>1190000</v>
      </c>
      <c r="G740" s="5" t="n">
        <v>1726000</v>
      </c>
      <c r="H740" s="6" t="n"/>
      <c r="I740" s="4" t="inlineStr">
        <is>
          <t>Cái 1C/H</t>
        </is>
      </c>
    </row>
    <row r="741">
      <c r="A741" s="3" t="n">
        <v>740</v>
      </c>
      <c r="B741" s="3" t="n">
        <v>34</v>
      </c>
      <c r="C741" s="3" t="inlineStr">
        <is>
          <t>47</t>
        </is>
      </c>
      <c r="D741" s="4" t="inlineStr">
        <is>
          <t>TCT-M3-58 Ø58</t>
        </is>
      </c>
      <c r="E741" s="3" t="inlineStr">
        <is>
          <t>Cái</t>
        </is>
      </c>
      <c r="F741" s="5" t="n">
        <v>1190000</v>
      </c>
      <c r="G741" s="5" t="n">
        <v>1726000</v>
      </c>
      <c r="H741" s="6" t="n"/>
      <c r="I741" s="4" t="inlineStr">
        <is>
          <t>Cái 1C/H</t>
        </is>
      </c>
    </row>
    <row r="742">
      <c r="A742" s="3" t="n">
        <v>741</v>
      </c>
      <c r="B742" s="3" t="n">
        <v>35</v>
      </c>
      <c r="C742" s="3" t="inlineStr">
        <is>
          <t>48</t>
        </is>
      </c>
      <c r="D742" s="4" t="inlineStr">
        <is>
          <t>TCT-M3-59 Ø59</t>
        </is>
      </c>
      <c r="E742" s="3" t="inlineStr">
        <is>
          <t>Cái</t>
        </is>
      </c>
      <c r="F742" s="5" t="n">
        <v>1190000</v>
      </c>
      <c r="G742" s="5" t="n">
        <v>1726000</v>
      </c>
      <c r="H742" s="6" t="n"/>
      <c r="I742" s="4" t="inlineStr">
        <is>
          <t>Cái 1C/H</t>
        </is>
      </c>
    </row>
    <row r="743">
      <c r="A743" s="3" t="n">
        <v>742</v>
      </c>
      <c r="B743" s="3" t="n">
        <v>35</v>
      </c>
      <c r="C743" s="3" t="inlineStr">
        <is>
          <t>49</t>
        </is>
      </c>
      <c r="D743" s="4" t="inlineStr">
        <is>
          <t>TCT-M3-60 Ø60</t>
        </is>
      </c>
      <c r="E743" s="3" t="inlineStr">
        <is>
          <t>Cái</t>
        </is>
      </c>
      <c r="F743" s="5" t="n">
        <v>1190000</v>
      </c>
      <c r="G743" s="5" t="n">
        <v>1726000</v>
      </c>
      <c r="H743" s="6" t="n"/>
      <c r="I743" s="4" t="inlineStr">
        <is>
          <t>Cái 1C/H</t>
        </is>
      </c>
    </row>
    <row r="744">
      <c r="A744" s="3" t="n">
        <v>743</v>
      </c>
      <c r="B744" s="3" t="n">
        <v>35</v>
      </c>
      <c r="C744" s="3" t="inlineStr">
        <is>
          <t>50</t>
        </is>
      </c>
      <c r="D744" s="4" t="inlineStr">
        <is>
          <t>TCT-M3-61 Ø61</t>
        </is>
      </c>
      <c r="E744" s="3" t="inlineStr">
        <is>
          <t>Cái</t>
        </is>
      </c>
      <c r="F744" s="5" t="n">
        <v>1422000</v>
      </c>
      <c r="G744" s="5" t="n">
        <v>2062000</v>
      </c>
      <c r="H744" s="6" t="n"/>
      <c r="I744" s="4" t="inlineStr">
        <is>
          <t>Cái 1C/H</t>
        </is>
      </c>
    </row>
    <row r="745">
      <c r="A745" s="3" t="n">
        <v>744</v>
      </c>
      <c r="B745" s="3" t="n">
        <v>35</v>
      </c>
      <c r="C745" s="3" t="inlineStr">
        <is>
          <t>51</t>
        </is>
      </c>
      <c r="D745" s="4" t="inlineStr">
        <is>
          <t>TCT-M3-62 Ø62</t>
        </is>
      </c>
      <c r="E745" s="3" t="inlineStr">
        <is>
          <t>Cái</t>
        </is>
      </c>
      <c r="F745" s="5" t="n">
        <v>1422000</v>
      </c>
      <c r="G745" s="5" t="n">
        <v>2062000</v>
      </c>
      <c r="H745" s="6" t="n"/>
      <c r="I745" s="4" t="inlineStr">
        <is>
          <t>Cái 1C/H</t>
        </is>
      </c>
    </row>
    <row r="746">
      <c r="A746" s="3" t="n">
        <v>745</v>
      </c>
      <c r="B746" s="3" t="n">
        <v>35</v>
      </c>
      <c r="C746" s="3" t="inlineStr">
        <is>
          <t>52</t>
        </is>
      </c>
      <c r="D746" s="4" t="inlineStr">
        <is>
          <t>TCT-M3-63 Ø63</t>
        </is>
      </c>
      <c r="E746" s="3" t="inlineStr">
        <is>
          <t>Cái</t>
        </is>
      </c>
      <c r="F746" s="5" t="n">
        <v>1422000</v>
      </c>
      <c r="G746" s="5" t="n">
        <v>2062000</v>
      </c>
      <c r="H746" s="6" t="n"/>
      <c r="I746" s="4" t="inlineStr">
        <is>
          <t>Cái 1C/H</t>
        </is>
      </c>
    </row>
    <row r="747">
      <c r="A747" s="3" t="n">
        <v>746</v>
      </c>
      <c r="B747" s="3" t="n">
        <v>35</v>
      </c>
      <c r="C747" s="3" t="inlineStr">
        <is>
          <t>53</t>
        </is>
      </c>
      <c r="D747" s="4" t="inlineStr">
        <is>
          <t>TCT-M3-64 Ø64</t>
        </is>
      </c>
      <c r="E747" s="3" t="inlineStr">
        <is>
          <t>Cái</t>
        </is>
      </c>
      <c r="F747" s="5" t="n">
        <v>1422000</v>
      </c>
      <c r="G747" s="5" t="n">
        <v>2062000</v>
      </c>
      <c r="H747" s="6" t="n"/>
      <c r="I747" s="4" t="inlineStr">
        <is>
          <t>Cái 1C/H</t>
        </is>
      </c>
    </row>
    <row r="748">
      <c r="A748" s="3" t="n">
        <v>747</v>
      </c>
      <c r="B748" s="3" t="n">
        <v>35</v>
      </c>
      <c r="C748" s="3" t="inlineStr">
        <is>
          <t>54</t>
        </is>
      </c>
      <c r="D748" s="4" t="inlineStr">
        <is>
          <t>TCT-M3-65 Ø65</t>
        </is>
      </c>
      <c r="E748" s="3" t="inlineStr">
        <is>
          <t>Cái</t>
        </is>
      </c>
      <c r="F748" s="5" t="n">
        <v>1422000</v>
      </c>
      <c r="G748" s="5" t="n">
        <v>2062000</v>
      </c>
      <c r="H748" s="6" t="n"/>
      <c r="I748" s="4" t="inlineStr">
        <is>
          <t>Cái 1C/H</t>
        </is>
      </c>
    </row>
    <row r="749">
      <c r="A749" s="3" t="n">
        <v>748</v>
      </c>
      <c r="B749" s="3" t="n">
        <v>35</v>
      </c>
      <c r="C749" s="3" t="inlineStr">
        <is>
          <t>1</t>
        </is>
      </c>
      <c r="D749" s="4" t="inlineStr">
        <is>
          <t>TCT-WS-14/50 Ø14</t>
        </is>
      </c>
      <c r="E749" s="3" t="inlineStr">
        <is>
          <t>Cái</t>
        </is>
      </c>
      <c r="F749" s="5" t="n">
        <v>478000</v>
      </c>
      <c r="G749" s="5" t="n">
        <v>693000</v>
      </c>
      <c r="H749" s="6" t="n"/>
      <c r="I749" s="4" t="inlineStr">
        <is>
          <t>Cái 1C/H</t>
        </is>
      </c>
    </row>
    <row r="750">
      <c r="A750" s="3" t="n">
        <v>749</v>
      </c>
      <c r="B750" s="3" t="n">
        <v>35</v>
      </c>
      <c r="C750" s="3" t="inlineStr">
        <is>
          <t>2</t>
        </is>
      </c>
      <c r="D750" s="4" t="inlineStr">
        <is>
          <t>TCT-WS-16/50 Ø16</t>
        </is>
      </c>
      <c r="E750" s="3" t="inlineStr">
        <is>
          <t>Cái</t>
        </is>
      </c>
      <c r="F750" s="5" t="n">
        <v>478000</v>
      </c>
      <c r="G750" s="5" t="n">
        <v>693000</v>
      </c>
      <c r="H750" s="6" t="n"/>
      <c r="I750" s="4" t="inlineStr">
        <is>
          <t>Cái 1C/H</t>
        </is>
      </c>
    </row>
    <row r="751">
      <c r="A751" s="3" t="n">
        <v>750</v>
      </c>
      <c r="B751" s="3" t="n">
        <v>35</v>
      </c>
      <c r="C751" s="3" t="inlineStr">
        <is>
          <t>3</t>
        </is>
      </c>
      <c r="D751" s="4" t="inlineStr">
        <is>
          <t>TCT-WS-18/50 Ø18</t>
        </is>
      </c>
      <c r="E751" s="3" t="inlineStr">
        <is>
          <t>Cái</t>
        </is>
      </c>
      <c r="F751" s="5" t="n">
        <v>478000</v>
      </c>
      <c r="G751" s="5" t="n">
        <v>693000</v>
      </c>
      <c r="H751" s="6" t="n"/>
      <c r="I751" s="4" t="inlineStr">
        <is>
          <t>Cái 1C/H</t>
        </is>
      </c>
    </row>
    <row r="752">
      <c r="A752" s="3" t="n">
        <v>751</v>
      </c>
      <c r="B752" s="3" t="n">
        <v>36</v>
      </c>
      <c r="C752" s="3" t="inlineStr">
        <is>
          <t>1</t>
        </is>
      </c>
      <c r="D752" s="4" t="inlineStr">
        <is>
          <t>KBB-006 Ø6</t>
        </is>
      </c>
      <c r="E752" s="3" t="inlineStr">
        <is>
          <t>Cái</t>
        </is>
      </c>
      <c r="F752" s="5" t="n">
        <v>7000</v>
      </c>
      <c r="G752" s="5" t="n">
        <v>9000</v>
      </c>
      <c r="H752" s="6" t="n">
        <v>12000</v>
      </c>
      <c r="I752" s="4" t="inlineStr">
        <is>
          <t>Cái 10c/H 280c/H</t>
        </is>
      </c>
    </row>
    <row r="753">
      <c r="A753" s="3" t="n">
        <v>752</v>
      </c>
      <c r="B753" s="3" t="n">
        <v>36</v>
      </c>
      <c r="C753" s="3" t="inlineStr">
        <is>
          <t>2</t>
        </is>
      </c>
      <c r="D753" s="4" t="inlineStr">
        <is>
          <t>KBB-008 Ø8</t>
        </is>
      </c>
      <c r="E753" s="3" t="inlineStr">
        <is>
          <t>Cái</t>
        </is>
      </c>
      <c r="F753" s="5" t="n">
        <v>8000</v>
      </c>
      <c r="G753" s="5" t="n">
        <v>10000</v>
      </c>
      <c r="H753" s="6" t="n">
        <v>14000</v>
      </c>
      <c r="I753" s="4" t="inlineStr">
        <is>
          <t>Cái 10c/H 280c/H</t>
        </is>
      </c>
    </row>
    <row r="754">
      <c r="A754" s="3" t="n">
        <v>753</v>
      </c>
      <c r="B754" s="3" t="n">
        <v>36</v>
      </c>
      <c r="C754" s="3" t="inlineStr">
        <is>
          <t>3</t>
        </is>
      </c>
      <c r="D754" s="4" t="inlineStr">
        <is>
          <t>KBB-010 Ø10</t>
        </is>
      </c>
      <c r="E754" s="3" t="inlineStr">
        <is>
          <t>Cái</t>
        </is>
      </c>
      <c r="F754" s="5" t="n">
        <v>11000</v>
      </c>
      <c r="G754" s="5" t="n">
        <v>15000</v>
      </c>
      <c r="H754" s="6" t="n">
        <v>20000</v>
      </c>
      <c r="I754" s="4" t="inlineStr">
        <is>
          <t>Cái 10c/H 280c/H</t>
        </is>
      </c>
    </row>
    <row r="755">
      <c r="A755" s="3" t="n">
        <v>754</v>
      </c>
      <c r="B755" s="3" t="n">
        <v>36</v>
      </c>
      <c r="C755" s="3" t="inlineStr">
        <is>
          <t>4</t>
        </is>
      </c>
      <c r="D755" s="4" t="inlineStr">
        <is>
          <t>KBB-012 Ø12</t>
        </is>
      </c>
      <c r="E755" s="3" t="inlineStr">
        <is>
          <t>Cái</t>
        </is>
      </c>
      <c r="F755" s="5" t="n">
        <v>13000</v>
      </c>
      <c r="G755" s="5" t="n">
        <v>16000</v>
      </c>
      <c r="H755" s="6" t="n">
        <v>21000</v>
      </c>
      <c r="I755" s="4" t="inlineStr">
        <is>
          <t>Cái 10c/H 150c/H</t>
        </is>
      </c>
    </row>
    <row r="756">
      <c r="A756" s="3" t="n">
        <v>755</v>
      </c>
      <c r="B756" s="3" t="n">
        <v>36</v>
      </c>
      <c r="C756" s="3" t="inlineStr">
        <is>
          <t>5</t>
        </is>
      </c>
      <c r="D756" s="4" t="inlineStr">
        <is>
          <t>KBB-014 Ø14</t>
        </is>
      </c>
      <c r="E756" s="3" t="inlineStr">
        <is>
          <t>Cái</t>
        </is>
      </c>
      <c r="F756" s="5" t="n">
        <v>15000</v>
      </c>
      <c r="G756" s="5" t="n">
        <v>19000</v>
      </c>
      <c r="H756" s="6" t="n">
        <v>24000</v>
      </c>
      <c r="I756" s="4" t="inlineStr">
        <is>
          <t>Cái 6c/H 168c/H</t>
        </is>
      </c>
    </row>
    <row r="757">
      <c r="A757" s="3" t="n">
        <v>756</v>
      </c>
      <c r="B757" s="3" t="n">
        <v>36</v>
      </c>
      <c r="C757" s="3" t="inlineStr">
        <is>
          <t>6</t>
        </is>
      </c>
      <c r="D757" s="4" t="inlineStr">
        <is>
          <t>KBB-016 Ø16</t>
        </is>
      </c>
      <c r="E757" s="3" t="inlineStr">
        <is>
          <t>Cái</t>
        </is>
      </c>
      <c r="F757" s="5" t="n">
        <v>17000</v>
      </c>
      <c r="G757" s="5" t="n">
        <v>21000</v>
      </c>
      <c r="H757" s="6" t="n">
        <v>28000</v>
      </c>
      <c r="I757" s="4" t="inlineStr">
        <is>
          <t>Cái 6c/H 108c/H</t>
        </is>
      </c>
    </row>
    <row r="758">
      <c r="A758" s="3" t="n">
        <v>757</v>
      </c>
      <c r="B758" s="3" t="n">
        <v>36</v>
      </c>
      <c r="C758" s="3" t="inlineStr">
        <is>
          <t>7</t>
        </is>
      </c>
      <c r="D758" s="4" t="inlineStr">
        <is>
          <t>KBB-018 Ø18</t>
        </is>
      </c>
      <c r="E758" s="3" t="inlineStr">
        <is>
          <t>Cái</t>
        </is>
      </c>
      <c r="F758" s="5" t="n">
        <v>19000</v>
      </c>
      <c r="G758" s="5" t="n">
        <v>23000</v>
      </c>
      <c r="H758" s="6" t="n">
        <v>30000</v>
      </c>
      <c r="I758" s="4" t="inlineStr">
        <is>
          <t>Cái 6c/H 90c/H</t>
        </is>
      </c>
    </row>
    <row r="759">
      <c r="A759" s="3" t="n">
        <v>758</v>
      </c>
      <c r="B759" s="3" t="n">
        <v>36</v>
      </c>
      <c r="C759" s="3" t="inlineStr">
        <is>
          <t>8</t>
        </is>
      </c>
      <c r="D759" s="4" t="inlineStr">
        <is>
          <t>KBB-020 Ø20</t>
        </is>
      </c>
      <c r="E759" s="3" t="inlineStr">
        <is>
          <t>Cái</t>
        </is>
      </c>
      <c r="F759" s="5" t="n">
        <v>21000</v>
      </c>
      <c r="G759" s="5" t="n">
        <v>27000</v>
      </c>
      <c r="H759" s="6" t="n">
        <v>36000</v>
      </c>
      <c r="I759" s="4" t="inlineStr">
        <is>
          <t>Cái 6c/H 72c/H</t>
        </is>
      </c>
    </row>
    <row r="760">
      <c r="A760" s="3" t="n">
        <v>759</v>
      </c>
      <c r="B760" s="3" t="n">
        <v>36</v>
      </c>
      <c r="C760" s="3" t="inlineStr">
        <is>
          <t>9</t>
        </is>
      </c>
      <c r="D760" s="4" t="inlineStr">
        <is>
          <t>KBB-021 Ø21</t>
        </is>
      </c>
      <c r="E760" s="3" t="inlineStr">
        <is>
          <t>Cái</t>
        </is>
      </c>
      <c r="F760" s="5" t="n">
        <v>22000</v>
      </c>
      <c r="G760" s="5" t="n">
        <v>28000</v>
      </c>
      <c r="H760" s="6" t="n">
        <v>37000</v>
      </c>
      <c r="I760" s="4" t="inlineStr">
        <is>
          <t>Cái 6c/H 72c/H</t>
        </is>
      </c>
    </row>
    <row r="761">
      <c r="A761" s="3" t="n">
        <v>760</v>
      </c>
      <c r="B761" s="3" t="n">
        <v>36</v>
      </c>
      <c r="C761" s="3" t="inlineStr">
        <is>
          <t>10</t>
        </is>
      </c>
      <c r="D761" s="4" t="inlineStr">
        <is>
          <t>KBB-022 Ø22</t>
        </is>
      </c>
      <c r="E761" s="3" t="inlineStr">
        <is>
          <t>Cái</t>
        </is>
      </c>
      <c r="F761" s="5" t="n">
        <v>23000</v>
      </c>
      <c r="G761" s="5" t="n">
        <v>29000</v>
      </c>
      <c r="H761" s="6" t="n">
        <v>38000</v>
      </c>
      <c r="I761" s="4" t="inlineStr">
        <is>
          <t>Cái 6c/H 72c/H</t>
        </is>
      </c>
    </row>
    <row r="762">
      <c r="A762" s="3" t="n">
        <v>761</v>
      </c>
      <c r="B762" s="3" t="n">
        <v>36</v>
      </c>
      <c r="C762" s="3" t="inlineStr">
        <is>
          <t>11</t>
        </is>
      </c>
      <c r="D762" s="4" t="inlineStr">
        <is>
          <t>KBB-025 Ø25</t>
        </is>
      </c>
      <c r="E762" s="3" t="inlineStr">
        <is>
          <t>Cái</t>
        </is>
      </c>
      <c r="F762" s="5" t="n">
        <v>25000</v>
      </c>
      <c r="G762" s="5" t="n">
        <v>32000</v>
      </c>
      <c r="H762" s="6" t="n">
        <v>42000</v>
      </c>
      <c r="I762" s="4" t="inlineStr">
        <is>
          <t>Cái 6c/H 36c/H</t>
        </is>
      </c>
    </row>
    <row r="763">
      <c r="A763" s="3" t="n">
        <v>762</v>
      </c>
      <c r="B763" s="3" t="n">
        <v>36</v>
      </c>
      <c r="C763" s="3" t="inlineStr">
        <is>
          <t>12</t>
        </is>
      </c>
      <c r="D763" s="4" t="inlineStr">
        <is>
          <t>KBB-027 Ø27</t>
        </is>
      </c>
      <c r="E763" s="3" t="inlineStr">
        <is>
          <t>Cái</t>
        </is>
      </c>
      <c r="F763" s="5" t="n">
        <v>27000</v>
      </c>
      <c r="G763" s="5" t="n">
        <v>34000</v>
      </c>
      <c r="H763" s="6" t="n">
        <v>45000</v>
      </c>
      <c r="I763" s="4" t="inlineStr">
        <is>
          <t>Cái 6c/H 36c/H</t>
        </is>
      </c>
    </row>
    <row r="764">
      <c r="A764" s="3" t="n">
        <v>763</v>
      </c>
      <c r="B764" s="3" t="n">
        <v>36</v>
      </c>
      <c r="C764" s="3" t="inlineStr">
        <is>
          <t>13</t>
        </is>
      </c>
      <c r="D764" s="4" t="inlineStr">
        <is>
          <t>KBB-030 Ø30</t>
        </is>
      </c>
      <c r="E764" s="3" t="inlineStr">
        <is>
          <t>Cái</t>
        </is>
      </c>
      <c r="F764" s="5" t="n">
        <v>30000</v>
      </c>
      <c r="G764" s="5" t="n">
        <v>38000</v>
      </c>
      <c r="H764" s="6" t="n">
        <v>50000</v>
      </c>
      <c r="I764" s="4" t="inlineStr">
        <is>
          <t>Cái 2c/H 30c/H</t>
        </is>
      </c>
    </row>
    <row r="765">
      <c r="A765" s="3" t="n">
        <v>764</v>
      </c>
      <c r="B765" s="3" t="n">
        <v>36</v>
      </c>
      <c r="C765" s="3" t="inlineStr">
        <is>
          <t>14</t>
        </is>
      </c>
      <c r="D765" s="4" t="inlineStr">
        <is>
          <t>KBB-032 Ø32</t>
        </is>
      </c>
      <c r="E765" s="3" t="inlineStr">
        <is>
          <t>Cái</t>
        </is>
      </c>
      <c r="F765" s="5" t="n">
        <v>34000</v>
      </c>
      <c r="G765" s="5" t="n">
        <v>42000</v>
      </c>
      <c r="H765" s="6" t="n">
        <v>54000</v>
      </c>
      <c r="I765" s="4" t="inlineStr">
        <is>
          <t>Cái 2c/H 30c/H</t>
        </is>
      </c>
    </row>
    <row r="766">
      <c r="A766" s="3" t="n">
        <v>765</v>
      </c>
      <c r="B766" s="3" t="n">
        <v>36</v>
      </c>
      <c r="C766" s="3" t="inlineStr">
        <is>
          <t>15</t>
        </is>
      </c>
      <c r="D766" s="4" t="inlineStr">
        <is>
          <t>KBB-034 Ø34</t>
        </is>
      </c>
      <c r="E766" s="3" t="inlineStr">
        <is>
          <t>Cái</t>
        </is>
      </c>
      <c r="F766" s="5" t="n">
        <v>35000</v>
      </c>
      <c r="G766" s="5" t="n">
        <v>44000</v>
      </c>
      <c r="H766" s="6" t="n">
        <v>58000</v>
      </c>
      <c r="I766" s="4" t="inlineStr">
        <is>
          <t>Cái 2c/H 30c/H</t>
        </is>
      </c>
    </row>
    <row r="767">
      <c r="A767" s="3" t="n">
        <v>766</v>
      </c>
      <c r="B767" s="3" t="n">
        <v>36</v>
      </c>
      <c r="C767" s="3" t="inlineStr">
        <is>
          <t>16</t>
        </is>
      </c>
      <c r="D767" s="4" t="inlineStr">
        <is>
          <t>KBB-035 Ø35</t>
        </is>
      </c>
      <c r="E767" s="3" t="inlineStr">
        <is>
          <t>Cái</t>
        </is>
      </c>
      <c r="F767" s="5" t="n">
        <v>36000</v>
      </c>
      <c r="G767" s="5" t="n">
        <v>45000</v>
      </c>
      <c r="H767" s="6" t="n">
        <v>58000</v>
      </c>
      <c r="I767" s="4" t="inlineStr">
        <is>
          <t>Cái 2c/H 30c/H</t>
        </is>
      </c>
    </row>
    <row r="768">
      <c r="A768" s="3" t="n">
        <v>767</v>
      </c>
      <c r="B768" s="3" t="n">
        <v>36</v>
      </c>
      <c r="C768" s="3" t="inlineStr">
        <is>
          <t>17</t>
        </is>
      </c>
      <c r="D768" s="4" t="inlineStr">
        <is>
          <t>KBB-040 Ø40</t>
        </is>
      </c>
      <c r="E768" s="3" t="inlineStr">
        <is>
          <t>Cái</t>
        </is>
      </c>
      <c r="F768" s="5" t="n">
        <v>41000</v>
      </c>
      <c r="G768" s="5" t="n">
        <v>51000</v>
      </c>
      <c r="H768" s="6" t="n">
        <v>66000</v>
      </c>
      <c r="I768" s="4" t="inlineStr">
        <is>
          <t>Cái 2c/H 24c/H</t>
        </is>
      </c>
    </row>
    <row r="769">
      <c r="A769" s="3" t="n">
        <v>768</v>
      </c>
      <c r="B769" s="3" t="n">
        <v>36</v>
      </c>
      <c r="C769" s="3" t="inlineStr">
        <is>
          <t>18</t>
        </is>
      </c>
      <c r="D769" s="4" t="inlineStr">
        <is>
          <t>KBB-042 Ø42</t>
        </is>
      </c>
      <c r="E769" s="3" t="inlineStr">
        <is>
          <t>Cái</t>
        </is>
      </c>
      <c r="F769" s="5" t="n">
        <v>43000</v>
      </c>
      <c r="G769" s="5" t="n">
        <v>54000</v>
      </c>
      <c r="H769" s="6" t="n">
        <v>71000</v>
      </c>
      <c r="I769" s="4" t="inlineStr">
        <is>
          <t>Cái 2c/H 24c/H</t>
        </is>
      </c>
    </row>
    <row r="770">
      <c r="A770" s="3" t="n">
        <v>769</v>
      </c>
      <c r="B770" s="3" t="n">
        <v>36</v>
      </c>
      <c r="C770" s="3" t="inlineStr">
        <is>
          <t>19</t>
        </is>
      </c>
      <c r="D770" s="4" t="inlineStr">
        <is>
          <t>KBB-045 Ø45</t>
        </is>
      </c>
      <c r="E770" s="3" t="inlineStr">
        <is>
          <t>Cái</t>
        </is>
      </c>
      <c r="F770" s="5" t="n">
        <v>46000</v>
      </c>
      <c r="G770" s="5" t="n">
        <v>58000</v>
      </c>
      <c r="H770" s="6" t="n">
        <v>76000</v>
      </c>
      <c r="I770" s="4" t="inlineStr">
        <is>
          <t>Cái 2c/H 12c/H</t>
        </is>
      </c>
    </row>
    <row r="771">
      <c r="A771" s="3" t="n">
        <v>770</v>
      </c>
      <c r="B771" s="3" t="n">
        <v>36</v>
      </c>
      <c r="C771" s="3" t="inlineStr">
        <is>
          <t>20</t>
        </is>
      </c>
      <c r="D771" s="4" t="inlineStr">
        <is>
          <t>KBB-048 Ø48</t>
        </is>
      </c>
      <c r="E771" s="3" t="inlineStr">
        <is>
          <t>Cái</t>
        </is>
      </c>
      <c r="F771" s="5" t="n">
        <v>48000</v>
      </c>
      <c r="G771" s="5" t="n">
        <v>61000</v>
      </c>
      <c r="H771" s="6" t="n">
        <v>80000</v>
      </c>
      <c r="I771" s="4" t="inlineStr">
        <is>
          <t>Cái 2c/H 12c/H</t>
        </is>
      </c>
    </row>
    <row r="772">
      <c r="A772" s="3" t="n">
        <v>771</v>
      </c>
      <c r="B772" s="3" t="n">
        <v>36</v>
      </c>
      <c r="C772" s="3" t="inlineStr">
        <is>
          <t>21</t>
        </is>
      </c>
      <c r="D772" s="4" t="inlineStr">
        <is>
          <t>KBB-049 Ø49</t>
        </is>
      </c>
      <c r="E772" s="3" t="inlineStr">
        <is>
          <t>Cái</t>
        </is>
      </c>
      <c r="F772" s="5" t="n">
        <v>49000</v>
      </c>
      <c r="G772" s="5" t="n">
        <v>62000</v>
      </c>
      <c r="H772" s="6" t="n">
        <v>81000</v>
      </c>
      <c r="I772" s="4" t="inlineStr">
        <is>
          <t>Cái 2c/H 12c/H</t>
        </is>
      </c>
    </row>
    <row r="773">
      <c r="A773" s="3" t="n">
        <v>772</v>
      </c>
      <c r="B773" s="3" t="n">
        <v>36</v>
      </c>
      <c r="C773" s="3" t="inlineStr">
        <is>
          <t>22</t>
        </is>
      </c>
      <c r="D773" s="4" t="inlineStr">
        <is>
          <t>KBB-050 Ø50</t>
        </is>
      </c>
      <c r="E773" s="3" t="inlineStr">
        <is>
          <t>Cái</t>
        </is>
      </c>
      <c r="F773" s="5" t="n">
        <v>50000</v>
      </c>
      <c r="G773" s="5" t="n">
        <v>63000</v>
      </c>
      <c r="H773" s="6" t="n">
        <v>83000</v>
      </c>
      <c r="I773" s="4" t="inlineStr">
        <is>
          <t>Cái 2c/H 12c/H</t>
        </is>
      </c>
    </row>
    <row r="774">
      <c r="A774" s="3" t="n">
        <v>773</v>
      </c>
      <c r="B774" s="3" t="n">
        <v>36</v>
      </c>
      <c r="C774" s="3" t="inlineStr">
        <is>
          <t>23</t>
        </is>
      </c>
      <c r="D774" s="4" t="inlineStr">
        <is>
          <t>KBB-055 Ø55</t>
        </is>
      </c>
      <c r="E774" s="3" t="inlineStr">
        <is>
          <t>Cái</t>
        </is>
      </c>
      <c r="F774" s="5" t="n">
        <v>57000</v>
      </c>
      <c r="G774" s="5" t="n">
        <v>71000</v>
      </c>
      <c r="H774" s="6" t="n">
        <v>91000</v>
      </c>
      <c r="I774" s="4" t="inlineStr">
        <is>
          <t>Cái 2c/H 12c/H</t>
        </is>
      </c>
    </row>
    <row r="775">
      <c r="A775" s="3" t="n">
        <v>774</v>
      </c>
      <c r="B775" s="3" t="n">
        <v>36</v>
      </c>
      <c r="C775" s="3" t="inlineStr">
        <is>
          <t>24</t>
        </is>
      </c>
      <c r="D775" s="4" t="inlineStr">
        <is>
          <t>KBB-060 Ø60</t>
        </is>
      </c>
      <c r="E775" s="3" t="inlineStr">
        <is>
          <t>Cái</t>
        </is>
      </c>
      <c r="F775" s="5" t="n">
        <v>61000</v>
      </c>
      <c r="G775" s="5" t="n">
        <v>76000</v>
      </c>
      <c r="H775" s="6" t="n">
        <v>98000</v>
      </c>
      <c r="I775" s="4" t="inlineStr">
        <is>
          <t>Cái 2c/H 12c/H</t>
        </is>
      </c>
    </row>
    <row r="776">
      <c r="A776" s="3" t="n">
        <v>775</v>
      </c>
      <c r="B776" s="3" t="n">
        <v>36</v>
      </c>
      <c r="C776" s="3" t="inlineStr">
        <is>
          <t>25</t>
        </is>
      </c>
      <c r="D776" s="4" t="inlineStr">
        <is>
          <t>KBB-065 Ø65</t>
        </is>
      </c>
      <c r="E776" s="3" t="inlineStr">
        <is>
          <t>Cái</t>
        </is>
      </c>
      <c r="F776" s="5" t="n">
        <v>66000</v>
      </c>
      <c r="G776" s="5" t="n">
        <v>83000</v>
      </c>
      <c r="H776" s="6" t="n">
        <v>109000</v>
      </c>
      <c r="I776" s="4" t="inlineStr">
        <is>
          <t>Cái 2c/H 12c/H</t>
        </is>
      </c>
    </row>
    <row r="777">
      <c r="A777" s="3" t="n">
        <v>776</v>
      </c>
      <c r="B777" s="3" t="n">
        <v>36</v>
      </c>
      <c r="C777" s="3" t="inlineStr">
        <is>
          <t>26</t>
        </is>
      </c>
      <c r="D777" s="4" t="inlineStr">
        <is>
          <t>KBB-070 Ø70</t>
        </is>
      </c>
      <c r="E777" s="3" t="inlineStr">
        <is>
          <t>Cái</t>
        </is>
      </c>
      <c r="F777" s="5" t="n">
        <v>89000</v>
      </c>
      <c r="G777" s="5" t="n">
        <v>112000</v>
      </c>
      <c r="H777" s="6" t="n">
        <v>147000</v>
      </c>
      <c r="I777" s="4" t="inlineStr">
        <is>
          <t>Cái 2c/H 6c/H</t>
        </is>
      </c>
    </row>
    <row r="778">
      <c r="A778" s="3" t="n">
        <v>777</v>
      </c>
      <c r="B778" s="3" t="n">
        <v>36</v>
      </c>
      <c r="C778" s="3" t="inlineStr">
        <is>
          <t>27</t>
        </is>
      </c>
      <c r="D778" s="4" t="inlineStr">
        <is>
          <t>KBB-075 Ø75</t>
        </is>
      </c>
      <c r="E778" s="3" t="inlineStr">
        <is>
          <t>Cái</t>
        </is>
      </c>
      <c r="F778" s="5" t="n">
        <v>96000</v>
      </c>
      <c r="G778" s="5" t="n">
        <v>119000</v>
      </c>
      <c r="H778" s="6" t="n">
        <v>154000</v>
      </c>
      <c r="I778" s="4" t="inlineStr">
        <is>
          <t>Cái 2c/H 4c/H</t>
        </is>
      </c>
    </row>
    <row r="779">
      <c r="A779" s="3" t="n">
        <v>778</v>
      </c>
      <c r="B779" s="3" t="n">
        <v>36</v>
      </c>
      <c r="C779" s="3" t="inlineStr">
        <is>
          <t>28</t>
        </is>
      </c>
      <c r="D779" s="4" t="inlineStr">
        <is>
          <t>KBB-080 Ø80</t>
        </is>
      </c>
      <c r="E779" s="3" t="inlineStr">
        <is>
          <t>Cái</t>
        </is>
      </c>
      <c r="F779" s="5" t="n">
        <v>102000</v>
      </c>
      <c r="G779" s="5" t="n">
        <v>127000</v>
      </c>
      <c r="H779" s="6" t="n">
        <v>165000</v>
      </c>
      <c r="I779" s="4" t="inlineStr">
        <is>
          <t>Cái 2c/H 4c/H</t>
        </is>
      </c>
    </row>
    <row r="780">
      <c r="A780" s="3" t="n">
        <v>779</v>
      </c>
      <c r="B780" s="3" t="n">
        <v>36</v>
      </c>
      <c r="C780" s="3" t="inlineStr">
        <is>
          <t>29</t>
        </is>
      </c>
      <c r="D780" s="4" t="inlineStr">
        <is>
          <t>KBB-090 Ø90</t>
        </is>
      </c>
      <c r="E780" s="3" t="inlineStr">
        <is>
          <t>Cái</t>
        </is>
      </c>
      <c r="F780" s="5" t="n">
        <v>114000</v>
      </c>
      <c r="G780" s="5" t="n">
        <v>144000</v>
      </c>
      <c r="H780" s="6" t="n">
        <v>188000</v>
      </c>
      <c r="I780" s="4" t="inlineStr">
        <is>
          <t>Cái 2c/H 4c/H</t>
        </is>
      </c>
    </row>
    <row r="781">
      <c r="A781" s="3" t="n">
        <v>780</v>
      </c>
      <c r="B781" s="3" t="n">
        <v>36</v>
      </c>
      <c r="C781" s="3" t="inlineStr">
        <is>
          <t>30</t>
        </is>
      </c>
      <c r="D781" s="4" t="inlineStr">
        <is>
          <t>KBB-095 Ø95</t>
        </is>
      </c>
      <c r="E781" s="3" t="inlineStr">
        <is>
          <t>Cái</t>
        </is>
      </c>
      <c r="F781" s="5" t="n">
        <v>122000</v>
      </c>
      <c r="G781" s="5" t="n">
        <v>152000</v>
      </c>
      <c r="H781" s="6" t="n">
        <v>197000</v>
      </c>
      <c r="I781" s="4" t="inlineStr">
        <is>
          <t>Cái 2c/H 4c/H</t>
        </is>
      </c>
    </row>
    <row r="782">
      <c r="A782" s="3" t="n">
        <v>781</v>
      </c>
      <c r="B782" s="3" t="n">
        <v>37</v>
      </c>
      <c r="C782" s="3" t="inlineStr">
        <is>
          <t>1</t>
        </is>
      </c>
      <c r="D782" s="4" t="inlineStr">
        <is>
          <t>KKB-006 Ø6</t>
        </is>
      </c>
      <c r="E782" s="3" t="inlineStr">
        <is>
          <t>Cái</t>
        </is>
      </c>
      <c r="F782" s="5" t="n">
        <v>9000</v>
      </c>
      <c r="G782" s="5" t="n">
        <v>11000</v>
      </c>
      <c r="H782" s="6" t="n">
        <v>15000</v>
      </c>
      <c r="I782" s="4" t="inlineStr">
        <is>
          <t>Cái 10c/H 280c/H</t>
        </is>
      </c>
    </row>
    <row r="783">
      <c r="A783" s="3" t="n">
        <v>782</v>
      </c>
      <c r="B783" s="3" t="n">
        <v>37</v>
      </c>
      <c r="C783" s="3" t="inlineStr">
        <is>
          <t>2</t>
        </is>
      </c>
      <c r="D783" s="4" t="inlineStr">
        <is>
          <t>KKB-008 Ø8</t>
        </is>
      </c>
      <c r="E783" s="3" t="inlineStr">
        <is>
          <t>Cái</t>
        </is>
      </c>
      <c r="F783" s="5" t="n">
        <v>11000</v>
      </c>
      <c r="G783" s="5" t="n">
        <v>14000</v>
      </c>
      <c r="H783" s="6" t="n">
        <v>19000</v>
      </c>
      <c r="I783" s="4" t="inlineStr">
        <is>
          <t>Cái 10c/H 280c/H</t>
        </is>
      </c>
    </row>
    <row r="784">
      <c r="A784" s="3" t="n">
        <v>783</v>
      </c>
      <c r="B784" s="3" t="n">
        <v>37</v>
      </c>
      <c r="C784" s="3" t="inlineStr">
        <is>
          <t>3</t>
        </is>
      </c>
      <c r="D784" s="4" t="inlineStr">
        <is>
          <t>KKB-010 Ø10</t>
        </is>
      </c>
      <c r="E784" s="3" t="inlineStr">
        <is>
          <t>Cái</t>
        </is>
      </c>
      <c r="F784" s="5" t="n">
        <v>15000</v>
      </c>
      <c r="G784" s="5" t="n">
        <v>19000</v>
      </c>
      <c r="H784" s="6" t="n">
        <v>24000</v>
      </c>
      <c r="I784" s="4" t="inlineStr">
        <is>
          <t>Cái 10c/H 180c/H</t>
        </is>
      </c>
    </row>
    <row r="785">
      <c r="A785" s="3" t="n">
        <v>784</v>
      </c>
      <c r="B785" s="3" t="n">
        <v>37</v>
      </c>
      <c r="C785" s="3" t="inlineStr">
        <is>
          <t>4</t>
        </is>
      </c>
      <c r="D785" s="4" t="inlineStr">
        <is>
          <t>KKB-012 Ø12</t>
        </is>
      </c>
      <c r="E785" s="3" t="inlineStr">
        <is>
          <t>Cái</t>
        </is>
      </c>
      <c r="F785" s="5" t="n">
        <v>17000</v>
      </c>
      <c r="G785" s="5" t="n">
        <v>21000</v>
      </c>
      <c r="H785" s="6" t="n">
        <v>27000</v>
      </c>
      <c r="I785" s="4" t="inlineStr">
        <is>
          <t>Cái 10c/H 150c/H</t>
        </is>
      </c>
    </row>
    <row r="786">
      <c r="A786" s="3" t="n">
        <v>785</v>
      </c>
      <c r="B786" s="3" t="n">
        <v>37</v>
      </c>
      <c r="C786" s="3" t="inlineStr">
        <is>
          <t>5</t>
        </is>
      </c>
      <c r="D786" s="4" t="inlineStr">
        <is>
          <t>KKB-014 Ø14</t>
        </is>
      </c>
      <c r="E786" s="3" t="inlineStr">
        <is>
          <t>Cái</t>
        </is>
      </c>
      <c r="F786" s="5" t="n">
        <v>20000</v>
      </c>
      <c r="G786" s="5" t="n">
        <v>25000</v>
      </c>
      <c r="H786" s="6" t="n">
        <v>33000</v>
      </c>
      <c r="I786" s="4" t="inlineStr">
        <is>
          <t>Cái 5c/H 90c/H</t>
        </is>
      </c>
    </row>
    <row r="787">
      <c r="A787" s="3" t="n">
        <v>786</v>
      </c>
      <c r="B787" s="3" t="n">
        <v>37</v>
      </c>
      <c r="C787" s="3" t="inlineStr">
        <is>
          <t>6</t>
        </is>
      </c>
      <c r="D787" s="4" t="inlineStr">
        <is>
          <t>KKB-016 Ø16</t>
        </is>
      </c>
      <c r="E787" s="3" t="inlineStr">
        <is>
          <t>Cái</t>
        </is>
      </c>
      <c r="F787" s="5" t="n">
        <v>22000</v>
      </c>
      <c r="G787" s="5" t="n">
        <v>28000</v>
      </c>
      <c r="H787" s="6" t="n">
        <v>37000</v>
      </c>
      <c r="I787" s="4" t="inlineStr">
        <is>
          <t>Cái 5c/H 75c/H</t>
        </is>
      </c>
    </row>
    <row r="788">
      <c r="A788" s="3" t="n">
        <v>787</v>
      </c>
      <c r="B788" s="3" t="n">
        <v>37</v>
      </c>
      <c r="C788" s="3" t="inlineStr">
        <is>
          <t>7</t>
        </is>
      </c>
      <c r="D788" s="4" t="inlineStr">
        <is>
          <t>KKB-017 Ø18</t>
        </is>
      </c>
      <c r="E788" s="3" t="inlineStr">
        <is>
          <t>Cái</t>
        </is>
      </c>
      <c r="F788" s="5" t="n">
        <v>23000</v>
      </c>
      <c r="G788" s="5" t="n">
        <v>29000</v>
      </c>
      <c r="H788" s="6" t="n">
        <v>39000</v>
      </c>
      <c r="I788" s="4" t="inlineStr">
        <is>
          <t>Cái 5c/H 75c/H</t>
        </is>
      </c>
    </row>
    <row r="789">
      <c r="A789" s="3" t="n">
        <v>788</v>
      </c>
      <c r="B789" s="3" t="n">
        <v>37</v>
      </c>
      <c r="C789" s="3" t="inlineStr">
        <is>
          <t>8</t>
        </is>
      </c>
      <c r="D789" s="4" t="inlineStr">
        <is>
          <t>KKB-018 Ø18</t>
        </is>
      </c>
      <c r="E789" s="3" t="inlineStr">
        <is>
          <t>Cái</t>
        </is>
      </c>
      <c r="F789" s="5" t="n">
        <v>25000</v>
      </c>
      <c r="G789" s="5" t="n">
        <v>32000</v>
      </c>
      <c r="H789" s="6" t="n">
        <v>42000</v>
      </c>
      <c r="I789" s="4" t="inlineStr">
        <is>
          <t>Cái 5c/H 75c/H</t>
        </is>
      </c>
    </row>
    <row r="790">
      <c r="A790" s="3" t="n">
        <v>789</v>
      </c>
      <c r="B790" s="3" t="n">
        <v>37</v>
      </c>
      <c r="C790" s="3" t="inlineStr">
        <is>
          <t>9</t>
        </is>
      </c>
      <c r="D790" s="4" t="inlineStr">
        <is>
          <t>KKB-020 Ø20</t>
        </is>
      </c>
      <c r="E790" s="3" t="inlineStr">
        <is>
          <t>Cái</t>
        </is>
      </c>
      <c r="F790" s="5" t="n">
        <v>27000</v>
      </c>
      <c r="G790" s="5" t="n">
        <v>35000</v>
      </c>
      <c r="H790" s="6" t="n">
        <v>46000</v>
      </c>
      <c r="I790" s="4" t="inlineStr">
        <is>
          <t>Cái 1c/H 28c/H</t>
        </is>
      </c>
    </row>
    <row r="791">
      <c r="A791" s="3" t="n">
        <v>790</v>
      </c>
      <c r="B791" s="3" t="n">
        <v>37</v>
      </c>
      <c r="C791" s="3" t="inlineStr">
        <is>
          <t>10</t>
        </is>
      </c>
      <c r="D791" s="4" t="inlineStr">
        <is>
          <t>KKB-021 Ø21</t>
        </is>
      </c>
      <c r="E791" s="3" t="inlineStr">
        <is>
          <t>Cái</t>
        </is>
      </c>
      <c r="F791" s="5" t="n">
        <v>28000</v>
      </c>
      <c r="G791" s="5" t="n">
        <v>35000</v>
      </c>
      <c r="H791" s="6" t="n">
        <v>46000</v>
      </c>
      <c r="I791" s="4" t="inlineStr">
        <is>
          <t>Cái 1c/H 28c/H</t>
        </is>
      </c>
    </row>
    <row r="792">
      <c r="A792" s="3" t="n">
        <v>791</v>
      </c>
      <c r="B792" s="3" t="n">
        <v>37</v>
      </c>
      <c r="C792" s="3" t="inlineStr">
        <is>
          <t>11</t>
        </is>
      </c>
      <c r="D792" s="4" t="inlineStr">
        <is>
          <t>KKB-022 Ø22</t>
        </is>
      </c>
      <c r="E792" s="3" t="inlineStr">
        <is>
          <t>Cái</t>
        </is>
      </c>
      <c r="F792" s="5" t="n">
        <v>30000</v>
      </c>
      <c r="G792" s="5" t="n">
        <v>38000</v>
      </c>
      <c r="H792" s="6" t="n">
        <v>50000</v>
      </c>
      <c r="I792" s="4" t="inlineStr">
        <is>
          <t>Cái 1c/H 28c/H</t>
        </is>
      </c>
    </row>
    <row r="793">
      <c r="A793" s="3" t="n">
        <v>792</v>
      </c>
      <c r="B793" s="3" t="n">
        <v>37</v>
      </c>
      <c r="C793" s="3" t="inlineStr">
        <is>
          <t>12</t>
        </is>
      </c>
      <c r="D793" s="4" t="inlineStr">
        <is>
          <t>KKB-024 Ø24</t>
        </is>
      </c>
      <c r="E793" s="3" t="inlineStr">
        <is>
          <t>Cái</t>
        </is>
      </c>
      <c r="F793" s="5" t="n">
        <v>34000</v>
      </c>
      <c r="G793" s="5" t="n">
        <v>42000</v>
      </c>
      <c r="H793" s="6" t="n">
        <v>54000</v>
      </c>
      <c r="I793" s="4" t="inlineStr">
        <is>
          <t>Cái 1c/H 28c/H</t>
        </is>
      </c>
    </row>
    <row r="794">
      <c r="A794" s="3" t="n">
        <v>793</v>
      </c>
      <c r="B794" s="3" t="n">
        <v>37</v>
      </c>
      <c r="C794" s="3" t="inlineStr">
        <is>
          <t>13</t>
        </is>
      </c>
      <c r="D794" s="4" t="inlineStr">
        <is>
          <t>KKB-025 Ø25</t>
        </is>
      </c>
      <c r="E794" s="3" t="inlineStr">
        <is>
          <t>Cái</t>
        </is>
      </c>
      <c r="F794" s="5" t="n">
        <v>35000</v>
      </c>
      <c r="G794" s="5" t="n">
        <v>44000</v>
      </c>
      <c r="H794" s="6" t="n">
        <v>58000</v>
      </c>
      <c r="I794" s="4" t="inlineStr">
        <is>
          <t>Cái 1c/H 28c/H</t>
        </is>
      </c>
    </row>
    <row r="795">
      <c r="A795" s="3" t="n">
        <v>794</v>
      </c>
      <c r="B795" s="3" t="n">
        <v>37</v>
      </c>
      <c r="C795" s="3" t="inlineStr">
        <is>
          <t>14</t>
        </is>
      </c>
      <c r="D795" s="4" t="inlineStr">
        <is>
          <t>KKB-026 Ø26</t>
        </is>
      </c>
      <c r="E795" s="3" t="inlineStr">
        <is>
          <t>Cái</t>
        </is>
      </c>
      <c r="F795" s="5" t="n">
        <v>37000</v>
      </c>
      <c r="G795" s="5" t="n">
        <v>46000</v>
      </c>
      <c r="H795" s="6" t="n">
        <v>60000</v>
      </c>
      <c r="I795" s="4" t="inlineStr">
        <is>
          <t>Cái 1c/H 28c/H</t>
        </is>
      </c>
    </row>
    <row r="796">
      <c r="A796" s="3" t="n">
        <v>795</v>
      </c>
      <c r="B796" s="3" t="n">
        <v>37</v>
      </c>
      <c r="C796" s="3" t="inlineStr">
        <is>
          <t>15</t>
        </is>
      </c>
      <c r="D796" s="4" t="inlineStr">
        <is>
          <t>KKB-027 Ø27</t>
        </is>
      </c>
      <c r="E796" s="3" t="inlineStr">
        <is>
          <t>Cái</t>
        </is>
      </c>
      <c r="F796" s="5" t="n">
        <v>38000</v>
      </c>
      <c r="G796" s="5" t="n">
        <v>47000</v>
      </c>
      <c r="H796" s="6" t="n">
        <v>61000</v>
      </c>
      <c r="I796" s="4" t="inlineStr">
        <is>
          <t>Cái 1c/H 28c/H</t>
        </is>
      </c>
    </row>
    <row r="797">
      <c r="A797" s="3" t="n">
        <v>796</v>
      </c>
      <c r="B797" s="3" t="n">
        <v>37</v>
      </c>
      <c r="C797" s="3" t="inlineStr">
        <is>
          <t>16</t>
        </is>
      </c>
      <c r="D797" s="4" t="inlineStr">
        <is>
          <t>KKB-028 Ø28</t>
        </is>
      </c>
      <c r="E797" s="3" t="inlineStr">
        <is>
          <t>Cái</t>
        </is>
      </c>
      <c r="F797" s="5" t="n">
        <v>39000</v>
      </c>
      <c r="G797" s="5" t="n">
        <v>48000</v>
      </c>
      <c r="H797" s="6" t="n">
        <v>62000</v>
      </c>
      <c r="I797" s="4" t="inlineStr">
        <is>
          <t>Cái 1c/H 28c/H</t>
        </is>
      </c>
    </row>
    <row r="798">
      <c r="A798" s="3" t="n">
        <v>797</v>
      </c>
      <c r="B798" s="3" t="n">
        <v>37</v>
      </c>
      <c r="C798" s="3" t="inlineStr">
        <is>
          <t>17</t>
        </is>
      </c>
      <c r="D798" s="4" t="inlineStr">
        <is>
          <t>KKB-030 Ø30</t>
        </is>
      </c>
      <c r="E798" s="3" t="inlineStr">
        <is>
          <t>Cái</t>
        </is>
      </c>
      <c r="F798" s="5" t="n">
        <v>42000</v>
      </c>
      <c r="G798" s="5" t="n">
        <v>52000</v>
      </c>
      <c r="H798" s="6" t="n">
        <v>68000</v>
      </c>
      <c r="I798" s="4" t="inlineStr">
        <is>
          <t>Cái 1c/H 18c/H</t>
        </is>
      </c>
    </row>
    <row r="799">
      <c r="A799" s="3" t="n">
        <v>798</v>
      </c>
      <c r="B799" s="3" t="n">
        <v>37</v>
      </c>
      <c r="C799" s="3" t="inlineStr">
        <is>
          <t>18</t>
        </is>
      </c>
      <c r="D799" s="4" t="inlineStr">
        <is>
          <t>KKB-032 Ø32</t>
        </is>
      </c>
      <c r="E799" s="3" t="inlineStr">
        <is>
          <t>Cái</t>
        </is>
      </c>
      <c r="F799" s="5" t="n">
        <v>44000</v>
      </c>
      <c r="G799" s="5" t="n">
        <v>56000</v>
      </c>
      <c r="H799" s="6" t="n">
        <v>73000</v>
      </c>
      <c r="I799" s="4" t="inlineStr">
        <is>
          <t>Cái 1c/H 15c/H</t>
        </is>
      </c>
    </row>
    <row r="800">
      <c r="A800" s="3" t="n">
        <v>799</v>
      </c>
      <c r="B800" s="3" t="n">
        <v>37</v>
      </c>
      <c r="C800" s="3" t="inlineStr">
        <is>
          <t>19</t>
        </is>
      </c>
      <c r="D800" s="4" t="inlineStr">
        <is>
          <t>KKB-034 Ø34</t>
        </is>
      </c>
      <c r="E800" s="3" t="inlineStr">
        <is>
          <t>Cái</t>
        </is>
      </c>
      <c r="F800" s="5" t="n">
        <v>47000</v>
      </c>
      <c r="G800" s="5" t="n">
        <v>59000</v>
      </c>
      <c r="H800" s="6" t="n">
        <v>78000</v>
      </c>
      <c r="I800" s="4" t="inlineStr">
        <is>
          <t>Cái 1c/H 15c/H</t>
        </is>
      </c>
    </row>
    <row r="801">
      <c r="A801" s="3" t="n">
        <v>800</v>
      </c>
      <c r="B801" s="3" t="n">
        <v>37</v>
      </c>
      <c r="C801" s="3" t="inlineStr">
        <is>
          <t>20</t>
        </is>
      </c>
      <c r="D801" s="4" t="inlineStr">
        <is>
          <t>KKB-035 Ø35</t>
        </is>
      </c>
      <c r="E801" s="3" t="inlineStr">
        <is>
          <t>Cái</t>
        </is>
      </c>
      <c r="F801" s="5" t="n">
        <v>48000</v>
      </c>
      <c r="G801" s="5" t="n">
        <v>61000</v>
      </c>
      <c r="H801" s="6" t="n">
        <v>80000</v>
      </c>
      <c r="I801" s="4" t="inlineStr">
        <is>
          <t>Cái 1c/H 15c/H</t>
        </is>
      </c>
    </row>
    <row r="802">
      <c r="A802" s="3" t="n">
        <v>801</v>
      </c>
      <c r="B802" s="3" t="n">
        <v>37</v>
      </c>
      <c r="C802" s="3" t="inlineStr">
        <is>
          <t>21</t>
        </is>
      </c>
      <c r="D802" s="4" t="inlineStr">
        <is>
          <t>KKB-040 Ø40</t>
        </is>
      </c>
      <c r="E802" s="3" t="inlineStr">
        <is>
          <t>Cái</t>
        </is>
      </c>
      <c r="F802" s="5" t="n">
        <v>56000</v>
      </c>
      <c r="G802" s="5" t="n">
        <v>70000</v>
      </c>
      <c r="H802" s="6" t="n">
        <v>90000</v>
      </c>
      <c r="I802" s="4" t="inlineStr">
        <is>
          <t>Cái 1c/H 12c/H</t>
        </is>
      </c>
    </row>
    <row r="803">
      <c r="A803" s="3" t="n">
        <v>802</v>
      </c>
      <c r="B803" s="3" t="n">
        <v>37</v>
      </c>
      <c r="C803" s="3" t="inlineStr">
        <is>
          <t>22</t>
        </is>
      </c>
      <c r="D803" s="4" t="inlineStr">
        <is>
          <t>KKB-042 Ø42</t>
        </is>
      </c>
      <c r="E803" s="3" t="inlineStr">
        <is>
          <t>Cái</t>
        </is>
      </c>
      <c r="F803" s="5" t="n">
        <v>59000</v>
      </c>
      <c r="G803" s="5" t="n">
        <v>73000</v>
      </c>
      <c r="H803" s="6" t="n">
        <v>94000</v>
      </c>
      <c r="I803" s="4" t="inlineStr">
        <is>
          <t>Cái 1c/H 12c/H</t>
        </is>
      </c>
    </row>
    <row r="804">
      <c r="A804" s="3" t="n">
        <v>803</v>
      </c>
      <c r="B804" s="3" t="n">
        <v>37</v>
      </c>
      <c r="C804" s="3" t="inlineStr">
        <is>
          <t>23</t>
        </is>
      </c>
      <c r="D804" s="4" t="inlineStr">
        <is>
          <t>KKB-045 Ø45</t>
        </is>
      </c>
      <c r="E804" s="3" t="inlineStr">
        <is>
          <t>Cái</t>
        </is>
      </c>
      <c r="F804" s="5" t="n">
        <v>62000</v>
      </c>
      <c r="G804" s="5" t="n">
        <v>78000</v>
      </c>
      <c r="H804" s="6" t="n">
        <v>102000</v>
      </c>
      <c r="I804" s="4" t="inlineStr">
        <is>
          <t>Cái 1c/H 6c/H</t>
        </is>
      </c>
    </row>
    <row r="805">
      <c r="A805" s="3" t="n">
        <v>804</v>
      </c>
      <c r="B805" s="3" t="n">
        <v>37</v>
      </c>
      <c r="C805" s="3" t="inlineStr">
        <is>
          <t>24</t>
        </is>
      </c>
      <c r="D805" s="4" t="inlineStr">
        <is>
          <t>KKB-049 Ø49</t>
        </is>
      </c>
      <c r="E805" s="3" t="inlineStr">
        <is>
          <t>Cái</t>
        </is>
      </c>
      <c r="F805" s="5" t="n">
        <v>67000</v>
      </c>
      <c r="G805" s="5" t="n">
        <v>85000</v>
      </c>
      <c r="H805" s="6" t="n">
        <v>111000</v>
      </c>
      <c r="I805" s="4" t="inlineStr">
        <is>
          <t>Cái 1c/H 6c/H</t>
        </is>
      </c>
    </row>
    <row r="806">
      <c r="A806" s="3" t="n">
        <v>805</v>
      </c>
      <c r="B806" s="3" t="n">
        <v>37</v>
      </c>
      <c r="C806" s="3" t="inlineStr">
        <is>
          <t>25</t>
        </is>
      </c>
      <c r="D806" s="4" t="inlineStr">
        <is>
          <t>KKB-050 Ø50</t>
        </is>
      </c>
      <c r="E806" s="3" t="inlineStr">
        <is>
          <t>Cái</t>
        </is>
      </c>
      <c r="F806" s="5" t="n">
        <v>69000</v>
      </c>
      <c r="G806" s="5" t="n">
        <v>87000</v>
      </c>
      <c r="H806" s="6" t="n">
        <v>114000</v>
      </c>
      <c r="I806" s="4" t="inlineStr">
        <is>
          <t>Cái 1c/H 6c/H</t>
        </is>
      </c>
    </row>
    <row r="807">
      <c r="A807" s="3" t="n">
        <v>806</v>
      </c>
      <c r="B807" s="3" t="n">
        <v>37</v>
      </c>
      <c r="C807" s="3" t="inlineStr">
        <is>
          <t>26</t>
        </is>
      </c>
      <c r="D807" s="4" t="inlineStr">
        <is>
          <t>KKB-055 Ø55</t>
        </is>
      </c>
      <c r="E807" s="3" t="inlineStr">
        <is>
          <t>Cái</t>
        </is>
      </c>
      <c r="F807" s="5" t="n">
        <v>76000</v>
      </c>
      <c r="G807" s="5" t="n">
        <v>96000</v>
      </c>
      <c r="H807" s="6" t="n">
        <v>125000</v>
      </c>
      <c r="I807" s="4" t="inlineStr">
        <is>
          <t>Cái 1c/H 6c/H</t>
        </is>
      </c>
    </row>
    <row r="808">
      <c r="A808" s="3" t="n">
        <v>807</v>
      </c>
      <c r="B808" s="3" t="n">
        <v>37</v>
      </c>
      <c r="C808" s="3" t="inlineStr">
        <is>
          <t>27</t>
        </is>
      </c>
      <c r="D808" s="4" t="inlineStr">
        <is>
          <t>KKB-060 Ø60</t>
        </is>
      </c>
      <c r="E808" s="3" t="inlineStr">
        <is>
          <t>Cái</t>
        </is>
      </c>
      <c r="F808" s="5" t="n">
        <v>83000</v>
      </c>
      <c r="G808" s="5" t="n">
        <v>105000</v>
      </c>
      <c r="H808" s="6" t="n">
        <v>137000</v>
      </c>
      <c r="I808" s="4" t="inlineStr">
        <is>
          <t>Cái 1c/H 6c/H</t>
        </is>
      </c>
    </row>
    <row r="809">
      <c r="A809" s="3" t="n">
        <v>808</v>
      </c>
      <c r="B809" s="3" t="n">
        <v>37</v>
      </c>
      <c r="C809" s="3" t="inlineStr">
        <is>
          <t>28</t>
        </is>
      </c>
      <c r="D809" s="4" t="inlineStr">
        <is>
          <t>KKB-065 Ø65</t>
        </is>
      </c>
      <c r="E809" s="3" t="inlineStr">
        <is>
          <t>Cái</t>
        </is>
      </c>
      <c r="F809" s="5" t="n">
        <v>90000</v>
      </c>
      <c r="G809" s="5" t="n">
        <v>114000</v>
      </c>
      <c r="H809" s="6" t="n">
        <v>149000</v>
      </c>
      <c r="I809" s="4" t="inlineStr">
        <is>
          <t>Cái 1c/H 6c/H</t>
        </is>
      </c>
    </row>
    <row r="810">
      <c r="A810" s="3" t="n">
        <v>809</v>
      </c>
      <c r="B810" s="3" t="n">
        <v>37</v>
      </c>
      <c r="C810" s="3" t="inlineStr">
        <is>
          <t>29</t>
        </is>
      </c>
      <c r="D810" s="4" t="inlineStr">
        <is>
          <t>KKB-070 Ø70</t>
        </is>
      </c>
      <c r="E810" s="3" t="inlineStr">
        <is>
          <t>Cái</t>
        </is>
      </c>
      <c r="F810" s="5" t="n">
        <v>120000</v>
      </c>
      <c r="G810" s="5" t="n">
        <v>151000</v>
      </c>
      <c r="H810" s="6" t="n">
        <v>198000</v>
      </c>
      <c r="I810" s="4" t="inlineStr">
        <is>
          <t>Cái 1c/H 3c/H</t>
        </is>
      </c>
    </row>
    <row r="811">
      <c r="A811" s="3" t="n">
        <v>810</v>
      </c>
      <c r="B811" s="3" t="n">
        <v>37</v>
      </c>
      <c r="C811" s="3" t="inlineStr">
        <is>
          <t>30</t>
        </is>
      </c>
      <c r="D811" s="4" t="inlineStr">
        <is>
          <t>KKB-075 Ø75</t>
        </is>
      </c>
      <c r="E811" s="3" t="inlineStr">
        <is>
          <t>Cái</t>
        </is>
      </c>
      <c r="F811" s="5" t="n">
        <v>129000</v>
      </c>
      <c r="G811" s="5" t="n">
        <v>163000</v>
      </c>
      <c r="H811" s="6" t="n">
        <v>213000</v>
      </c>
      <c r="I811" s="4" t="inlineStr">
        <is>
          <t>Cái 1c/H 2c/H</t>
        </is>
      </c>
    </row>
    <row r="812">
      <c r="A812" s="3" t="n">
        <v>811</v>
      </c>
      <c r="B812" s="3" t="n">
        <v>37</v>
      </c>
      <c r="C812" s="3" t="inlineStr">
        <is>
          <t>31</t>
        </is>
      </c>
      <c r="D812" s="4" t="inlineStr">
        <is>
          <t>KKB-080 Ø80</t>
        </is>
      </c>
      <c r="E812" s="3" t="inlineStr">
        <is>
          <t>Cái</t>
        </is>
      </c>
      <c r="F812" s="5" t="n">
        <v>138000</v>
      </c>
      <c r="G812" s="5" t="n">
        <v>174000</v>
      </c>
      <c r="H812" s="6" t="n">
        <v>228000</v>
      </c>
      <c r="I812" s="4" t="inlineStr">
        <is>
          <t>Cái 1c/H 3c/H</t>
        </is>
      </c>
    </row>
    <row r="813">
      <c r="A813" s="3" t="n">
        <v>812</v>
      </c>
      <c r="B813" s="3" t="n">
        <v>37</v>
      </c>
      <c r="C813" s="3" t="inlineStr">
        <is>
          <t>32</t>
        </is>
      </c>
      <c r="D813" s="4" t="inlineStr">
        <is>
          <t>KKB-090 Ø90</t>
        </is>
      </c>
      <c r="E813" s="3" t="inlineStr">
        <is>
          <t>Cái</t>
        </is>
      </c>
      <c r="F813" s="5" t="n">
        <v>155000</v>
      </c>
      <c r="G813" s="5" t="n">
        <v>195000</v>
      </c>
      <c r="H813" s="6" t="n">
        <v>256000</v>
      </c>
      <c r="I813" s="4" t="inlineStr">
        <is>
          <t>Cái 1c/H 2c/H</t>
        </is>
      </c>
    </row>
    <row r="814">
      <c r="A814" s="3" t="n">
        <v>813</v>
      </c>
      <c r="B814" s="3" t="n">
        <v>37</v>
      </c>
      <c r="C814" s="3" t="inlineStr">
        <is>
          <t>33</t>
        </is>
      </c>
      <c r="D814" s="4" t="inlineStr">
        <is>
          <t>KKB-100 Ø100</t>
        </is>
      </c>
      <c r="E814" s="3" t="inlineStr">
        <is>
          <t>Cái</t>
        </is>
      </c>
      <c r="F814" s="5" t="n">
        <v>267000</v>
      </c>
      <c r="G814" s="5" t="n">
        <v>334000</v>
      </c>
      <c r="H814" s="6" t="n">
        <v>435000</v>
      </c>
      <c r="I814" s="4" t="inlineStr">
        <is>
          <t>Cái 1c/H 2c/H</t>
        </is>
      </c>
    </row>
    <row r="815">
      <c r="A815" s="3" t="n">
        <v>814</v>
      </c>
      <c r="B815" s="3" t="n">
        <v>37</v>
      </c>
      <c r="C815" s="3" t="inlineStr">
        <is>
          <t>34</t>
        </is>
      </c>
      <c r="D815" s="4" t="inlineStr">
        <is>
          <t>KKB-110 Ø110</t>
        </is>
      </c>
      <c r="E815" s="3" t="inlineStr">
        <is>
          <t>Cái</t>
        </is>
      </c>
      <c r="F815" s="5" t="n">
        <v>293000</v>
      </c>
      <c r="G815" s="5" t="n">
        <v>369000</v>
      </c>
      <c r="H815" s="6" t="n">
        <v>484000</v>
      </c>
      <c r="I815" s="4" t="inlineStr">
        <is>
          <t>Cái 1c/H 4c/H</t>
        </is>
      </c>
    </row>
    <row r="816">
      <c r="A816" s="3" t="n">
        <v>815</v>
      </c>
      <c r="B816" s="3" t="n">
        <v>37</v>
      </c>
      <c r="C816" s="3" t="inlineStr">
        <is>
          <t>35</t>
        </is>
      </c>
      <c r="D816" s="4" t="inlineStr">
        <is>
          <t>KKB-115 Ø115</t>
        </is>
      </c>
      <c r="E816" s="3" t="inlineStr">
        <is>
          <t>Cái</t>
        </is>
      </c>
      <c r="F816" s="5" t="n">
        <v>307000</v>
      </c>
      <c r="G816" s="5" t="n">
        <v>381000</v>
      </c>
      <c r="H816" s="6" t="n">
        <v>491000</v>
      </c>
      <c r="I816" s="4" t="inlineStr">
        <is>
          <t>Cái 1c/H 4c/H</t>
        </is>
      </c>
    </row>
    <row r="817">
      <c r="A817" s="3" t="n">
        <v>816</v>
      </c>
      <c r="B817" s="3" t="n">
        <v>37</v>
      </c>
      <c r="C817" s="3" t="inlineStr">
        <is>
          <t>36</t>
        </is>
      </c>
      <c r="D817" s="4" t="inlineStr">
        <is>
          <t>KKB-120 Ø120</t>
        </is>
      </c>
      <c r="E817" s="3" t="inlineStr">
        <is>
          <t>Cái</t>
        </is>
      </c>
      <c r="F817" s="5" t="n">
        <v>320000</v>
      </c>
      <c r="G817" s="5" t="n">
        <v>403000</v>
      </c>
      <c r="H817" s="6" t="n">
        <v>528000</v>
      </c>
      <c r="I817" s="4" t="inlineStr">
        <is>
          <t>Cái 1c/H 3c/H</t>
        </is>
      </c>
    </row>
    <row r="818">
      <c r="A818" s="3" t="n">
        <v>817</v>
      </c>
      <c r="B818" s="3" t="n">
        <v>37</v>
      </c>
      <c r="C818" s="3" t="inlineStr">
        <is>
          <t>37</t>
        </is>
      </c>
      <c r="D818" s="4" t="inlineStr">
        <is>
          <t>KKB-130 Ø130</t>
        </is>
      </c>
      <c r="E818" s="3" t="inlineStr">
        <is>
          <t>Cái</t>
        </is>
      </c>
      <c r="F818" s="5" t="n">
        <v>348000</v>
      </c>
      <c r="G818" s="5" t="n">
        <v>438000</v>
      </c>
      <c r="H818" s="6" t="n">
        <v>574000</v>
      </c>
      <c r="I818" s="4" t="inlineStr">
        <is>
          <t>Cái 1c/H 3c/H</t>
        </is>
      </c>
    </row>
    <row r="819">
      <c r="A819" s="3" t="n">
        <v>818</v>
      </c>
      <c r="B819" s="3" t="n">
        <v>37</v>
      </c>
      <c r="C819" s="3" t="inlineStr">
        <is>
          <t>38</t>
        </is>
      </c>
      <c r="D819" s="4" t="inlineStr">
        <is>
          <t>KKB-140 Ø140</t>
        </is>
      </c>
      <c r="E819" s="3" t="inlineStr">
        <is>
          <t>Cái</t>
        </is>
      </c>
      <c r="F819" s="5" t="n">
        <v>374000</v>
      </c>
      <c r="G819" s="5" t="n">
        <v>471000</v>
      </c>
      <c r="H819" s="6" t="n">
        <v>617000</v>
      </c>
      <c r="I819" s="4" t="inlineStr">
        <is>
          <t>Cái 1c/H 2c/H</t>
        </is>
      </c>
    </row>
    <row r="820">
      <c r="A820" s="3" t="n">
        <v>819</v>
      </c>
      <c r="B820" s="3" t="n">
        <v>37</v>
      </c>
      <c r="C820" s="3" t="inlineStr">
        <is>
          <t>39</t>
        </is>
      </c>
      <c r="D820" s="4" t="inlineStr">
        <is>
          <t>KKB-150 Ø150</t>
        </is>
      </c>
      <c r="E820" s="3" t="inlineStr">
        <is>
          <t>Cái</t>
        </is>
      </c>
      <c r="F820" s="5" t="n">
        <v>400000</v>
      </c>
      <c r="G820" s="5" t="n">
        <v>504000</v>
      </c>
      <c r="H820" s="6" t="n">
        <v>660000</v>
      </c>
      <c r="I820" s="4" t="inlineStr">
        <is>
          <t>Cái 1c/H 2c/H</t>
        </is>
      </c>
    </row>
    <row r="821">
      <c r="A821" s="3" t="n">
        <v>820</v>
      </c>
      <c r="B821" s="3" t="n">
        <v>37</v>
      </c>
      <c r="C821" s="3" t="inlineStr">
        <is>
          <t>40</t>
        </is>
      </c>
      <c r="D821" s="4" t="inlineStr">
        <is>
          <t>KKB-160 Ø160</t>
        </is>
      </c>
      <c r="E821" s="3" t="inlineStr">
        <is>
          <t>Cái</t>
        </is>
      </c>
      <c r="F821" s="5" t="n">
        <v>426000</v>
      </c>
      <c r="G821" s="5" t="n">
        <v>537000</v>
      </c>
      <c r="H821" s="6" t="n">
        <v>703000</v>
      </c>
      <c r="I821" s="4" t="inlineStr">
        <is>
          <t>Cái 1c/H 2c/H</t>
        </is>
      </c>
    </row>
    <row r="822">
      <c r="A822" s="3" t="n">
        <v>821</v>
      </c>
      <c r="B822" s="3" t="n">
        <v>38</v>
      </c>
      <c r="C822" s="3" t="inlineStr">
        <is>
          <t>1</t>
        </is>
      </c>
      <c r="D822" s="4" t="inlineStr">
        <is>
          <t>KBK-06 Ø6</t>
        </is>
      </c>
      <c r="E822" s="3" t="inlineStr">
        <is>
          <t>Cái</t>
        </is>
      </c>
      <c r="F822" s="5" t="n">
        <v>22000</v>
      </c>
      <c r="G822" s="5" t="n">
        <v>27000</v>
      </c>
      <c r="H822" s="6" t="n">
        <v>35000</v>
      </c>
      <c r="I822" s="4" t="inlineStr">
        <is>
          <t>Cái 20c/H 500c/T</t>
        </is>
      </c>
    </row>
    <row r="823">
      <c r="A823" s="3" t="n">
        <v>822</v>
      </c>
      <c r="B823" s="3" t="n">
        <v>38</v>
      </c>
      <c r="C823" s="3" t="inlineStr">
        <is>
          <t>2</t>
        </is>
      </c>
      <c r="D823" s="4" t="inlineStr">
        <is>
          <t>KBK-08 Ø8</t>
        </is>
      </c>
      <c r="E823" s="3" t="inlineStr">
        <is>
          <t>Cái</t>
        </is>
      </c>
      <c r="F823" s="5" t="n">
        <v>25000</v>
      </c>
      <c r="G823" s="5" t="n">
        <v>31000</v>
      </c>
      <c r="H823" s="6" t="n">
        <v>40000</v>
      </c>
      <c r="I823" s="4" t="inlineStr">
        <is>
          <t>Cái 20c/H 500c/T</t>
        </is>
      </c>
    </row>
    <row r="824">
      <c r="A824" s="3" t="n">
        <v>823</v>
      </c>
      <c r="B824" s="3" t="n">
        <v>38</v>
      </c>
      <c r="C824" s="3" t="inlineStr">
        <is>
          <t>3</t>
        </is>
      </c>
      <c r="D824" s="4" t="inlineStr">
        <is>
          <t>KBK-10 Ø10</t>
        </is>
      </c>
      <c r="E824" s="3" t="inlineStr">
        <is>
          <t>Cái</t>
        </is>
      </c>
      <c r="F824" s="5" t="n">
        <v>32000</v>
      </c>
      <c r="G824" s="5" t="n">
        <v>40000</v>
      </c>
      <c r="H824" s="6" t="n">
        <v>51000</v>
      </c>
      <c r="I824" s="4" t="inlineStr">
        <is>
          <t>Cái 20c/H 500c/T</t>
        </is>
      </c>
    </row>
    <row r="825">
      <c r="A825" s="3" t="n">
        <v>824</v>
      </c>
      <c r="B825" s="3" t="n">
        <v>38</v>
      </c>
      <c r="C825" s="3" t="inlineStr">
        <is>
          <t>4</t>
        </is>
      </c>
      <c r="D825" s="4" t="inlineStr">
        <is>
          <t>KBK-12 Ø12</t>
        </is>
      </c>
      <c r="E825" s="3" t="inlineStr">
        <is>
          <t>Cái</t>
        </is>
      </c>
      <c r="F825" s="5" t="n">
        <v>37000</v>
      </c>
      <c r="G825" s="5" t="n">
        <v>46000</v>
      </c>
      <c r="H825" s="6" t="n">
        <v>59000</v>
      </c>
      <c r="I825" s="4" t="inlineStr">
        <is>
          <t>Cái 10c/H 250c/T</t>
        </is>
      </c>
    </row>
    <row r="826">
      <c r="A826" s="3" t="n">
        <v>825</v>
      </c>
      <c r="B826" s="3" t="n">
        <v>38</v>
      </c>
      <c r="C826" s="3" t="inlineStr">
        <is>
          <t>5</t>
        </is>
      </c>
      <c r="D826" s="4" t="inlineStr">
        <is>
          <t>KBK-14 Ø14</t>
        </is>
      </c>
      <c r="E826" s="3" t="inlineStr">
        <is>
          <t>Cái</t>
        </is>
      </c>
      <c r="F826" s="5" t="n">
        <v>45000</v>
      </c>
      <c r="G826" s="5" t="n">
        <v>56000</v>
      </c>
      <c r="H826" s="6" t="n">
        <v>72000</v>
      </c>
      <c r="I826" s="4" t="inlineStr">
        <is>
          <t>Cái 10c/H 250c/T</t>
        </is>
      </c>
    </row>
    <row r="827">
      <c r="A827" s="3" t="n">
        <v>826</v>
      </c>
      <c r="B827" s="3" t="n">
        <v>38</v>
      </c>
      <c r="C827" s="3" t="inlineStr">
        <is>
          <t>6</t>
        </is>
      </c>
      <c r="D827" s="4" t="inlineStr">
        <is>
          <t>KBK-16 Ø16</t>
        </is>
      </c>
      <c r="E827" s="3" t="inlineStr">
        <is>
          <t>Cái</t>
        </is>
      </c>
      <c r="F827" s="5" t="n">
        <v>48000</v>
      </c>
      <c r="G827" s="5" t="n">
        <v>60000</v>
      </c>
      <c r="H827" s="6" t="n">
        <v>77000</v>
      </c>
      <c r="I827" s="4" t="inlineStr">
        <is>
          <t>Cái 10c/H 250c/T</t>
        </is>
      </c>
    </row>
    <row r="828">
      <c r="A828" s="3" t="n">
        <v>827</v>
      </c>
      <c r="B828" s="3" t="n">
        <v>38</v>
      </c>
      <c r="C828" s="3" t="inlineStr">
        <is>
          <t>7</t>
        </is>
      </c>
      <c r="D828" s="4" t="inlineStr">
        <is>
          <t>KBK-18 Ø18</t>
        </is>
      </c>
      <c r="E828" s="3" t="inlineStr">
        <is>
          <t>Cái</t>
        </is>
      </c>
      <c r="F828" s="5" t="n">
        <v>57000</v>
      </c>
      <c r="G828" s="5" t="n">
        <v>71000</v>
      </c>
      <c r="H828" s="6" t="n">
        <v>91000</v>
      </c>
      <c r="I828" s="4" t="inlineStr">
        <is>
          <t>Cái 10c/H 250c/T</t>
        </is>
      </c>
    </row>
    <row r="829">
      <c r="A829" s="3" t="n">
        <v>828</v>
      </c>
      <c r="B829" s="3" t="n">
        <v>38</v>
      </c>
      <c r="C829" s="3" t="inlineStr">
        <is>
          <t>8</t>
        </is>
      </c>
      <c r="D829" s="4" t="inlineStr">
        <is>
          <t>KBK-20 Ø20</t>
        </is>
      </c>
      <c r="E829" s="3" t="inlineStr">
        <is>
          <t>Cái</t>
        </is>
      </c>
      <c r="F829" s="5" t="n">
        <v>61000</v>
      </c>
      <c r="G829" s="5" t="n">
        <v>76000</v>
      </c>
      <c r="H829" s="6" t="n">
        <v>98000</v>
      </c>
      <c r="I829" s="4" t="inlineStr">
        <is>
          <t>Cái 10c/H 250c/T</t>
        </is>
      </c>
    </row>
    <row r="830">
      <c r="A830" s="3" t="n">
        <v>829</v>
      </c>
      <c r="B830" s="3" t="n">
        <v>38</v>
      </c>
      <c r="C830" s="3" t="inlineStr">
        <is>
          <t>9</t>
        </is>
      </c>
      <c r="D830" s="4" t="inlineStr">
        <is>
          <t>KBK-21 Ø21</t>
        </is>
      </c>
      <c r="E830" s="3" t="inlineStr">
        <is>
          <t>Cái</t>
        </is>
      </c>
      <c r="F830" s="5" t="n">
        <v>64000</v>
      </c>
      <c r="G830" s="5" t="n">
        <v>79000</v>
      </c>
      <c r="H830" s="6" t="n">
        <v>102000</v>
      </c>
      <c r="I830" s="4" t="inlineStr">
        <is>
          <t>Cái 10c/H 250c/T</t>
        </is>
      </c>
    </row>
    <row r="831">
      <c r="A831" s="3" t="n">
        <v>830</v>
      </c>
      <c r="B831" s="3" t="n">
        <v>38</v>
      </c>
      <c r="C831" s="3" t="inlineStr">
        <is>
          <t>10</t>
        </is>
      </c>
      <c r="D831" s="4" t="inlineStr">
        <is>
          <t>KBK-22 Ø22</t>
        </is>
      </c>
      <c r="E831" s="3" t="inlineStr">
        <is>
          <t>Cái</t>
        </is>
      </c>
      <c r="F831" s="5" t="n">
        <v>67000</v>
      </c>
      <c r="G831" s="5" t="n">
        <v>83000</v>
      </c>
      <c r="H831" s="6" t="n">
        <v>107000</v>
      </c>
      <c r="I831" s="4" t="inlineStr">
        <is>
          <t>Cái 10c/H 240c/T</t>
        </is>
      </c>
    </row>
    <row r="832">
      <c r="A832" s="3" t="n">
        <v>831</v>
      </c>
      <c r="B832" s="3" t="n">
        <v>38</v>
      </c>
      <c r="C832" s="3" t="inlineStr">
        <is>
          <t>11</t>
        </is>
      </c>
      <c r="D832" s="4" t="inlineStr">
        <is>
          <t>KBK-25 Ø25</t>
        </is>
      </c>
      <c r="E832" s="3" t="inlineStr">
        <is>
          <t>Cái</t>
        </is>
      </c>
      <c r="F832" s="5" t="n">
        <v>77000</v>
      </c>
      <c r="G832" s="5" t="n">
        <v>95000</v>
      </c>
      <c r="H832" s="6" t="n">
        <v>123000</v>
      </c>
      <c r="I832" s="4" t="inlineStr">
        <is>
          <t>Cái 10c/H 200c/T</t>
        </is>
      </c>
    </row>
    <row r="833">
      <c r="A833" s="3" t="n">
        <v>832</v>
      </c>
      <c r="B833" s="3" t="n">
        <v>38</v>
      </c>
      <c r="C833" s="3" t="inlineStr">
        <is>
          <t>12</t>
        </is>
      </c>
      <c r="D833" s="4" t="inlineStr">
        <is>
          <t>KBK-27 Ø27</t>
        </is>
      </c>
      <c r="E833" s="3" t="inlineStr">
        <is>
          <t>Cái</t>
        </is>
      </c>
      <c r="F833" s="5" t="n">
        <v>84000</v>
      </c>
      <c r="G833" s="5" t="n">
        <v>104000</v>
      </c>
      <c r="H833" s="6" t="n">
        <v>134000</v>
      </c>
      <c r="I833" s="4" t="inlineStr">
        <is>
          <t>Cái 10c/H 100c/T</t>
        </is>
      </c>
    </row>
    <row r="834">
      <c r="A834" s="3" t="n">
        <v>833</v>
      </c>
      <c r="B834" s="3" t="n">
        <v>38</v>
      </c>
      <c r="C834" s="3" t="inlineStr">
        <is>
          <t>13</t>
        </is>
      </c>
      <c r="D834" s="4" t="inlineStr">
        <is>
          <t>KBK-28 Ø28</t>
        </is>
      </c>
      <c r="E834" s="3" t="inlineStr">
        <is>
          <t>Cái</t>
        </is>
      </c>
      <c r="F834" s="5" t="n">
        <v>85000</v>
      </c>
      <c r="G834" s="5" t="n">
        <v>105000</v>
      </c>
      <c r="H834" s="6" t="n">
        <v>136000</v>
      </c>
      <c r="I834" s="4" t="inlineStr">
        <is>
          <t>Cái 10c/H 100c/T</t>
        </is>
      </c>
    </row>
    <row r="835">
      <c r="A835" s="3" t="n">
        <v>834</v>
      </c>
      <c r="B835" s="3" t="n">
        <v>38</v>
      </c>
      <c r="C835" s="3" t="inlineStr">
        <is>
          <t>14</t>
        </is>
      </c>
      <c r="D835" s="4" t="inlineStr">
        <is>
          <t>KBK-30 Ø30</t>
        </is>
      </c>
      <c r="E835" s="3" t="inlineStr">
        <is>
          <t>Cái</t>
        </is>
      </c>
      <c r="F835" s="5" t="n">
        <v>91000</v>
      </c>
      <c r="G835" s="5" t="n">
        <v>113000</v>
      </c>
      <c r="H835" s="6" t="n">
        <v>146000</v>
      </c>
      <c r="I835" s="4" t="inlineStr">
        <is>
          <t>Cái 10c/H 100c/T</t>
        </is>
      </c>
    </row>
    <row r="836">
      <c r="A836" s="3" t="n">
        <v>835</v>
      </c>
      <c r="B836" s="3" t="n">
        <v>38</v>
      </c>
      <c r="C836" s="3" t="inlineStr">
        <is>
          <t>15</t>
        </is>
      </c>
      <c r="D836" s="4" t="inlineStr">
        <is>
          <t>KBK-32 Ø32</t>
        </is>
      </c>
      <c r="E836" s="3" t="inlineStr">
        <is>
          <t>Cái</t>
        </is>
      </c>
      <c r="F836" s="5" t="n">
        <v>96000</v>
      </c>
      <c r="G836" s="5" t="n">
        <v>119000</v>
      </c>
      <c r="H836" s="6" t="n">
        <v>154000</v>
      </c>
      <c r="I836" s="4" t="inlineStr">
        <is>
          <t>Cái 10c/H 100c/T</t>
        </is>
      </c>
    </row>
    <row r="837">
      <c r="A837" s="3" t="n">
        <v>836</v>
      </c>
      <c r="B837" s="3" t="n">
        <v>38</v>
      </c>
      <c r="C837" s="3" t="inlineStr">
        <is>
          <t>16</t>
        </is>
      </c>
      <c r="D837" s="4" t="inlineStr">
        <is>
          <t>KBK-34 Ø34</t>
        </is>
      </c>
      <c r="E837" s="3" t="inlineStr">
        <is>
          <t>Cái</t>
        </is>
      </c>
      <c r="F837" s="5" t="n">
        <v>102000</v>
      </c>
      <c r="G837" s="5" t="n">
        <v>126000</v>
      </c>
      <c r="H837" s="6" t="n">
        <v>163000</v>
      </c>
      <c r="I837" s="4" t="inlineStr">
        <is>
          <t>Cái 10c/H 100c/T</t>
        </is>
      </c>
    </row>
    <row r="838">
      <c r="A838" s="3" t="n">
        <v>837</v>
      </c>
      <c r="B838" s="3" t="n">
        <v>38</v>
      </c>
      <c r="C838" s="3" t="inlineStr">
        <is>
          <t>17</t>
        </is>
      </c>
      <c r="D838" s="4" t="inlineStr">
        <is>
          <t>KBK-35 Ø35</t>
        </is>
      </c>
      <c r="E838" s="3" t="inlineStr">
        <is>
          <t>Cái</t>
        </is>
      </c>
      <c r="F838" s="5" t="n">
        <v>104000</v>
      </c>
      <c r="G838" s="5" t="n">
        <v>129000</v>
      </c>
      <c r="H838" s="6" t="n">
        <v>166000</v>
      </c>
      <c r="I838" s="4" t="inlineStr">
        <is>
          <t>Cái 10c/H 100c/T</t>
        </is>
      </c>
    </row>
    <row r="839">
      <c r="A839" s="3" t="n">
        <v>838</v>
      </c>
      <c r="B839" s="3" t="n">
        <v>38</v>
      </c>
      <c r="C839" s="3" t="inlineStr">
        <is>
          <t>18</t>
        </is>
      </c>
      <c r="D839" s="4" t="inlineStr">
        <is>
          <t>KBK-38 Ø38</t>
        </is>
      </c>
      <c r="E839" s="3" t="inlineStr">
        <is>
          <t>Cái</t>
        </is>
      </c>
      <c r="F839" s="5" t="n">
        <v>114000</v>
      </c>
      <c r="G839" s="5" t="n">
        <v>141000</v>
      </c>
      <c r="H839" s="6" t="n">
        <v>182000</v>
      </c>
      <c r="I839" s="4" t="inlineStr">
        <is>
          <t>Cái 10c/H 100c/T</t>
        </is>
      </c>
    </row>
    <row r="840">
      <c r="A840" s="3" t="n">
        <v>839</v>
      </c>
      <c r="B840" s="3" t="n">
        <v>38</v>
      </c>
      <c r="C840" s="3" t="inlineStr">
        <is>
          <t>19</t>
        </is>
      </c>
      <c r="D840" s="4" t="inlineStr">
        <is>
          <t>KBK-40 Ø40</t>
        </is>
      </c>
      <c r="E840" s="3" t="inlineStr">
        <is>
          <t>Cái</t>
        </is>
      </c>
      <c r="F840" s="5" t="n">
        <v>120000</v>
      </c>
      <c r="G840" s="5" t="n">
        <v>149000</v>
      </c>
      <c r="H840" s="6" t="n">
        <v>192000</v>
      </c>
      <c r="I840" s="4" t="inlineStr">
        <is>
          <t>Cái 10c/H 100c/T</t>
        </is>
      </c>
    </row>
    <row r="841">
      <c r="A841" s="3" t="n">
        <v>840</v>
      </c>
      <c r="B841" s="3" t="n">
        <v>38</v>
      </c>
      <c r="C841" s="3" t="inlineStr">
        <is>
          <t>20</t>
        </is>
      </c>
      <c r="D841" s="4" t="inlineStr">
        <is>
          <t>KBK-42 Ø42</t>
        </is>
      </c>
      <c r="E841" s="3" t="inlineStr">
        <is>
          <t>Cái</t>
        </is>
      </c>
      <c r="F841" s="5" t="n">
        <v>129000</v>
      </c>
      <c r="G841" s="5" t="n">
        <v>160000</v>
      </c>
      <c r="H841" s="6" t="n">
        <v>206000</v>
      </c>
      <c r="I841" s="4" t="inlineStr">
        <is>
          <t>Cái 5c/H 50c/T</t>
        </is>
      </c>
    </row>
    <row r="842">
      <c r="A842" s="3" t="n">
        <v>841</v>
      </c>
      <c r="B842" s="3" t="n">
        <v>38</v>
      </c>
      <c r="C842" s="3" t="inlineStr">
        <is>
          <t>21</t>
        </is>
      </c>
      <c r="D842" s="4" t="inlineStr">
        <is>
          <t>KBK-45 Ø45</t>
        </is>
      </c>
      <c r="E842" s="3" t="inlineStr">
        <is>
          <t>Cái</t>
        </is>
      </c>
      <c r="F842" s="5" t="n">
        <v>140000</v>
      </c>
      <c r="G842" s="5" t="n">
        <v>174000</v>
      </c>
      <c r="H842" s="6" t="n">
        <v>224000</v>
      </c>
      <c r="I842" s="4" t="inlineStr">
        <is>
          <t>Cái 5c/H 50c/T</t>
        </is>
      </c>
    </row>
    <row r="843">
      <c r="A843" s="3" t="n">
        <v>842</v>
      </c>
      <c r="B843" s="3" t="n">
        <v>38</v>
      </c>
      <c r="C843" s="3" t="inlineStr">
        <is>
          <t>22</t>
        </is>
      </c>
      <c r="D843" s="4" t="inlineStr">
        <is>
          <t>KBK-50 Ø50</t>
        </is>
      </c>
      <c r="E843" s="3" t="inlineStr">
        <is>
          <t>Cái</t>
        </is>
      </c>
      <c r="F843" s="5" t="n">
        <v>153000</v>
      </c>
      <c r="G843" s="5" t="n">
        <v>190000</v>
      </c>
      <c r="H843" s="6" t="n">
        <v>245000</v>
      </c>
      <c r="I843" s="4" t="inlineStr">
        <is>
          <t>Cái 5c/H 50c/T</t>
        </is>
      </c>
    </row>
    <row r="844">
      <c r="A844" s="3" t="n">
        <v>843</v>
      </c>
      <c r="B844" s="3" t="n">
        <v>38</v>
      </c>
      <c r="C844" s="3" t="inlineStr">
        <is>
          <t>23</t>
        </is>
      </c>
      <c r="D844" s="4" t="inlineStr">
        <is>
          <t>KBK-55 Ø55</t>
        </is>
      </c>
      <c r="E844" s="3" t="inlineStr">
        <is>
          <t>Cái</t>
        </is>
      </c>
      <c r="F844" s="5" t="n">
        <v>169000</v>
      </c>
      <c r="G844" s="5" t="n">
        <v>209000</v>
      </c>
      <c r="H844" s="6" t="n">
        <v>270000</v>
      </c>
      <c r="I844" s="4" t="inlineStr">
        <is>
          <t>Cái 5c/H 50c/T</t>
        </is>
      </c>
    </row>
    <row r="845">
      <c r="A845" s="3" t="n">
        <v>844</v>
      </c>
      <c r="B845" s="3" t="n">
        <v>38</v>
      </c>
      <c r="C845" s="3" t="inlineStr">
        <is>
          <t>24</t>
        </is>
      </c>
      <c r="D845" s="4" t="inlineStr">
        <is>
          <t>KBK-60 Ø60</t>
        </is>
      </c>
      <c r="E845" s="3" t="inlineStr">
        <is>
          <t>Cái</t>
        </is>
      </c>
      <c r="F845" s="5" t="n">
        <v>182000</v>
      </c>
      <c r="G845" s="5" t="n">
        <v>226000</v>
      </c>
      <c r="H845" s="6" t="n">
        <v>291000</v>
      </c>
      <c r="I845" s="4" t="inlineStr">
        <is>
          <t>Cái 5c/H 50c/T</t>
        </is>
      </c>
    </row>
    <row r="846">
      <c r="A846" s="3" t="n">
        <v>845</v>
      </c>
      <c r="B846" s="3" t="n">
        <v>38</v>
      </c>
      <c r="C846" s="3" t="inlineStr">
        <is>
          <t>25</t>
        </is>
      </c>
      <c r="D846" s="4" t="inlineStr">
        <is>
          <t>KBK-65 Ø65</t>
        </is>
      </c>
      <c r="E846" s="3" t="inlineStr">
        <is>
          <t>Cái</t>
        </is>
      </c>
      <c r="F846" s="5" t="n">
        <v>195000</v>
      </c>
      <c r="G846" s="5" t="n">
        <v>242000</v>
      </c>
      <c r="H846" s="6" t="n">
        <v>312000</v>
      </c>
      <c r="I846" s="4" t="inlineStr">
        <is>
          <t>Cái 1c/H 50c/T</t>
        </is>
      </c>
    </row>
    <row r="847">
      <c r="A847" s="3" t="n">
        <v>846</v>
      </c>
      <c r="B847" s="3" t="n">
        <v>38</v>
      </c>
      <c r="C847" s="3" t="inlineStr">
        <is>
          <t>26</t>
        </is>
      </c>
      <c r="D847" s="4" t="inlineStr">
        <is>
          <t>KBK-70 Ø70</t>
        </is>
      </c>
      <c r="E847" s="3" t="inlineStr">
        <is>
          <t>Cái</t>
        </is>
      </c>
      <c r="F847" s="5" t="n">
        <v>233000</v>
      </c>
      <c r="G847" s="5" t="n">
        <v>289000</v>
      </c>
      <c r="H847" s="6" t="n">
        <v>373000</v>
      </c>
      <c r="I847" s="4" t="inlineStr">
        <is>
          <t>Cái 1c/H 30c/T</t>
        </is>
      </c>
    </row>
    <row r="848">
      <c r="A848" s="3" t="n">
        <v>847</v>
      </c>
      <c r="B848" s="3" t="n">
        <v>38</v>
      </c>
      <c r="C848" s="3" t="inlineStr">
        <is>
          <t>27</t>
        </is>
      </c>
      <c r="D848" s="4" t="inlineStr">
        <is>
          <t>KBK-75 Ø75</t>
        </is>
      </c>
      <c r="E848" s="3" t="inlineStr">
        <is>
          <t>Cái</t>
        </is>
      </c>
      <c r="F848" s="5" t="n">
        <v>247000</v>
      </c>
      <c r="G848" s="5" t="n">
        <v>306000</v>
      </c>
      <c r="H848" s="6" t="n">
        <v>395000</v>
      </c>
      <c r="I848" s="4" t="inlineStr">
        <is>
          <t>Cái 1c/H 30c/T</t>
        </is>
      </c>
    </row>
    <row r="849">
      <c r="A849" s="3" t="n">
        <v>848</v>
      </c>
      <c r="B849" s="3" t="n">
        <v>38</v>
      </c>
      <c r="C849" s="3" t="inlineStr">
        <is>
          <t>28</t>
        </is>
      </c>
      <c r="D849" s="4" t="inlineStr">
        <is>
          <t>KBK-80 Ø80</t>
        </is>
      </c>
      <c r="E849" s="3" t="inlineStr">
        <is>
          <t>Cái</t>
        </is>
      </c>
      <c r="F849" s="5" t="n">
        <v>260000</v>
      </c>
      <c r="G849" s="5" t="n">
        <v>322000</v>
      </c>
      <c r="H849" s="6" t="n">
        <v>416000</v>
      </c>
      <c r="I849" s="4" t="inlineStr">
        <is>
          <t>Cái 1c/H 20c/T</t>
        </is>
      </c>
    </row>
    <row r="850">
      <c r="A850" s="3" t="n">
        <v>849</v>
      </c>
      <c r="B850" s="3" t="n">
        <v>38</v>
      </c>
      <c r="C850" s="3" t="inlineStr">
        <is>
          <t>29</t>
        </is>
      </c>
      <c r="D850" s="4" t="inlineStr">
        <is>
          <t>KBK-85 Ø85</t>
        </is>
      </c>
      <c r="E850" s="3" t="inlineStr">
        <is>
          <t>Cái</t>
        </is>
      </c>
      <c r="F850" s="5" t="n">
        <v>301000</v>
      </c>
      <c r="G850" s="5" t="n">
        <v>373000</v>
      </c>
      <c r="H850" s="6" t="n">
        <v>482000</v>
      </c>
      <c r="I850" s="4" t="inlineStr">
        <is>
          <t>Cái 1c/H 20c/T</t>
        </is>
      </c>
    </row>
    <row r="851">
      <c r="A851" s="3" t="n">
        <v>850</v>
      </c>
      <c r="B851" s="3" t="n">
        <v>38</v>
      </c>
      <c r="C851" s="3" t="inlineStr">
        <is>
          <t>30</t>
        </is>
      </c>
      <c r="D851" s="4" t="inlineStr">
        <is>
          <t>KBK-90 Ø90</t>
        </is>
      </c>
      <c r="E851" s="3" t="inlineStr">
        <is>
          <t>Cái</t>
        </is>
      </c>
      <c r="F851" s="5" t="n">
        <v>315000</v>
      </c>
      <c r="G851" s="5" t="n">
        <v>391000</v>
      </c>
      <c r="H851" s="6" t="n">
        <v>504000</v>
      </c>
      <c r="I851" s="4" t="inlineStr">
        <is>
          <t>Cái 1c/H 15c/T</t>
        </is>
      </c>
    </row>
    <row r="852">
      <c r="A852" s="3" t="n">
        <v>851</v>
      </c>
      <c r="B852" s="3" t="n">
        <v>38</v>
      </c>
      <c r="C852" s="3" t="inlineStr">
        <is>
          <t>31</t>
        </is>
      </c>
      <c r="D852" s="4" t="inlineStr">
        <is>
          <t>KBK-100 Ø100</t>
        </is>
      </c>
      <c r="E852" s="3" t="inlineStr">
        <is>
          <t>Cái</t>
        </is>
      </c>
      <c r="F852" s="5" t="n">
        <v>342000</v>
      </c>
      <c r="G852" s="5" t="n">
        <v>424000</v>
      </c>
      <c r="H852" s="6" t="n">
        <v>547000</v>
      </c>
      <c r="I852" s="4" t="inlineStr">
        <is>
          <t>Cái 1c/H 20c/T</t>
        </is>
      </c>
    </row>
    <row r="853">
      <c r="A853" s="3" t="n">
        <v>852</v>
      </c>
      <c r="B853" s="3" t="n">
        <v>38</v>
      </c>
      <c r="C853" s="3" t="inlineStr">
        <is>
          <t>32</t>
        </is>
      </c>
      <c r="D853" s="4" t="inlineStr">
        <is>
          <t>KBK-110 Ø110</t>
        </is>
      </c>
      <c r="E853" s="3" t="inlineStr">
        <is>
          <t>Cái</t>
        </is>
      </c>
      <c r="F853" s="5" t="n">
        <v>387000</v>
      </c>
      <c r="G853" s="5" t="n">
        <v>480000</v>
      </c>
      <c r="H853" s="6" t="n">
        <v>619000</v>
      </c>
      <c r="I853" s="4" t="inlineStr">
        <is>
          <t>Cái 1c/H 10c/T</t>
        </is>
      </c>
    </row>
    <row r="854">
      <c r="A854" s="3" t="n">
        <v>853</v>
      </c>
      <c r="B854" s="3" t="n">
        <v>38</v>
      </c>
      <c r="C854" s="3" t="inlineStr">
        <is>
          <t>33</t>
        </is>
      </c>
      <c r="D854" s="4" t="inlineStr">
        <is>
          <t>KBK-120 Ø120</t>
        </is>
      </c>
      <c r="E854" s="3" t="inlineStr">
        <is>
          <t>Cái</t>
        </is>
      </c>
      <c r="F854" s="5" t="n">
        <v>414000</v>
      </c>
      <c r="G854" s="5" t="n">
        <v>513000</v>
      </c>
      <c r="H854" s="6" t="n">
        <v>662000</v>
      </c>
      <c r="I854" s="4" t="inlineStr">
        <is>
          <t>Cái 1c/H 10c/T</t>
        </is>
      </c>
    </row>
    <row r="855">
      <c r="A855" s="3" t="n">
        <v>854</v>
      </c>
      <c r="B855" s="3" t="n">
        <v>39</v>
      </c>
      <c r="C855" s="3" t="inlineStr"/>
      <c r="D855" s="4" t="inlineStr">
        <is>
          <t>KB16VB2</t>
        </is>
      </c>
      <c r="E855" s="3" t="inlineStr">
        <is>
          <t>Bộ</t>
        </is>
      </c>
      <c r="F855" s="5" t="n">
        <v>1870000</v>
      </c>
      <c r="G855" s="5" t="n">
        <v>2060000</v>
      </c>
      <c r="H855" s="6" t="n">
        <v>2340000</v>
      </c>
      <c r="I855" s="4" t="inlineStr">
        <is>
          <t>Bộ 1c/H 10c/T</t>
        </is>
      </c>
    </row>
    <row r="856">
      <c r="A856" s="3" t="n">
        <v>855</v>
      </c>
      <c r="B856" s="3" t="n">
        <v>39</v>
      </c>
      <c r="C856" s="3" t="inlineStr"/>
      <c r="D856" s="4" t="inlineStr">
        <is>
          <t>KB16VB</t>
        </is>
      </c>
      <c r="E856" s="3" t="inlineStr">
        <is>
          <t>Cái</t>
        </is>
      </c>
      <c r="F856" s="5" t="n">
        <v>1120000</v>
      </c>
      <c r="G856" s="5" t="n">
        <v>1230000</v>
      </c>
      <c r="H856" s="6" t="n">
        <v>1400000</v>
      </c>
      <c r="I856" s="4" t="inlineStr">
        <is>
          <t>Cái 1c/H 10c/T</t>
        </is>
      </c>
    </row>
    <row r="857">
      <c r="A857" s="3" t="n">
        <v>856</v>
      </c>
      <c r="B857" s="3" t="n">
        <v>39</v>
      </c>
      <c r="C857" s="3" t="inlineStr"/>
      <c r="D857" s="4" t="inlineStr">
        <is>
          <t>KB16VA2</t>
        </is>
      </c>
      <c r="E857" s="3" t="inlineStr">
        <is>
          <t>Bộ</t>
        </is>
      </c>
      <c r="F857" s="5" t="n">
        <v>1690000</v>
      </c>
      <c r="G857" s="5" t="n">
        <v>1860000</v>
      </c>
      <c r="H857" s="6" t="n">
        <v>2120000</v>
      </c>
      <c r="I857" s="4" t="inlineStr">
        <is>
          <t>Bộ 1c/H 10c/T</t>
        </is>
      </c>
    </row>
    <row r="858">
      <c r="A858" s="3" t="n">
        <v>857</v>
      </c>
      <c r="B858" s="3" t="n">
        <v>39</v>
      </c>
      <c r="C858" s="3" t="inlineStr"/>
      <c r="D858" s="4" t="inlineStr">
        <is>
          <t>KB16QA2</t>
        </is>
      </c>
      <c r="E858" s="3" t="inlineStr">
        <is>
          <t>Bộ</t>
        </is>
      </c>
      <c r="F858" s="5" t="n">
        <v>1690000</v>
      </c>
      <c r="G858" s="5" t="n">
        <v>1860000</v>
      </c>
      <c r="H858" s="6" t="n">
        <v>2120000</v>
      </c>
      <c r="I858" s="4" t="inlineStr">
        <is>
          <t>Bộ 1c/H 10c/T</t>
        </is>
      </c>
    </row>
    <row r="859">
      <c r="A859" s="3" t="n">
        <v>858</v>
      </c>
      <c r="B859" s="3" t="n">
        <v>39</v>
      </c>
      <c r="C859" s="3" t="inlineStr"/>
      <c r="D859" s="4" t="inlineStr">
        <is>
          <t>KB16QA</t>
        </is>
      </c>
      <c r="E859" s="3" t="inlineStr">
        <is>
          <t>Cái</t>
        </is>
      </c>
      <c r="F859" s="5" t="n">
        <v>790000</v>
      </c>
      <c r="G859" s="5" t="n">
        <v>870000</v>
      </c>
      <c r="H859" s="6" t="n">
        <v>990000</v>
      </c>
      <c r="I859" s="4" t="inlineStr">
        <is>
          <t>Cái 1c/H 10c/T</t>
        </is>
      </c>
    </row>
    <row r="860">
      <c r="A860" s="3" t="n">
        <v>859</v>
      </c>
      <c r="B860" s="3" t="n">
        <v>39</v>
      </c>
      <c r="C860" s="3" t="inlineStr"/>
      <c r="D860" s="4" t="inlineStr">
        <is>
          <t>KB20QB</t>
        </is>
      </c>
      <c r="E860" s="3" t="inlineStr">
        <is>
          <t>Cái</t>
        </is>
      </c>
      <c r="F860" s="5" t="n">
        <v>940000</v>
      </c>
      <c r="G860" s="5" t="n">
        <v>1030000</v>
      </c>
      <c r="H860" s="6" t="n">
        <v>1170000</v>
      </c>
      <c r="I860" s="4" t="inlineStr">
        <is>
          <t>Cái 1c/H 10c/T</t>
        </is>
      </c>
    </row>
    <row r="861">
      <c r="A861" s="3" t="n">
        <v>860</v>
      </c>
      <c r="B861" s="3" t="n">
        <v>39</v>
      </c>
      <c r="C861" s="3" t="inlineStr"/>
      <c r="D861" s="4" t="inlineStr">
        <is>
          <t>KB20QB2</t>
        </is>
      </c>
      <c r="E861" s="3" t="inlineStr">
        <is>
          <t>Bộ</t>
        </is>
      </c>
      <c r="F861" s="5" t="n">
        <v>2040000</v>
      </c>
      <c r="G861" s="5" t="n">
        <v>2240000</v>
      </c>
      <c r="H861" s="6" t="n">
        <v>2540000</v>
      </c>
      <c r="I861" s="4" t="inlineStr">
        <is>
          <t>Bộ 1c/H 10c/T</t>
        </is>
      </c>
    </row>
    <row r="862">
      <c r="A862" s="3" t="n">
        <v>861</v>
      </c>
      <c r="B862" s="3" t="n">
        <v>39</v>
      </c>
      <c r="C862" s="3" t="inlineStr"/>
      <c r="D862" s="4" t="inlineStr">
        <is>
          <t>KB20QF</t>
        </is>
      </c>
      <c r="E862" s="3" t="inlineStr">
        <is>
          <t>Cái</t>
        </is>
      </c>
      <c r="F862" s="5" t="n">
        <v>2110000</v>
      </c>
      <c r="G862" s="5" t="n">
        <v>2320000</v>
      </c>
      <c r="H862" s="6" t="n">
        <v>2640000</v>
      </c>
      <c r="I862" s="4" t="inlineStr">
        <is>
          <t>Cái 1c/H 5c/T</t>
        </is>
      </c>
    </row>
    <row r="863">
      <c r="A863" s="3" t="n">
        <v>862</v>
      </c>
      <c r="B863" s="3" t="n">
        <v>40</v>
      </c>
      <c r="C863" s="3" t="inlineStr"/>
      <c r="D863" s="4" t="inlineStr">
        <is>
          <t>KB20QF1</t>
        </is>
      </c>
      <c r="E863" s="3" t="inlineStr">
        <is>
          <t>Bộ</t>
        </is>
      </c>
      <c r="F863" s="5" t="n">
        <v>3080000</v>
      </c>
      <c r="G863" s="5" t="n">
        <v>3390000</v>
      </c>
      <c r="H863" s="6" t="n">
        <v>3850000</v>
      </c>
      <c r="I863" s="4" t="inlineStr">
        <is>
          <t>Bộ 1c/H 5c/T</t>
        </is>
      </c>
    </row>
    <row r="864">
      <c r="A864" s="3" t="n">
        <v>863</v>
      </c>
      <c r="B864" s="3" t="n">
        <v>40</v>
      </c>
      <c r="C864" s="3" t="inlineStr"/>
      <c r="D864" s="4" t="inlineStr">
        <is>
          <t>KB20MG</t>
        </is>
      </c>
      <c r="E864" s="3" t="inlineStr">
        <is>
          <t>Cái</t>
        </is>
      </c>
      <c r="F864" s="5" t="n">
        <v>1320000</v>
      </c>
      <c r="G864" s="5" t="n">
        <v>1450000</v>
      </c>
      <c r="H864" s="6" t="n">
        <v>1650000</v>
      </c>
      <c r="I864" s="4" t="inlineStr">
        <is>
          <t>Cái 1c/H 10c/T</t>
        </is>
      </c>
    </row>
    <row r="865">
      <c r="A865" s="3" t="n">
        <v>864</v>
      </c>
      <c r="B865" s="3" t="n">
        <v>40</v>
      </c>
      <c r="C865" s="3" t="inlineStr"/>
      <c r="D865" s="4" t="inlineStr">
        <is>
          <t>KB20MG1</t>
        </is>
      </c>
      <c r="E865" s="3" t="inlineStr">
        <is>
          <t>Bộ</t>
        </is>
      </c>
      <c r="F865" s="5" t="n">
        <v>2310000</v>
      </c>
      <c r="G865" s="5" t="n">
        <v>2540000</v>
      </c>
      <c r="H865" s="6" t="n">
        <v>2890000</v>
      </c>
      <c r="I865" s="4" t="inlineStr">
        <is>
          <t>Bộ 1c/H 5c/T</t>
        </is>
      </c>
    </row>
    <row r="866">
      <c r="A866" s="3" t="n">
        <v>865</v>
      </c>
      <c r="B866" s="3" t="n">
        <v>40</v>
      </c>
      <c r="C866" s="3" t="inlineStr"/>
      <c r="D866" s="4" t="inlineStr">
        <is>
          <t>KB20QE</t>
        </is>
      </c>
      <c r="E866" s="3" t="inlineStr">
        <is>
          <t>Cái</t>
        </is>
      </c>
      <c r="F866" s="5" t="n">
        <v>2110000</v>
      </c>
      <c r="G866" s="5" t="n">
        <v>2320000</v>
      </c>
      <c r="H866" s="6" t="n">
        <v>2640000</v>
      </c>
      <c r="I866" s="4" t="inlineStr">
        <is>
          <t>Cái 1c/H 5c/T</t>
        </is>
      </c>
    </row>
    <row r="867">
      <c r="A867" s="3" t="n">
        <v>866</v>
      </c>
      <c r="B867" s="3" t="n">
        <v>40</v>
      </c>
      <c r="C867" s="3" t="inlineStr"/>
      <c r="D867" s="4" t="inlineStr">
        <is>
          <t>KB20QE1</t>
        </is>
      </c>
      <c r="E867" s="3" t="inlineStr">
        <is>
          <t>Bộ</t>
        </is>
      </c>
      <c r="F867" s="5" t="n">
        <v>3060000</v>
      </c>
      <c r="G867" s="5" t="n">
        <v>3360000</v>
      </c>
      <c r="H867" s="6" t="n">
        <v>3820000</v>
      </c>
      <c r="I867" s="4" t="inlineStr">
        <is>
          <t>Bộ 1c/H 5c/T</t>
        </is>
      </c>
    </row>
    <row r="868">
      <c r="A868" s="3" t="n">
        <v>867</v>
      </c>
      <c r="B868" s="3" t="n">
        <v>40</v>
      </c>
      <c r="C868" s="3" t="inlineStr"/>
      <c r="D868" s="4" t="inlineStr">
        <is>
          <t>KB20VC</t>
        </is>
      </c>
      <c r="E868" s="3" t="inlineStr">
        <is>
          <t>Cái</t>
        </is>
      </c>
      <c r="F868" s="5" t="n">
        <v>1170000</v>
      </c>
      <c r="G868" s="5" t="n">
        <v>1280000</v>
      </c>
      <c r="H868" s="6" t="n">
        <v>1460000</v>
      </c>
      <c r="I868" s="4" t="inlineStr">
        <is>
          <t>Cái 1c/H 10c/T</t>
        </is>
      </c>
    </row>
    <row r="869">
      <c r="A869" s="3" t="n">
        <v>868</v>
      </c>
      <c r="B869" s="3" t="n">
        <v>40</v>
      </c>
      <c r="C869" s="3" t="inlineStr"/>
      <c r="D869" s="4" t="inlineStr">
        <is>
          <t>KB20VC1</t>
        </is>
      </c>
      <c r="E869" s="3" t="inlineStr">
        <is>
          <t>Bộ</t>
        </is>
      </c>
      <c r="F869" s="5" t="n">
        <v>2050000</v>
      </c>
      <c r="G869" s="5" t="n">
        <v>2250000</v>
      </c>
      <c r="H869" s="6" t="n">
        <v>2560000</v>
      </c>
      <c r="I869" s="4" t="inlineStr">
        <is>
          <t>Bộ 1c/H 10c/T</t>
        </is>
      </c>
    </row>
    <row r="870">
      <c r="A870" s="3" t="n">
        <v>869</v>
      </c>
      <c r="B870" s="3" t="n">
        <v>40</v>
      </c>
      <c r="C870" s="3" t="inlineStr"/>
      <c r="D870" s="4" t="inlineStr">
        <is>
          <t>KB20CK</t>
        </is>
      </c>
      <c r="E870" s="3" t="inlineStr">
        <is>
          <t>Cái</t>
        </is>
      </c>
      <c r="F870" s="5" t="n">
        <v>2080000</v>
      </c>
      <c r="G870" s="5" t="n">
        <v>2290000</v>
      </c>
      <c r="H870" s="6" t="n">
        <v>2600000</v>
      </c>
      <c r="I870" s="4" t="inlineStr">
        <is>
          <t>Cái 1c/H 5c/T</t>
        </is>
      </c>
    </row>
    <row r="871">
      <c r="A871" s="3" t="n">
        <v>870</v>
      </c>
      <c r="B871" s="3" t="n">
        <v>40</v>
      </c>
      <c r="C871" s="3" t="inlineStr"/>
      <c r="D871" s="4" t="inlineStr">
        <is>
          <t>KB20CK1</t>
        </is>
      </c>
      <c r="E871" s="3" t="inlineStr">
        <is>
          <t>Bộ</t>
        </is>
      </c>
      <c r="F871" s="5" t="n">
        <v>3070000</v>
      </c>
      <c r="G871" s="5" t="n">
        <v>3380000</v>
      </c>
      <c r="H871" s="6" t="n">
        <v>3840000</v>
      </c>
      <c r="I871" s="4" t="inlineStr">
        <is>
          <t>Bộ 1c/H 5c/T</t>
        </is>
      </c>
    </row>
    <row r="872">
      <c r="A872" s="3" t="n">
        <v>871</v>
      </c>
      <c r="B872" s="3" t="n">
        <v>40</v>
      </c>
      <c r="C872" s="3" t="inlineStr"/>
      <c r="D872" s="4" t="inlineStr">
        <is>
          <t>KB20SE</t>
        </is>
      </c>
      <c r="E872" s="3" t="inlineStr">
        <is>
          <t>Cái</t>
        </is>
      </c>
      <c r="F872" s="5" t="n">
        <v>2100000</v>
      </c>
      <c r="G872" s="5" t="n">
        <v>2310000</v>
      </c>
      <c r="H872" s="6" t="n">
        <v>2630000</v>
      </c>
      <c r="I872" s="4" t="inlineStr">
        <is>
          <t>Cái 1c/H 10c/T</t>
        </is>
      </c>
    </row>
    <row r="873">
      <c r="A873" s="3" t="n">
        <v>872</v>
      </c>
      <c r="B873" s="3" t="n">
        <v>41</v>
      </c>
      <c r="C873" s="3" t="inlineStr"/>
      <c r="D873" s="4" t="inlineStr">
        <is>
          <t>KB20SE1</t>
        </is>
      </c>
      <c r="E873" s="3" t="inlineStr">
        <is>
          <t>Bộ</t>
        </is>
      </c>
      <c r="F873" s="5" t="n">
        <v>3090000</v>
      </c>
      <c r="G873" s="5" t="n">
        <v>3400000</v>
      </c>
      <c r="H873" s="6" t="n">
        <v>3860000</v>
      </c>
      <c r="I873" s="4" t="inlineStr">
        <is>
          <t>Bộ 1c/H 5c/T</t>
        </is>
      </c>
    </row>
    <row r="874">
      <c r="A874" s="3" t="n">
        <v>873</v>
      </c>
      <c r="B874" s="3" t="n">
        <v>41</v>
      </c>
      <c r="C874" s="3" t="inlineStr"/>
      <c r="D874" s="4" t="inlineStr">
        <is>
          <t>KB20VD</t>
        </is>
      </c>
      <c r="E874" s="3" t="inlineStr">
        <is>
          <t>Cái</t>
        </is>
      </c>
      <c r="F874" s="5" t="n">
        <v>1740000</v>
      </c>
      <c r="G874" s="5" t="n">
        <v>1910000</v>
      </c>
      <c r="H874" s="6" t="n">
        <v>2170000</v>
      </c>
      <c r="I874" s="4" t="inlineStr">
        <is>
          <t>Cái 1c/H 10c/T</t>
        </is>
      </c>
    </row>
    <row r="875">
      <c r="A875" s="3" t="n">
        <v>874</v>
      </c>
      <c r="B875" s="3" t="n">
        <v>41</v>
      </c>
      <c r="C875" s="3" t="inlineStr"/>
      <c r="D875" s="4" t="inlineStr">
        <is>
          <t>KB20VD1</t>
        </is>
      </c>
      <c r="E875" s="3" t="inlineStr">
        <is>
          <t>Bộ</t>
        </is>
      </c>
      <c r="F875" s="5" t="n">
        <v>2730000</v>
      </c>
      <c r="G875" s="5" t="n">
        <v>3000000</v>
      </c>
      <c r="H875" s="6" t="n">
        <v>3410000</v>
      </c>
      <c r="I875" s="4" t="inlineStr">
        <is>
          <t>Bộ 1c/H 5c/T</t>
        </is>
      </c>
    </row>
    <row r="876">
      <c r="A876" s="3" t="n">
        <v>875</v>
      </c>
      <c r="B876" s="3" t="n">
        <v>41</v>
      </c>
      <c r="C876" s="3" t="inlineStr"/>
      <c r="D876" s="4" t="inlineStr">
        <is>
          <t>KB20SD</t>
        </is>
      </c>
      <c r="E876" s="3" t="inlineStr">
        <is>
          <t>Cái</t>
        </is>
      </c>
      <c r="F876" s="5" t="n">
        <v>1720000</v>
      </c>
      <c r="G876" s="5" t="n">
        <v>1890000</v>
      </c>
      <c r="H876" s="6" t="n">
        <v>2150000</v>
      </c>
      <c r="I876" s="4" t="inlineStr">
        <is>
          <t>Cái 1c/H 10c/T</t>
        </is>
      </c>
    </row>
    <row r="877">
      <c r="A877" s="3" t="n">
        <v>876</v>
      </c>
      <c r="B877" s="3" t="n">
        <v>41</v>
      </c>
      <c r="C877" s="3" t="inlineStr"/>
      <c r="D877" s="4" t="inlineStr">
        <is>
          <t>KB20SD1</t>
        </is>
      </c>
      <c r="E877" s="3" t="inlineStr">
        <is>
          <t>Bộ</t>
        </is>
      </c>
      <c r="F877" s="5" t="n">
        <v>2710000</v>
      </c>
      <c r="G877" s="5" t="n">
        <v>2980000</v>
      </c>
      <c r="H877" s="6" t="n">
        <v>3380000</v>
      </c>
      <c r="I877" s="4" t="inlineStr">
        <is>
          <t>Bộ 1c/H 5c/T</t>
        </is>
      </c>
    </row>
    <row r="878">
      <c r="A878" s="3" t="n">
        <v>877</v>
      </c>
      <c r="B878" s="3" t="n">
        <v>41</v>
      </c>
      <c r="C878" s="3" t="inlineStr"/>
      <c r="D878" s="4" t="inlineStr">
        <is>
          <t>KB20SC</t>
        </is>
      </c>
      <c r="E878" s="3" t="inlineStr">
        <is>
          <t>Cái</t>
        </is>
      </c>
      <c r="F878" s="5" t="n">
        <v>1140000</v>
      </c>
      <c r="G878" s="5" t="n">
        <v>1260000</v>
      </c>
      <c r="H878" s="6" t="n">
        <v>1430000</v>
      </c>
      <c r="I878" s="4" t="inlineStr">
        <is>
          <t>Cái 1c/H 10c/T</t>
        </is>
      </c>
    </row>
    <row r="879">
      <c r="A879" s="3" t="n">
        <v>878</v>
      </c>
      <c r="B879" s="3" t="n">
        <v>41</v>
      </c>
      <c r="C879" s="3" t="inlineStr"/>
      <c r="D879" s="4" t="inlineStr">
        <is>
          <t>KB20SC1</t>
        </is>
      </c>
      <c r="E879" s="3" t="inlineStr">
        <is>
          <t>Bộ</t>
        </is>
      </c>
      <c r="F879" s="5" t="n">
        <v>2020000</v>
      </c>
      <c r="G879" s="5" t="n">
        <v>2230000</v>
      </c>
      <c r="H879" s="6" t="n">
        <v>2530000</v>
      </c>
      <c r="I879" s="4" t="inlineStr">
        <is>
          <t>Bộ 1c/H 10c/T</t>
        </is>
      </c>
    </row>
    <row r="880">
      <c r="A880" s="3" t="n">
        <v>879</v>
      </c>
      <c r="B880" s="3" t="n">
        <v>41</v>
      </c>
      <c r="C880" s="3" t="inlineStr"/>
      <c r="D880" s="4" t="inlineStr">
        <is>
          <t>KB20S121</t>
        </is>
      </c>
      <c r="E880" s="3" t="inlineStr">
        <is>
          <t>Bộ</t>
        </is>
      </c>
      <c r="F880" s="5" t="n">
        <v>5060000</v>
      </c>
      <c r="G880" s="5" t="n">
        <v>5570000</v>
      </c>
      <c r="H880" s="6" t="n">
        <v>6330000</v>
      </c>
      <c r="I880" s="4" t="inlineStr">
        <is>
          <t>Bộ 1c/H 5c/T</t>
        </is>
      </c>
    </row>
    <row r="881">
      <c r="A881" s="3" t="n">
        <v>880</v>
      </c>
      <c r="B881" s="3" t="n">
        <v>41</v>
      </c>
      <c r="C881" s="3" t="inlineStr"/>
      <c r="D881" s="4" t="inlineStr">
        <is>
          <t>KB20S341</t>
        </is>
      </c>
      <c r="E881" s="3" t="inlineStr">
        <is>
          <t>Bộ</t>
        </is>
      </c>
      <c r="F881" s="5" t="n">
        <v>5060000</v>
      </c>
      <c r="G881" s="5" t="n">
        <v>5570000</v>
      </c>
      <c r="H881" s="6" t="n">
        <v>6330000</v>
      </c>
      <c r="I881" s="4" t="inlineStr">
        <is>
          <t>Bộ 1c/H 5c/T</t>
        </is>
      </c>
    </row>
    <row r="882">
      <c r="A882" s="3" t="n">
        <v>881</v>
      </c>
      <c r="B882" s="3" t="n">
        <v>42</v>
      </c>
      <c r="C882" s="3" t="inlineStr"/>
      <c r="D882" s="4" t="inlineStr">
        <is>
          <t>K18PLS</t>
        </is>
      </c>
      <c r="E882" s="3" t="inlineStr">
        <is>
          <t>Cái</t>
        </is>
      </c>
      <c r="F882" s="5" t="n">
        <v>990000</v>
      </c>
      <c r="G882" s="5" t="n">
        <v>1090000</v>
      </c>
      <c r="H882" s="6" t="n">
        <v>1240000</v>
      </c>
      <c r="I882" s="4" t="inlineStr">
        <is>
          <t>Cái 1c/H 10c/T</t>
        </is>
      </c>
    </row>
    <row r="883">
      <c r="A883" s="3" t="n">
        <v>882</v>
      </c>
      <c r="B883" s="3" t="n">
        <v>42</v>
      </c>
      <c r="C883" s="3" t="inlineStr"/>
      <c r="D883" s="4" t="inlineStr">
        <is>
          <t>KM18CD</t>
        </is>
      </c>
      <c r="E883" s="3" t="inlineStr">
        <is>
          <t>Cái</t>
        </is>
      </c>
      <c r="F883" s="5" t="n">
        <v>2130000</v>
      </c>
      <c r="G883" s="5" t="n">
        <v>2350000</v>
      </c>
      <c r="H883" s="6" t="n">
        <v>2670000</v>
      </c>
      <c r="I883" s="4" t="inlineStr">
        <is>
          <t>Cái 1c/H 4c/T</t>
        </is>
      </c>
    </row>
    <row r="884">
      <c r="A884" s="3" t="n">
        <v>883</v>
      </c>
      <c r="B884" s="3" t="n">
        <v>42</v>
      </c>
      <c r="C884" s="3" t="inlineStr"/>
      <c r="D884" s="4" t="inlineStr">
        <is>
          <t>KM18CX</t>
        </is>
      </c>
      <c r="E884" s="3" t="inlineStr">
        <is>
          <t>Cái</t>
        </is>
      </c>
      <c r="F884" s="5" t="n">
        <v>1890000</v>
      </c>
      <c r="G884" s="5" t="n">
        <v>2080000</v>
      </c>
      <c r="H884" s="6" t="n">
        <v>2370000</v>
      </c>
      <c r="I884" s="4" t="inlineStr">
        <is>
          <t>Cái 1c/H 6c/T</t>
        </is>
      </c>
    </row>
    <row r="885">
      <c r="A885" s="3" t="n">
        <v>884</v>
      </c>
      <c r="B885" s="3" t="n">
        <v>42</v>
      </c>
      <c r="C885" s="3" t="inlineStr"/>
      <c r="D885" s="4" t="inlineStr">
        <is>
          <t>KM18SM</t>
        </is>
      </c>
      <c r="E885" s="3" t="inlineStr">
        <is>
          <t>Cái</t>
        </is>
      </c>
      <c r="F885" s="5" t="n">
        <v>1720000</v>
      </c>
      <c r="G885" s="5" t="n">
        <v>1890000</v>
      </c>
      <c r="H885" s="6" t="n">
        <v>2150000</v>
      </c>
      <c r="I885" s="4" t="inlineStr">
        <is>
          <t>Cái 1c/H 10c/T</t>
        </is>
      </c>
    </row>
    <row r="886">
      <c r="A886" s="3" t="n">
        <v>885</v>
      </c>
      <c r="B886" s="3" t="n">
        <v>42</v>
      </c>
      <c r="C886" s="3" t="inlineStr"/>
      <c r="D886" s="4" t="inlineStr">
        <is>
          <t>KM18QD</t>
        </is>
      </c>
      <c r="E886" s="3" t="inlineStr">
        <is>
          <t>Cái</t>
        </is>
      </c>
      <c r="F886" s="5" t="n">
        <v>1780000</v>
      </c>
      <c r="G886" s="5" t="n">
        <v>1960000</v>
      </c>
      <c r="H886" s="6" t="n">
        <v>2230000</v>
      </c>
      <c r="I886" s="4" t="inlineStr">
        <is>
          <t>Cái 1c/H 10c/T</t>
        </is>
      </c>
    </row>
    <row r="887">
      <c r="A887" s="3" t="n">
        <v>886</v>
      </c>
      <c r="B887" s="3" t="n">
        <v>42</v>
      </c>
      <c r="C887" s="3" t="inlineStr"/>
      <c r="D887" s="4" t="inlineStr">
        <is>
          <t>K18SFS</t>
        </is>
      </c>
      <c r="E887" s="3" t="inlineStr">
        <is>
          <t>Cái</t>
        </is>
      </c>
      <c r="F887" s="5" t="n">
        <v>2620000</v>
      </c>
      <c r="G887" s="5" t="n">
        <v>2880000</v>
      </c>
      <c r="H887" s="6" t="n">
        <v>3270000</v>
      </c>
      <c r="I887" s="4" t="inlineStr">
        <is>
          <t>Cái 1c/H 10c/T</t>
        </is>
      </c>
    </row>
    <row r="888">
      <c r="A888" s="3" t="n">
        <v>887</v>
      </c>
      <c r="B888" s="3" t="n">
        <v>42</v>
      </c>
      <c r="C888" s="3" t="inlineStr"/>
      <c r="D888" s="4" t="inlineStr">
        <is>
          <t>KM18SF</t>
        </is>
      </c>
      <c r="E888" s="3" t="inlineStr">
        <is>
          <t>Cái</t>
        </is>
      </c>
      <c r="F888" s="5" t="n">
        <v>2620000</v>
      </c>
      <c r="G888" s="5" t="n">
        <v>2880000</v>
      </c>
      <c r="H888" s="6" t="n">
        <v>3270000</v>
      </c>
      <c r="I888" s="4" t="inlineStr">
        <is>
          <t>Cái 1c/H 10c/T</t>
        </is>
      </c>
    </row>
    <row r="889">
      <c r="A889" s="3" t="n">
        <v>888</v>
      </c>
      <c r="B889" s="3" t="n">
        <v>43</v>
      </c>
      <c r="C889" s="3" t="inlineStr"/>
      <c r="D889" s="4" t="inlineStr">
        <is>
          <t>KM18SV</t>
        </is>
      </c>
      <c r="E889" s="3" t="inlineStr">
        <is>
          <t>Cái</t>
        </is>
      </c>
      <c r="F889" s="5" t="n">
        <v>1560000</v>
      </c>
      <c r="G889" s="5" t="n">
        <v>1720000</v>
      </c>
      <c r="H889" s="6" t="n">
        <v>1950000</v>
      </c>
      <c r="I889" s="4" t="inlineStr">
        <is>
          <t>Cái 1c/H 10c/T</t>
        </is>
      </c>
    </row>
    <row r="890">
      <c r="A890" s="3" t="n">
        <v>889</v>
      </c>
      <c r="B890" s="3" t="n">
        <v>43</v>
      </c>
      <c r="C890" s="3" t="inlineStr"/>
      <c r="D890" s="4" t="inlineStr">
        <is>
          <t>KM18VF</t>
        </is>
      </c>
      <c r="E890" s="3" t="inlineStr">
        <is>
          <t>Cái</t>
        </is>
      </c>
      <c r="F890" s="5" t="n">
        <v>1450000</v>
      </c>
      <c r="G890" s="5" t="n">
        <v>1600000</v>
      </c>
      <c r="H890" s="6" t="n">
        <v>1820000</v>
      </c>
      <c r="I890" s="4" t="inlineStr">
        <is>
          <t>Cái 1c/H 10c/T</t>
        </is>
      </c>
    </row>
    <row r="891">
      <c r="A891" s="3" t="n">
        <v>890</v>
      </c>
      <c r="B891" s="3" t="n">
        <v>43</v>
      </c>
      <c r="C891" s="3" t="inlineStr"/>
      <c r="D891" s="4" t="inlineStr">
        <is>
          <t>KM18CK</t>
        </is>
      </c>
      <c r="E891" s="3" t="inlineStr">
        <is>
          <t>Cái</t>
        </is>
      </c>
      <c r="F891" s="5" t="n">
        <v>2110000</v>
      </c>
      <c r="G891" s="5" t="n">
        <v>2320000</v>
      </c>
      <c r="H891" s="6" t="n">
        <v>2640000</v>
      </c>
      <c r="I891" s="4" t="inlineStr">
        <is>
          <t>Cái 1c/H 5c/T</t>
        </is>
      </c>
    </row>
    <row r="892">
      <c r="A892" s="3" t="n">
        <v>891</v>
      </c>
      <c r="B892" s="3" t="n">
        <v>43</v>
      </c>
      <c r="C892" s="3" t="inlineStr"/>
      <c r="D892" s="4" t="inlineStr">
        <is>
          <t>KM18QB</t>
        </is>
      </c>
      <c r="E892" s="3" t="inlineStr">
        <is>
          <t>Cái</t>
        </is>
      </c>
      <c r="F892" s="5" t="n">
        <v>920000</v>
      </c>
      <c r="G892" s="5" t="n">
        <v>1020000</v>
      </c>
      <c r="H892" s="6" t="n">
        <v>1160000</v>
      </c>
      <c r="I892" s="4" t="inlineStr">
        <is>
          <t>Cái 1c/H 10c/T</t>
        </is>
      </c>
    </row>
    <row r="893">
      <c r="A893" s="3" t="n">
        <v>892</v>
      </c>
      <c r="B893" s="3" t="n">
        <v>43</v>
      </c>
      <c r="C893" s="3" t="inlineStr"/>
      <c r="D893" s="4" t="inlineStr">
        <is>
          <t>K18QFS</t>
        </is>
      </c>
      <c r="E893" s="3" t="inlineStr">
        <is>
          <t>Cái</t>
        </is>
      </c>
      <c r="F893" s="5" t="n">
        <v>2110000</v>
      </c>
      <c r="G893" s="5" t="n">
        <v>2320000</v>
      </c>
      <c r="H893" s="6" t="n">
        <v>2640000</v>
      </c>
      <c r="I893" s="4" t="inlineStr">
        <is>
          <t>Cái 1c/H 5c/T</t>
        </is>
      </c>
    </row>
    <row r="894">
      <c r="A894" s="3" t="n">
        <v>893</v>
      </c>
      <c r="B894" s="3" t="n">
        <v>43</v>
      </c>
      <c r="C894" s="3" t="inlineStr"/>
      <c r="D894" s="4" t="inlineStr">
        <is>
          <t>KM18QF</t>
        </is>
      </c>
      <c r="E894" s="3" t="inlineStr">
        <is>
          <t>Cái</t>
        </is>
      </c>
      <c r="F894" s="5" t="n">
        <v>2110000</v>
      </c>
      <c r="G894" s="5" t="n">
        <v>2320000</v>
      </c>
      <c r="H894" s="6" t="n">
        <v>2640000</v>
      </c>
      <c r="I894" s="4" t="inlineStr">
        <is>
          <t>Cái 1c/H 5c/T</t>
        </is>
      </c>
    </row>
    <row r="895">
      <c r="A895" s="3" t="n">
        <v>894</v>
      </c>
      <c r="B895" s="3" t="n">
        <v>43</v>
      </c>
      <c r="C895" s="3" t="inlineStr"/>
      <c r="D895" s="4" t="inlineStr">
        <is>
          <t>KM18MG</t>
        </is>
      </c>
      <c r="E895" s="3" t="inlineStr">
        <is>
          <t>Cái</t>
        </is>
      </c>
      <c r="F895" s="5" t="n">
        <v>1320000</v>
      </c>
      <c r="G895" s="5" t="n">
        <v>1450000</v>
      </c>
      <c r="H895" s="6" t="n">
        <v>1650000</v>
      </c>
      <c r="I895" s="4" t="inlineStr">
        <is>
          <t>Cái 1c/H 10c/T</t>
        </is>
      </c>
    </row>
    <row r="896">
      <c r="A896" s="3" t="n">
        <v>895</v>
      </c>
      <c r="B896" s="3" t="n">
        <v>43</v>
      </c>
      <c r="C896" s="3" t="inlineStr"/>
      <c r="D896" s="4" t="inlineStr">
        <is>
          <t>KM18QE</t>
        </is>
      </c>
      <c r="E896" s="3" t="inlineStr">
        <is>
          <t>Cái</t>
        </is>
      </c>
      <c r="F896" s="5" t="n">
        <v>2110000</v>
      </c>
      <c r="G896" s="5" t="n">
        <v>2320000</v>
      </c>
      <c r="H896" s="6" t="n">
        <v>2640000</v>
      </c>
      <c r="I896" s="4" t="inlineStr">
        <is>
          <t>Cái 1c/H 5c/T</t>
        </is>
      </c>
    </row>
    <row r="897">
      <c r="A897" s="3" t="n">
        <v>896</v>
      </c>
      <c r="B897" s="3" t="n">
        <v>43</v>
      </c>
      <c r="C897" s="3" t="inlineStr"/>
      <c r="D897" s="4" t="inlineStr">
        <is>
          <t>KM18VC</t>
        </is>
      </c>
      <c r="E897" s="3" t="inlineStr">
        <is>
          <t>Cái</t>
        </is>
      </c>
      <c r="F897" s="5" t="n">
        <v>1130000</v>
      </c>
      <c r="G897" s="5" t="n">
        <v>1250000</v>
      </c>
      <c r="H897" s="6" t="n">
        <v>1420000</v>
      </c>
      <c r="I897" s="4" t="inlineStr">
        <is>
          <t>Cái 1c/H 10c/T</t>
        </is>
      </c>
    </row>
    <row r="898">
      <c r="A898" s="3" t="n">
        <v>897</v>
      </c>
      <c r="B898" s="3" t="n">
        <v>43</v>
      </c>
      <c r="C898" s="3" t="inlineStr"/>
      <c r="D898" s="4" t="inlineStr">
        <is>
          <t>KM18SD</t>
        </is>
      </c>
      <c r="E898" s="3" t="inlineStr">
        <is>
          <t>Cái</t>
        </is>
      </c>
      <c r="F898" s="5" t="n">
        <v>1690000</v>
      </c>
      <c r="G898" s="5" t="n">
        <v>1860000</v>
      </c>
      <c r="H898" s="6" t="n">
        <v>2120000</v>
      </c>
      <c r="I898" s="4" t="inlineStr">
        <is>
          <t>Cái 1c/H 10c/T</t>
        </is>
      </c>
    </row>
    <row r="899">
      <c r="A899" s="3" t="n">
        <v>898</v>
      </c>
      <c r="B899" s="3" t="n">
        <v>44</v>
      </c>
      <c r="C899" s="3" t="inlineStr"/>
      <c r="D899" s="4" t="inlineStr">
        <is>
          <t>KM18VD</t>
        </is>
      </c>
      <c r="E899" s="3" t="inlineStr">
        <is>
          <t>Cái</t>
        </is>
      </c>
      <c r="F899" s="5" t="n">
        <v>1720000</v>
      </c>
      <c r="G899" s="5" t="n">
        <v>1890000</v>
      </c>
      <c r="H899" s="6" t="n">
        <v>2150000</v>
      </c>
      <c r="I899" s="4" t="inlineStr">
        <is>
          <t>Cái 1c/H 10c/T</t>
        </is>
      </c>
    </row>
    <row r="900">
      <c r="A900" s="3" t="n">
        <v>899</v>
      </c>
      <c r="B900" s="3" t="n">
        <v>44</v>
      </c>
      <c r="C900" s="3" t="inlineStr"/>
      <c r="D900" s="4" t="inlineStr">
        <is>
          <t>KM18SC</t>
        </is>
      </c>
      <c r="E900" s="3" t="inlineStr">
        <is>
          <t>Cái</t>
        </is>
      </c>
      <c r="F900" s="5" t="n">
        <v>1130000</v>
      </c>
      <c r="G900" s="5" t="n">
        <v>1250000</v>
      </c>
      <c r="H900" s="6" t="n">
        <v>1420000</v>
      </c>
      <c r="I900" s="4" t="inlineStr">
        <is>
          <t>Cái 1c/H 10c/T</t>
        </is>
      </c>
    </row>
    <row r="901">
      <c r="A901" s="3" t="n">
        <v>900</v>
      </c>
      <c r="B901" s="3" t="n">
        <v>44</v>
      </c>
      <c r="C901" s="3" t="inlineStr"/>
      <c r="D901" s="4" t="inlineStr">
        <is>
          <t>KM18SE</t>
        </is>
      </c>
      <c r="E901" s="3" t="inlineStr">
        <is>
          <t>Cái</t>
        </is>
      </c>
      <c r="F901" s="5" t="n">
        <v>2090000</v>
      </c>
      <c r="G901" s="5" t="n">
        <v>2300000</v>
      </c>
      <c r="H901" s="6" t="n">
        <v>2610000</v>
      </c>
      <c r="I901" s="4" t="inlineStr">
        <is>
          <t>Cái 1c/H 10c/T</t>
        </is>
      </c>
    </row>
    <row r="902">
      <c r="A902" s="3" t="n">
        <v>901</v>
      </c>
      <c r="B902" s="3" t="n">
        <v>44</v>
      </c>
      <c r="C902" s="3" t="inlineStr"/>
      <c r="D902" s="4" t="inlineStr">
        <is>
          <t>KM18S12</t>
        </is>
      </c>
      <c r="E902" s="3" t="inlineStr">
        <is>
          <t>Cái</t>
        </is>
      </c>
      <c r="F902" s="5" t="n">
        <v>3960000</v>
      </c>
      <c r="G902" s="5" t="n">
        <v>4360000</v>
      </c>
      <c r="H902" s="6" t="n">
        <v>4950000</v>
      </c>
      <c r="I902" s="4" t="inlineStr">
        <is>
          <t>Cái 1c/H 10c/T</t>
        </is>
      </c>
    </row>
    <row r="903">
      <c r="A903" s="3" t="n">
        <v>902</v>
      </c>
      <c r="B903" s="3" t="n">
        <v>44</v>
      </c>
      <c r="C903" s="3" t="inlineStr"/>
      <c r="D903" s="4" t="inlineStr">
        <is>
          <t>KM18S34</t>
        </is>
      </c>
      <c r="E903" s="3" t="inlineStr">
        <is>
          <t>Cái</t>
        </is>
      </c>
      <c r="F903" s="5" t="n">
        <v>3960000</v>
      </c>
      <c r="G903" s="5" t="n">
        <v>4360000</v>
      </c>
      <c r="H903" s="6" t="n">
        <v>4950000</v>
      </c>
      <c r="I903" s="4" t="inlineStr">
        <is>
          <t>Cái 1c/H 10c/T</t>
        </is>
      </c>
    </row>
    <row r="904">
      <c r="A904" s="3" t="n">
        <v>903</v>
      </c>
      <c r="B904" s="3" t="n">
        <v>44</v>
      </c>
      <c r="C904" s="3" t="inlineStr"/>
      <c r="D904" s="4" t="inlineStr">
        <is>
          <t>K18VFS</t>
        </is>
      </c>
      <c r="E904" s="3" t="inlineStr">
        <is>
          <t>Cái</t>
        </is>
      </c>
      <c r="F904" s="5" t="n">
        <v>1540000</v>
      </c>
      <c r="G904" s="5" t="n">
        <v>1690000</v>
      </c>
      <c r="H904" s="6" t="n">
        <v>1930000</v>
      </c>
      <c r="I904" s="4" t="inlineStr">
        <is>
          <t>Cái 1c/H 10c/T</t>
        </is>
      </c>
    </row>
    <row r="905">
      <c r="A905" s="3" t="n">
        <v>904</v>
      </c>
      <c r="B905" s="3" t="n">
        <v>44</v>
      </c>
      <c r="C905" s="3" t="inlineStr"/>
      <c r="D905" s="4" t="inlineStr">
        <is>
          <t>K18SVS</t>
        </is>
      </c>
      <c r="E905" s="3" t="inlineStr">
        <is>
          <t>Cái</t>
        </is>
      </c>
      <c r="F905" s="5" t="n">
        <v>1630000</v>
      </c>
      <c r="G905" s="5" t="n">
        <v>1790000</v>
      </c>
      <c r="H905" s="6" t="n">
        <v>2040000</v>
      </c>
      <c r="I905" s="4" t="inlineStr">
        <is>
          <t>Cái 1c/H 10c/T</t>
        </is>
      </c>
    </row>
    <row r="906">
      <c r="A906" s="3" t="n">
        <v>905</v>
      </c>
      <c r="B906" s="3" t="n">
        <v>44</v>
      </c>
      <c r="C906" s="3" t="inlineStr"/>
      <c r="D906" s="4" t="inlineStr">
        <is>
          <t>K18QES</t>
        </is>
      </c>
      <c r="E906" s="3" t="inlineStr">
        <is>
          <t>Cái</t>
        </is>
      </c>
      <c r="F906" s="5" t="n">
        <v>2380000</v>
      </c>
      <c r="G906" s="5" t="n">
        <v>2610000</v>
      </c>
      <c r="H906" s="6" t="n">
        <v>2970000</v>
      </c>
      <c r="I906" s="4" t="inlineStr">
        <is>
          <t>Cái 1c/H 10c/T</t>
        </is>
      </c>
    </row>
    <row r="907">
      <c r="A907" s="3" t="n">
        <v>906</v>
      </c>
      <c r="B907" s="3" t="n">
        <v>45</v>
      </c>
      <c r="C907" s="3" t="inlineStr"/>
      <c r="D907" s="4" t="inlineStr">
        <is>
          <t>K18MGS</t>
        </is>
      </c>
      <c r="E907" s="3" t="inlineStr">
        <is>
          <t>Cái</t>
        </is>
      </c>
      <c r="F907" s="5" t="n">
        <v>1340000</v>
      </c>
      <c r="G907" s="5" t="n">
        <v>1480000</v>
      </c>
      <c r="H907" s="6" t="n">
        <v>1680000</v>
      </c>
      <c r="I907" s="4" t="inlineStr">
        <is>
          <t>Cái 1c/H 10c/T</t>
        </is>
      </c>
    </row>
    <row r="908">
      <c r="A908" s="3" t="n">
        <v>907</v>
      </c>
      <c r="B908" s="3" t="n">
        <v>45</v>
      </c>
      <c r="C908" s="3" t="inlineStr"/>
      <c r="D908" s="4" t="inlineStr">
        <is>
          <t>KD18QF</t>
        </is>
      </c>
      <c r="E908" s="3" t="inlineStr">
        <is>
          <t>Cái</t>
        </is>
      </c>
      <c r="F908" s="5" t="n">
        <v>2110000</v>
      </c>
      <c r="G908" s="5" t="n">
        <v>2320000</v>
      </c>
      <c r="H908" s="6" t="n">
        <v>2640000</v>
      </c>
      <c r="I908" s="4" t="inlineStr">
        <is>
          <t>Cái 1c/H 5c/T</t>
        </is>
      </c>
    </row>
    <row r="909">
      <c r="A909" s="3" t="n">
        <v>908</v>
      </c>
      <c r="B909" s="3" t="n">
        <v>45</v>
      </c>
      <c r="C909" s="3" t="inlineStr"/>
      <c r="D909" s="4" t="inlineStr">
        <is>
          <t>KD18QE</t>
        </is>
      </c>
      <c r="E909" s="3" t="inlineStr">
        <is>
          <t>Cái</t>
        </is>
      </c>
      <c r="F909" s="5" t="n">
        <v>2110000</v>
      </c>
      <c r="G909" s="5" t="n">
        <v>2320000</v>
      </c>
      <c r="H909" s="6" t="n">
        <v>2640000</v>
      </c>
      <c r="I909" s="4" t="inlineStr">
        <is>
          <t>Cái 1c/H 5c/T</t>
        </is>
      </c>
    </row>
    <row r="910">
      <c r="A910" s="3" t="n">
        <v>909</v>
      </c>
      <c r="B910" s="3" t="n">
        <v>45</v>
      </c>
      <c r="C910" s="3" t="inlineStr"/>
      <c r="D910" s="4" t="inlineStr">
        <is>
          <t>KD18VD</t>
        </is>
      </c>
      <c r="E910" s="3" t="inlineStr">
        <is>
          <t>Cái</t>
        </is>
      </c>
      <c r="F910" s="5" t="n">
        <v>1740000</v>
      </c>
      <c r="G910" s="5" t="n">
        <v>1910000</v>
      </c>
      <c r="H910" s="6" t="n">
        <v>2170000</v>
      </c>
      <c r="I910" s="4" t="inlineStr">
        <is>
          <t>Cái 1c/H 10c/T</t>
        </is>
      </c>
    </row>
    <row r="911">
      <c r="A911" s="3" t="n">
        <v>910</v>
      </c>
      <c r="B911" s="3" t="n">
        <v>45</v>
      </c>
      <c r="C911" s="3" t="inlineStr"/>
      <c r="D911" s="4" t="inlineStr">
        <is>
          <t>KD18SD</t>
        </is>
      </c>
      <c r="E911" s="3" t="inlineStr">
        <is>
          <t>Cái</t>
        </is>
      </c>
      <c r="F911" s="5" t="n">
        <v>1720000</v>
      </c>
      <c r="G911" s="5" t="n">
        <v>1890000</v>
      </c>
      <c r="H911" s="6" t="n">
        <v>2150000</v>
      </c>
      <c r="I911" s="4" t="inlineStr">
        <is>
          <t>Cái 1c/H 10c/T</t>
        </is>
      </c>
    </row>
    <row r="912">
      <c r="A912" s="3" t="n">
        <v>911</v>
      </c>
      <c r="B912" s="3" t="n">
        <v>45</v>
      </c>
      <c r="C912" s="3" t="inlineStr"/>
      <c r="D912" s="4" t="inlineStr">
        <is>
          <t>KD18SE</t>
        </is>
      </c>
      <c r="E912" s="3" t="inlineStr">
        <is>
          <t>Cái</t>
        </is>
      </c>
      <c r="F912" s="5" t="n">
        <v>2110000</v>
      </c>
      <c r="G912" s="5" t="n">
        <v>2320000</v>
      </c>
      <c r="H912" s="6" t="n">
        <v>2640000</v>
      </c>
      <c r="I912" s="4" t="inlineStr">
        <is>
          <t>Cái 1c/H 10c/T</t>
        </is>
      </c>
    </row>
    <row r="913">
      <c r="A913" s="3" t="n">
        <v>912</v>
      </c>
      <c r="B913" s="3" t="n">
        <v>45</v>
      </c>
      <c r="C913" s="3" t="inlineStr"/>
      <c r="D913" s="4" t="inlineStr">
        <is>
          <t>KD18S12</t>
        </is>
      </c>
      <c r="E913" s="3" t="inlineStr">
        <is>
          <t>Cái</t>
        </is>
      </c>
      <c r="F913" s="5" t="n">
        <v>3960000</v>
      </c>
      <c r="G913" s="5" t="n">
        <v>4360000</v>
      </c>
      <c r="H913" s="6" t="n">
        <v>4950000</v>
      </c>
      <c r="I913" s="4" t="inlineStr">
        <is>
          <t>Cái 1c/H 10c/T</t>
        </is>
      </c>
    </row>
    <row r="914">
      <c r="A914" s="3" t="n">
        <v>913</v>
      </c>
      <c r="B914" s="3" t="n">
        <v>45</v>
      </c>
      <c r="C914" s="3" t="inlineStr"/>
      <c r="D914" s="4" t="inlineStr">
        <is>
          <t>KD18S34</t>
        </is>
      </c>
      <c r="E914" s="3" t="inlineStr">
        <is>
          <t>Cái</t>
        </is>
      </c>
      <c r="F914" s="5" t="n">
        <v>3960000</v>
      </c>
      <c r="G914" s="5" t="n">
        <v>4360000</v>
      </c>
      <c r="H914" s="6" t="n">
        <v>4950000</v>
      </c>
      <c r="I914" s="4" t="inlineStr">
        <is>
          <t>Cái 1c/H 10c/T</t>
        </is>
      </c>
    </row>
    <row r="915">
      <c r="A915" s="3" t="n">
        <v>914</v>
      </c>
      <c r="B915" s="3" t="n">
        <v>46</v>
      </c>
      <c r="C915" s="3" t="inlineStr">
        <is>
          <t>1</t>
        </is>
      </c>
      <c r="D915" s="4" t="inlineStr">
        <is>
          <t>Pin B2016 B2016</t>
        </is>
      </c>
      <c r="E915" s="3" t="inlineStr">
        <is>
          <t>Cái</t>
        </is>
      </c>
      <c r="F915" s="5" t="n">
        <v>350000</v>
      </c>
      <c r="G915" s="5" t="n">
        <v>392000</v>
      </c>
      <c r="H915" s="6" t="n">
        <v>455000</v>
      </c>
      <c r="I915" s="4" t="inlineStr">
        <is>
          <t>Cái</t>
        </is>
      </c>
    </row>
    <row r="916">
      <c r="A916" s="3" t="n">
        <v>915</v>
      </c>
      <c r="B916" s="3" t="n">
        <v>46</v>
      </c>
      <c r="C916" s="3" t="inlineStr">
        <is>
          <t>2</t>
        </is>
      </c>
      <c r="D916" s="4" t="inlineStr">
        <is>
          <t>Pin M1840 M1840</t>
        </is>
      </c>
      <c r="E916" s="3" t="inlineStr">
        <is>
          <t>Cái</t>
        </is>
      </c>
      <c r="F916" s="5" t="n">
        <v>825000</v>
      </c>
      <c r="G916" s="5" t="n">
        <v>924000</v>
      </c>
      <c r="H916" s="6" t="n">
        <v>1073000</v>
      </c>
      <c r="I916" s="4" t="inlineStr">
        <is>
          <t>Cái</t>
        </is>
      </c>
    </row>
    <row r="917">
      <c r="A917" s="3" t="n">
        <v>916</v>
      </c>
      <c r="B917" s="3" t="n">
        <v>46</v>
      </c>
      <c r="C917" s="3" t="inlineStr">
        <is>
          <t>3</t>
        </is>
      </c>
      <c r="D917" s="4" t="inlineStr">
        <is>
          <t>Pin B2020 B2020</t>
        </is>
      </c>
      <c r="E917" s="3" t="inlineStr">
        <is>
          <t>Cái</t>
        </is>
      </c>
      <c r="F917" s="5" t="n">
        <v>385000</v>
      </c>
      <c r="G917" s="5" t="n">
        <v>431000</v>
      </c>
      <c r="H917" s="6" t="n">
        <v>501000</v>
      </c>
      <c r="I917" s="4" t="inlineStr">
        <is>
          <t>Cái</t>
        </is>
      </c>
    </row>
    <row r="918">
      <c r="A918" s="3" t="n">
        <v>917</v>
      </c>
      <c r="B918" s="3" t="n">
        <v>46</v>
      </c>
      <c r="C918" s="3" t="inlineStr">
        <is>
          <t>4</t>
        </is>
      </c>
      <c r="D918" s="4" t="inlineStr">
        <is>
          <t>Pin B2040 B2040</t>
        </is>
      </c>
      <c r="E918" s="3" t="inlineStr">
        <is>
          <t>Cái</t>
        </is>
      </c>
      <c r="F918" s="5" t="n">
        <v>660000</v>
      </c>
      <c r="G918" s="5" t="n">
        <v>739000</v>
      </c>
      <c r="H918" s="6" t="n">
        <v>858000</v>
      </c>
      <c r="I918" s="4" t="inlineStr">
        <is>
          <t>Cái</t>
        </is>
      </c>
    </row>
    <row r="919">
      <c r="A919" s="3" t="n">
        <v>918</v>
      </c>
      <c r="B919" s="3" t="n">
        <v>46</v>
      </c>
      <c r="C919" s="3" t="inlineStr">
        <is>
          <t>5</t>
        </is>
      </c>
      <c r="D919" s="4" t="inlineStr">
        <is>
          <t>Pin B2050 B2050</t>
        </is>
      </c>
      <c r="E919" s="3" t="inlineStr">
        <is>
          <t>Cái</t>
        </is>
      </c>
      <c r="F919" s="5" t="n">
        <v>858000</v>
      </c>
      <c r="G919" s="5" t="n">
        <v>961000</v>
      </c>
      <c r="H919" s="6" t="n">
        <v>1115000</v>
      </c>
      <c r="I919" s="4" t="inlineStr">
        <is>
          <t>Cái</t>
        </is>
      </c>
    </row>
    <row r="920">
      <c r="A920" s="3" t="n">
        <v>919</v>
      </c>
      <c r="B920" s="3" t="n">
        <v>46</v>
      </c>
      <c r="C920" s="3" t="inlineStr">
        <is>
          <t>6</t>
        </is>
      </c>
      <c r="D920" s="4" t="inlineStr">
        <is>
          <t>Pin MP4018 MP4018</t>
        </is>
      </c>
      <c r="E920" s="3" t="inlineStr">
        <is>
          <t>Cái</t>
        </is>
      </c>
      <c r="F920" s="5" t="n">
        <v>730000</v>
      </c>
      <c r="G920" s="5" t="n">
        <v>818000</v>
      </c>
      <c r="H920" s="6" t="n">
        <v>949000</v>
      </c>
      <c r="I920" s="4" t="inlineStr">
        <is>
          <t>Cái Dòng xả 60ABH 16 THÁNG đổi mới không sửa chữa</t>
        </is>
      </c>
    </row>
    <row r="921">
      <c r="A921" s="3" t="n">
        <v>920</v>
      </c>
      <c r="B921" s="3" t="n">
        <v>46</v>
      </c>
      <c r="C921" s="3" t="inlineStr">
        <is>
          <t>7</t>
        </is>
      </c>
      <c r="D921" s="4" t="inlineStr">
        <is>
          <t>Pin MP6018 MP6018</t>
        </is>
      </c>
      <c r="E921" s="3" t="inlineStr">
        <is>
          <t>Cái</t>
        </is>
      </c>
      <c r="F921" s="5" t="n">
        <v>1045000</v>
      </c>
      <c r="G921" s="5" t="n">
        <v>1171000</v>
      </c>
      <c r="H921" s="6" t="n">
        <v>1359000</v>
      </c>
      <c r="I921" s="4" t="inlineStr">
        <is>
          <t>Cái Dòng xả 90ABH 16 THÁNG đổi mới không sửa chữa</t>
        </is>
      </c>
    </row>
    <row r="922">
      <c r="A922" s="3" t="n">
        <v>921</v>
      </c>
      <c r="B922" s="3" t="n">
        <v>46</v>
      </c>
      <c r="C922" s="3" t="inlineStr">
        <is>
          <t>8</t>
        </is>
      </c>
      <c r="D922" s="4" t="inlineStr">
        <is>
          <t>Sạc MS2A18 MS2A18</t>
        </is>
      </c>
      <c r="E922" s="3" t="inlineStr">
        <is>
          <t>Cái</t>
        </is>
      </c>
      <c r="F922" s="5" t="n">
        <v>290000</v>
      </c>
      <c r="G922" s="5" t="n">
        <v>325000</v>
      </c>
      <c r="H922" s="6" t="n">
        <v>377000</v>
      </c>
      <c r="I922" s="4" t="inlineStr">
        <is>
          <t>Cái BH 3 THÁNG đổi mới không sửa chữa</t>
        </is>
      </c>
    </row>
    <row r="923">
      <c r="A923" s="3" t="n">
        <v>922</v>
      </c>
      <c r="B923" s="3" t="n">
        <v>46</v>
      </c>
      <c r="C923" s="3" t="inlineStr">
        <is>
          <t>9</t>
        </is>
      </c>
      <c r="D923" s="4" t="inlineStr">
        <is>
          <t>Sạc pin B2A16 B2A16</t>
        </is>
      </c>
      <c r="E923" s="3" t="inlineStr">
        <is>
          <t>Cái</t>
        </is>
      </c>
      <c r="F923" s="5" t="n">
        <v>220000</v>
      </c>
      <c r="G923" s="5" t="n">
        <v>246000</v>
      </c>
      <c r="H923" s="6" t="n">
        <v>286000</v>
      </c>
      <c r="I923" s="4" t="inlineStr">
        <is>
          <t>Cái</t>
        </is>
      </c>
    </row>
    <row r="924">
      <c r="A924" s="3" t="n">
        <v>923</v>
      </c>
      <c r="B924" s="3" t="n">
        <v>46</v>
      </c>
      <c r="C924" s="3" t="inlineStr">
        <is>
          <t>10</t>
        </is>
      </c>
      <c r="D924" s="4" t="inlineStr">
        <is>
          <t>Sạc pin M4A18 M4A18</t>
        </is>
      </c>
      <c r="E924" s="3" t="inlineStr">
        <is>
          <t>Cái</t>
        </is>
      </c>
      <c r="F924" s="5" t="n">
        <v>440000</v>
      </c>
      <c r="G924" s="5" t="n">
        <v>493000</v>
      </c>
      <c r="H924" s="6" t="n">
        <v>572000</v>
      </c>
      <c r="I924" s="4" t="inlineStr">
        <is>
          <t>Cái</t>
        </is>
      </c>
    </row>
    <row r="925">
      <c r="A925" s="3" t="n">
        <v>924</v>
      </c>
      <c r="B925" s="3" t="n">
        <v>46</v>
      </c>
      <c r="C925" s="3" t="inlineStr">
        <is>
          <t>11</t>
        </is>
      </c>
      <c r="D925" s="4" t="inlineStr">
        <is>
          <t>Sạc pin B2A20 B2A20</t>
        </is>
      </c>
      <c r="E925" s="3" t="inlineStr">
        <is>
          <t>Cái</t>
        </is>
      </c>
      <c r="F925" s="5" t="n">
        <v>270000</v>
      </c>
      <c r="G925" s="5" t="n">
        <v>302000</v>
      </c>
      <c r="H925" s="6" t="n">
        <v>351000</v>
      </c>
      <c r="I925" s="4" t="inlineStr">
        <is>
          <t>Cái</t>
        </is>
      </c>
    </row>
    <row r="926">
      <c r="A926" s="3" t="n">
        <v>925</v>
      </c>
      <c r="B926" s="3" t="n">
        <v>46</v>
      </c>
      <c r="C926" s="3" t="inlineStr">
        <is>
          <t>12</t>
        </is>
      </c>
      <c r="D926" s="4" t="inlineStr">
        <is>
          <t>Sạc nhanh KM08AI (18V - 21V) KM08AI</t>
        </is>
      </c>
      <c r="E926" s="3" t="inlineStr">
        <is>
          <t>Cái</t>
        </is>
      </c>
      <c r="F926" s="5" t="n">
        <v>760000</v>
      </c>
      <c r="G926" s="5" t="n">
        <v>851000</v>
      </c>
      <c r="H926" s="6" t="n">
        <v>988000</v>
      </c>
      <c r="I926" s="4" t="inlineStr">
        <is>
          <t>Cái</t>
        </is>
      </c>
    </row>
    <row r="927">
      <c r="A927" s="3" t="n">
        <v>926</v>
      </c>
      <c r="B927" s="3" t="n">
        <v>46</v>
      </c>
      <c r="C927" s="3" t="inlineStr">
        <is>
          <t>13</t>
        </is>
      </c>
      <c r="D927" s="4" t="inlineStr">
        <is>
          <t>Bộ chuyển đổi chân pin KingBlue BOCHUYENCHANSAC</t>
        </is>
      </c>
      <c r="E927" s="3" t="inlineStr">
        <is>
          <t>Cái</t>
        </is>
      </c>
      <c r="F927" s="5" t="n">
        <v>165000</v>
      </c>
      <c r="G927" s="5" t="n">
        <v>205000</v>
      </c>
      <c r="H927" s="6" t="n">
        <v>264000</v>
      </c>
      <c r="I927" s="4" t="inlineStr">
        <is>
          <t>Cái</t>
        </is>
      </c>
    </row>
    <row r="928">
      <c r="A928" s="3" t="n">
        <v>927</v>
      </c>
      <c r="B928" s="3" t="n">
        <v>47</v>
      </c>
      <c r="C928" s="3" t="inlineStr"/>
      <c r="D928" s="4" t="inlineStr"/>
      <c r="E928" s="3" t="inlineStr">
        <is>
          <t>Cái</t>
        </is>
      </c>
      <c r="F928" s="5" t="n">
        <v>1380000</v>
      </c>
      <c r="G928" s="5" t="n">
        <v>1518000</v>
      </c>
      <c r="H928" s="6" t="n">
        <v>1725000</v>
      </c>
      <c r="I928" s="4" t="inlineStr">
        <is>
          <t>Cái 1c/H 5c/T</t>
        </is>
      </c>
    </row>
    <row r="929">
      <c r="A929" s="3" t="n">
        <v>928</v>
      </c>
      <c r="B929" s="3" t="n">
        <v>47</v>
      </c>
      <c r="C929" s="3" t="inlineStr">
        <is>
          <t>2</t>
        </is>
      </c>
      <c r="D929" s="4" t="inlineStr">
        <is>
          <t>Pin máy rung gạch 2.0Ah PIN- 2.0AH</t>
        </is>
      </c>
      <c r="E929" s="3" t="inlineStr">
        <is>
          <t>Cái</t>
        </is>
      </c>
      <c r="F929" s="5" t="n">
        <v>400000</v>
      </c>
      <c r="G929" s="5" t="n">
        <v>440000</v>
      </c>
      <c r="H929" s="6" t="n">
        <v>500000</v>
      </c>
      <c r="I929" s="4" t="inlineStr">
        <is>
          <t>Cái 1c/H 50c/T</t>
        </is>
      </c>
    </row>
    <row r="930">
      <c r="A930" s="3" t="n">
        <v>929</v>
      </c>
      <c r="B930" s="3" t="n">
        <v>47</v>
      </c>
      <c r="C930" s="3" t="inlineStr">
        <is>
          <t>3</t>
        </is>
      </c>
      <c r="D930" s="4" t="inlineStr">
        <is>
          <t>Kéo cắt cành pin KBE-BL2816 KBE-BL2816 Kích thước cắt: 28mm</t>
        </is>
      </c>
      <c r="E930" s="3" t="inlineStr">
        <is>
          <t>Cái</t>
        </is>
      </c>
      <c r="F930" s="5" t="n">
        <v>1600000</v>
      </c>
      <c r="G930" s="5" t="n">
        <v>1760000</v>
      </c>
      <c r="H930" s="6" t="n">
        <v>2000000</v>
      </c>
      <c r="I930" s="4" t="inlineStr">
        <is>
          <t>Cái 1/H 10/T</t>
        </is>
      </c>
    </row>
    <row r="931">
      <c r="A931" s="3" t="n">
        <v>930</v>
      </c>
      <c r="B931" s="3" t="n">
        <v>47</v>
      </c>
      <c r="C931" s="3" t="inlineStr"/>
      <c r="D931" s="4" t="inlineStr">
        <is>
          <t>KFF-73 7.3mm</t>
        </is>
      </c>
      <c r="E931" s="3" t="inlineStr">
        <is>
          <t>Cái</t>
        </is>
      </c>
      <c r="F931" s="5" t="n">
        <v>660000</v>
      </c>
      <c r="G931" s="5" t="n">
        <v>739000</v>
      </c>
      <c r="H931" s="6" t="n">
        <v>858000</v>
      </c>
      <c r="I931" s="4" t="inlineStr">
        <is>
          <t>Cái 1/H 10c/T</t>
        </is>
      </c>
    </row>
    <row r="932">
      <c r="A932" s="3" t="n">
        <v>931</v>
      </c>
      <c r="B932" s="3" t="n">
        <v>47</v>
      </c>
      <c r="C932" s="3" t="inlineStr">
        <is>
          <t>5</t>
        </is>
      </c>
      <c r="D932" s="4" t="inlineStr">
        <is>
          <t>Bộ loe ống đồng KingBlue KB-C1323 Khối lượng: 820g</t>
        </is>
      </c>
      <c r="E932" s="3" t="inlineStr">
        <is>
          <t>Cái</t>
        </is>
      </c>
      <c r="F932" s="5" t="n">
        <v>1140000</v>
      </c>
      <c r="G932" s="5" t="n">
        <v>1277000</v>
      </c>
      <c r="H932" s="6" t="n">
        <v>1482000</v>
      </c>
      <c r="I932" s="4" t="inlineStr">
        <is>
          <t>Cái 1c/H 10c/T</t>
        </is>
      </c>
    </row>
    <row r="933">
      <c r="A933" s="3" t="n">
        <v>932</v>
      </c>
      <c r="B933" s="3" t="n">
        <v>47</v>
      </c>
      <c r="C933" s="3" t="inlineStr"/>
      <c r="D933" s="4" t="inlineStr">
        <is>
          <t>KB-R1323 Khối lượng: 990g</t>
        </is>
      </c>
      <c r="E933" s="3" t="inlineStr">
        <is>
          <t>Cái</t>
        </is>
      </c>
      <c r="F933" s="5" t="n">
        <v>1720000</v>
      </c>
      <c r="G933" s="5" t="n">
        <v>1926000</v>
      </c>
      <c r="H933" s="6" t="n">
        <v>2236000</v>
      </c>
      <c r="I933" s="4" t="inlineStr">
        <is>
          <t>Cái 1c/H 10c/T</t>
        </is>
      </c>
    </row>
    <row r="934">
      <c r="A934" s="3" t="n">
        <v>933</v>
      </c>
      <c r="B934" s="3" t="n">
        <v>47</v>
      </c>
      <c r="C934" s="3" t="inlineStr">
        <is>
          <t>8</t>
        </is>
      </c>
      <c r="D934" s="4" t="inlineStr">
        <is>
          <t>Quạt tích điện mini KB-CF01 KB-CF01</t>
        </is>
      </c>
      <c r="E934" s="3" t="inlineStr">
        <is>
          <t>Cái</t>
        </is>
      </c>
      <c r="F934" s="5" t="n">
        <v>280000</v>
      </c>
      <c r="G934" s="5" t="n">
        <v>314000</v>
      </c>
      <c r="H934" s="6" t="n">
        <v>364000</v>
      </c>
      <c r="I934" s="4" t="inlineStr">
        <is>
          <t>Cái 1c/H 36c/T</t>
        </is>
      </c>
    </row>
    <row r="935">
      <c r="A935" s="3" t="n">
        <v>934</v>
      </c>
      <c r="B935" s="3" t="n">
        <v>48</v>
      </c>
      <c r="C935" s="3" t="inlineStr">
        <is>
          <t>9</t>
        </is>
      </c>
      <c r="D935" s="4" t="inlineStr">
        <is>
          <t>Quạt cầm tay mini (màu be) KB-HF01 KB-HF01</t>
        </is>
      </c>
      <c r="E935" s="3" t="inlineStr">
        <is>
          <t>Cái</t>
        </is>
      </c>
      <c r="F935" s="5" t="n">
        <v>290000</v>
      </c>
      <c r="G935" s="5" t="n">
        <v>325000</v>
      </c>
      <c r="H935" s="6" t="n">
        <v>377000</v>
      </c>
      <c r="I935" s="4" t="inlineStr">
        <is>
          <t>Cái 1c/H 40c/T</t>
        </is>
      </c>
    </row>
    <row r="936">
      <c r="A936" s="3" t="n">
        <v>935</v>
      </c>
      <c r="B936" s="3" t="n">
        <v>48</v>
      </c>
      <c r="C936" s="3" t="inlineStr">
        <is>
          <t>10</t>
        </is>
      </c>
      <c r="D936" s="4" t="inlineStr">
        <is>
          <t>Quạt cầm tay mini (màu xám) KB-HF02 KB-HF02</t>
        </is>
      </c>
      <c r="E936" s="3" t="inlineStr">
        <is>
          <t>Cái</t>
        </is>
      </c>
      <c r="F936" s="5" t="n">
        <v>290000</v>
      </c>
      <c r="G936" s="5" t="n">
        <v>325000</v>
      </c>
      <c r="H936" s="6" t="n">
        <v>377000</v>
      </c>
      <c r="I936" s="4" t="inlineStr">
        <is>
          <t>Cái 1c/H 40c/T</t>
        </is>
      </c>
    </row>
    <row r="937">
      <c r="A937" s="3" t="n">
        <v>936</v>
      </c>
      <c r="B937" s="3" t="n">
        <v>48</v>
      </c>
      <c r="C937" s="3" t="inlineStr">
        <is>
          <t>11</t>
        </is>
      </c>
      <c r="D937" s="4" t="inlineStr">
        <is>
          <t>Quạt cầm tay mini (màu hồng) KB-HF03 KB-HF03</t>
        </is>
      </c>
      <c r="E937" s="3" t="inlineStr">
        <is>
          <t>Cái</t>
        </is>
      </c>
      <c r="F937" s="5" t="n">
        <v>290000</v>
      </c>
      <c r="G937" s="5" t="n">
        <v>325000</v>
      </c>
      <c r="H937" s="6" t="n">
        <v>377000</v>
      </c>
      <c r="I937" s="4" t="inlineStr">
        <is>
          <t>Cái 1c/H 40c/T</t>
        </is>
      </c>
    </row>
    <row r="938">
      <c r="A938" s="3" t="n">
        <v>937</v>
      </c>
      <c r="B938" s="3" t="n">
        <v>48</v>
      </c>
      <c r="C938" s="3" t="inlineStr"/>
      <c r="D938" s="4" t="inlineStr">
        <is>
          <t>KB-HS01</t>
        </is>
      </c>
      <c r="E938" s="3" t="inlineStr">
        <is>
          <t>Cái</t>
        </is>
      </c>
      <c r="F938" s="5" t="n">
        <v>190000</v>
      </c>
      <c r="G938" s="5" t="n">
        <v>213000</v>
      </c>
      <c r="H938" s="6" t="n">
        <v>247000</v>
      </c>
      <c r="I938" s="4" t="inlineStr">
        <is>
          <t>Cái 1c/H 90c/T</t>
        </is>
      </c>
    </row>
    <row r="939">
      <c r="A939" s="3" t="n">
        <v>938</v>
      </c>
      <c r="B939" s="3" t="n">
        <v>48</v>
      </c>
      <c r="C939" s="3" t="inlineStr"/>
      <c r="D939" s="4" t="inlineStr">
        <is>
          <t>KB-HS02</t>
        </is>
      </c>
      <c r="E939" s="3" t="inlineStr">
        <is>
          <t>Cái</t>
        </is>
      </c>
      <c r="F939" s="5" t="n">
        <v>190000</v>
      </c>
      <c r="G939" s="5" t="n">
        <v>213000</v>
      </c>
      <c r="H939" s="6" t="n">
        <v>247000</v>
      </c>
      <c r="I939" s="4" t="inlineStr">
        <is>
          <t>Cái 1c/H 90c/T</t>
        </is>
      </c>
    </row>
    <row r="940">
      <c r="A940" s="3" t="n">
        <v>939</v>
      </c>
      <c r="B940" s="3" t="n">
        <v>49</v>
      </c>
      <c r="C940" s="3" t="inlineStr">
        <is>
          <t>1</t>
        </is>
      </c>
      <c r="D940" s="4" t="inlineStr">
        <is>
          <t>Bàn Cắt GạchCG-800 CG-800 800mm</t>
        </is>
      </c>
      <c r="E940" s="3" t="inlineStr">
        <is>
          <t>Cái</t>
        </is>
      </c>
      <c r="F940" s="5" t="n">
        <v>2090000</v>
      </c>
      <c r="G940" s="5" t="n">
        <v>2341000</v>
      </c>
      <c r="H940" s="6" t="n">
        <v>2717000</v>
      </c>
      <c r="I940" s="4" t="inlineStr">
        <is>
          <t>Cái 1C/H 2C/T</t>
        </is>
      </c>
    </row>
    <row r="941">
      <c r="A941" s="3" t="n">
        <v>940</v>
      </c>
      <c r="B941" s="3" t="n">
        <v>49</v>
      </c>
      <c r="C941" s="3" t="inlineStr">
        <is>
          <t>2</t>
        </is>
      </c>
      <c r="D941" s="4" t="inlineStr">
        <is>
          <t>Bàn Cắt GạchCG-1000 CG-1000 1000mm</t>
        </is>
      </c>
      <c r="E941" s="3" t="inlineStr">
        <is>
          <t>Cái</t>
        </is>
      </c>
      <c r="F941" s="5" t="n">
        <v>2420000</v>
      </c>
      <c r="G941" s="5" t="n">
        <v>2710000</v>
      </c>
      <c r="H941" s="6" t="n">
        <v>3146000</v>
      </c>
      <c r="I941" s="4" t="inlineStr">
        <is>
          <t>Cái 1C/H 2C/T</t>
        </is>
      </c>
    </row>
    <row r="942">
      <c r="A942" s="3" t="n">
        <v>941</v>
      </c>
      <c r="B942" s="3" t="n">
        <v>49</v>
      </c>
      <c r="C942" s="3" t="inlineStr"/>
      <c r="D942" s="4" t="inlineStr"/>
      <c r="E942" s="3" t="inlineStr">
        <is>
          <t>Cái</t>
        </is>
      </c>
      <c r="F942" s="5" t="n">
        <v>2706000</v>
      </c>
      <c r="G942" s="5" t="n">
        <v>3031000</v>
      </c>
      <c r="H942" s="6" t="n">
        <v>3518000</v>
      </c>
      <c r="I942" s="4" t="inlineStr">
        <is>
          <t>Cái 1C/H 2C/T</t>
        </is>
      </c>
    </row>
    <row r="943">
      <c r="A943" s="3" t="n">
        <v>942</v>
      </c>
      <c r="B943" s="3" t="n">
        <v>49</v>
      </c>
      <c r="C943" s="3" t="inlineStr"/>
      <c r="D943" s="4" t="inlineStr"/>
      <c r="E943" s="3" t="inlineStr">
        <is>
          <t>Cái</t>
        </is>
      </c>
      <c r="F943" s="5" t="n">
        <v>3960000</v>
      </c>
      <c r="G943" s="5" t="n">
        <v>4435000</v>
      </c>
      <c r="H943" s="6" t="n">
        <v>5148000</v>
      </c>
      <c r="I943" s="4" t="inlineStr">
        <is>
          <t>Cái 1C/H 1C/T</t>
        </is>
      </c>
    </row>
    <row r="944">
      <c r="A944" s="3" t="n">
        <v>943</v>
      </c>
      <c r="B944" s="3" t="n">
        <v>49</v>
      </c>
      <c r="C944" s="3" t="inlineStr">
        <is>
          <t>1</t>
        </is>
      </c>
      <c r="D944" s="4" t="inlineStr">
        <is>
          <t>Bộ lục giác bông - KL2 KL2-09</t>
        </is>
      </c>
      <c r="E944" s="3" t="inlineStr">
        <is>
          <t>Bộ</t>
        </is>
      </c>
      <c r="F944" s="5" t="n">
        <v>132000</v>
      </c>
      <c r="G944" s="5" t="n">
        <v>156000</v>
      </c>
      <c r="H944" s="6" t="n">
        <v>191000</v>
      </c>
      <c r="I944" s="4" t="inlineStr">
        <is>
          <t>Bộ 6C/H 48C/T Đầu hoa thị , Thép S2 siêu cứng</t>
        </is>
      </c>
    </row>
    <row r="945">
      <c r="A945" s="3" t="n">
        <v>944</v>
      </c>
      <c r="B945" s="3" t="n">
        <v>49</v>
      </c>
      <c r="C945" s="3" t="inlineStr">
        <is>
          <t>2</t>
        </is>
      </c>
      <c r="D945" s="4" t="inlineStr">
        <is>
          <t>Bộ lục giác bi - KL4 KL4-09</t>
        </is>
      </c>
      <c r="E945" s="3" t="inlineStr">
        <is>
          <t>Bộ</t>
        </is>
      </c>
      <c r="F945" s="5" t="n">
        <v>132000</v>
      </c>
      <c r="G945" s="5" t="n">
        <v>156000</v>
      </c>
      <c r="H945" s="6" t="n">
        <v>191000</v>
      </c>
      <c r="I945" s="4" t="inlineStr">
        <is>
          <t>Bộ 6C/H 48C/T Đầu bi, Thép S2 siêu cứng</t>
        </is>
      </c>
    </row>
    <row r="946">
      <c r="A946" s="3" t="n">
        <v>945</v>
      </c>
      <c r="B946" s="3" t="n">
        <v>49</v>
      </c>
      <c r="C946" s="3" t="inlineStr">
        <is>
          <t>3</t>
        </is>
      </c>
      <c r="D946" s="4" t="inlineStr">
        <is>
          <t>Bộ lục giác màu - KL6 KL6-09 1.5 / 2.0 / 2.5 / 3.0 / 4.0 / 5.0 / 6.0 / 8.0 / 10mm</t>
        </is>
      </c>
      <c r="E946" s="3" t="inlineStr">
        <is>
          <t>Bộ</t>
        </is>
      </c>
      <c r="F946" s="5" t="n">
        <v>167000</v>
      </c>
      <c r="G946" s="5" t="n">
        <v>197000</v>
      </c>
      <c r="H946" s="6" t="n">
        <v>242000</v>
      </c>
      <c r="I946" s="4" t="inlineStr">
        <is>
          <t>Bộ 6C/H 48C/T Đầu bi , Thép S2 siêu cứng có bọc nhựa chống trơn trượt</t>
        </is>
      </c>
    </row>
    <row r="947">
      <c r="A947" s="3" t="n">
        <v>946</v>
      </c>
      <c r="B947" s="3" t="n">
        <v>49</v>
      </c>
      <c r="C947" s="3" t="inlineStr"/>
      <c r="D947" s="4" t="inlineStr"/>
      <c r="E947" s="3" t="inlineStr">
        <is>
          <t>Bộ</t>
        </is>
      </c>
      <c r="F947" s="5" t="n">
        <v>204000</v>
      </c>
      <c r="G947" s="5" t="n">
        <v>241000</v>
      </c>
      <c r="H947" s="6" t="n">
        <v>296000</v>
      </c>
      <c r="I947" s="4" t="inlineStr">
        <is>
          <t>Bộ 6C/H 36C/T</t>
        </is>
      </c>
    </row>
    <row r="948">
      <c r="A948" s="3" t="n">
        <v>947</v>
      </c>
      <c r="B948" s="3" t="n">
        <v>49</v>
      </c>
      <c r="C948" s="3" t="inlineStr"/>
      <c r="D948" s="4" t="inlineStr"/>
      <c r="E948" s="3" t="inlineStr">
        <is>
          <t>Bộ</t>
        </is>
      </c>
      <c r="F948" s="5" t="n">
        <v>209000</v>
      </c>
      <c r="G948" s="5" t="n">
        <v>247000</v>
      </c>
      <c r="H948" s="6" t="n">
        <v>303000</v>
      </c>
      <c r="I948" s="4" t="inlineStr">
        <is>
          <t>Bộ 6C/H 36C/T</t>
        </is>
      </c>
    </row>
    <row r="949">
      <c r="A949" s="3" t="n">
        <v>948</v>
      </c>
      <c r="B949" s="3" t="n">
        <v>49</v>
      </c>
      <c r="C949" s="3" t="inlineStr"/>
      <c r="D949" s="4" t="inlineStr"/>
      <c r="E949" s="3" t="inlineStr">
        <is>
          <t>Bộ</t>
        </is>
      </c>
      <c r="F949" s="5" t="n">
        <v>99000</v>
      </c>
      <c r="G949" s="5" t="n">
        <v>117000</v>
      </c>
      <c r="H949" s="6" t="n">
        <v>144000</v>
      </c>
      <c r="I949" s="4" t="inlineStr">
        <is>
          <t>Bộ 6C/H 36C/T</t>
        </is>
      </c>
    </row>
    <row r="950">
      <c r="A950" s="3" t="n">
        <v>949</v>
      </c>
      <c r="B950" s="3" t="n">
        <v>49</v>
      </c>
      <c r="C950" s="3" t="inlineStr"/>
      <c r="D950" s="4" t="inlineStr"/>
      <c r="E950" s="3" t="inlineStr">
        <is>
          <t>Bộ</t>
        </is>
      </c>
      <c r="F950" s="5" t="n">
        <v>361000</v>
      </c>
      <c r="G950" s="5" t="n">
        <v>426000</v>
      </c>
      <c r="H950" s="6" t="n">
        <v>524000</v>
      </c>
      <c r="I950" s="4" t="inlineStr">
        <is>
          <t>Bộ 3C/H 24C/T  Có đầu hoa thị và Đầu lục giác, Thép S2 siêu cứng (HRC 58-62)</t>
        </is>
      </c>
    </row>
    <row r="951">
      <c r="A951" s="3" t="n">
        <v>950</v>
      </c>
      <c r="B951" s="3" t="n">
        <v>49</v>
      </c>
      <c r="C951" s="3" t="inlineStr"/>
      <c r="D951" s="4" t="inlineStr"/>
      <c r="E951" s="3" t="inlineStr">
        <is>
          <t>Bộ</t>
        </is>
      </c>
      <c r="F951" s="5" t="n">
        <v>95000</v>
      </c>
      <c r="G951" s="5" t="n">
        <v>112000</v>
      </c>
      <c r="H951" s="6" t="n">
        <v>138000</v>
      </c>
      <c r="I951" s="4" t="inlineStr">
        <is>
          <t>Bộ 12C/H 72H/T Chất liệu: Thép Cr-V độ cứng cao, chống mài mònĐầu lục giác chống trượt</t>
        </is>
      </c>
    </row>
    <row r="952">
      <c r="A952" s="3" t="n">
        <v>951</v>
      </c>
      <c r="B952" s="3" t="n">
        <v>50</v>
      </c>
      <c r="C952" s="3" t="inlineStr">
        <is>
          <t>1</t>
        </is>
      </c>
      <c r="D952" s="4" t="inlineStr">
        <is>
          <t>Bộ lấyốc gãy KBYT6 Ø3/6/8/11/14/18/25</t>
        </is>
      </c>
      <c r="E952" s="3" t="inlineStr">
        <is>
          <t>Bộ</t>
        </is>
      </c>
      <c r="F952" s="5" t="n">
        <v>68000</v>
      </c>
      <c r="G952" s="5" t="n">
        <v>80000</v>
      </c>
      <c r="H952" s="6" t="n">
        <v>99000</v>
      </c>
      <c r="I952" s="4" t="inlineStr">
        <is>
          <t>Bộ 6C/B 100B/T Chất liệu: Thép CRVdùng lấy ốc vít gãy có kích thước từ M3- M25</t>
        </is>
      </c>
    </row>
    <row r="953">
      <c r="A953" s="3" t="n">
        <v>952</v>
      </c>
      <c r="B953" s="3" t="n">
        <v>50</v>
      </c>
      <c r="C953" s="3" t="inlineStr"/>
      <c r="D953" s="4" t="inlineStr">
        <is>
          <t>ống đồng KingBlue KB-1304 100*20mmKhối lượng:60g</t>
        </is>
      </c>
      <c r="E953" s="3" t="inlineStr">
        <is>
          <t>Cái</t>
        </is>
      </c>
      <c r="F953" s="5" t="n">
        <v>215000</v>
      </c>
      <c r="G953" s="5" t="n">
        <v>254000</v>
      </c>
      <c r="H953" s="6" t="n">
        <v>312000</v>
      </c>
      <c r="I953" s="4" t="inlineStr">
        <is>
          <t>Cái 48C/H 192C/T</t>
        </is>
      </c>
    </row>
    <row r="954">
      <c r="A954" s="3" t="n">
        <v>953</v>
      </c>
      <c r="B954" s="3" t="n">
        <v>50</v>
      </c>
      <c r="C954" s="3" t="inlineStr"/>
      <c r="D954" s="4" t="inlineStr">
        <is>
          <t>KB-1301 140*28mmKhối lượng: 55g</t>
        </is>
      </c>
      <c r="E954" s="3" t="inlineStr">
        <is>
          <t>Cái</t>
        </is>
      </c>
      <c r="F954" s="5" t="n">
        <v>135000</v>
      </c>
      <c r="G954" s="5" t="n">
        <v>159000</v>
      </c>
      <c r="H954" s="6" t="n">
        <v>196000</v>
      </c>
      <c r="I954" s="4" t="inlineStr">
        <is>
          <t>Cái 20C/H 80C/T</t>
        </is>
      </c>
    </row>
    <row r="955">
      <c r="A955" s="3" t="n">
        <v>954</v>
      </c>
      <c r="B955" s="3" t="n">
        <v>50</v>
      </c>
      <c r="C955" s="3" t="inlineStr"/>
      <c r="D955" s="4" t="inlineStr"/>
      <c r="E955" s="3" t="inlineStr">
        <is>
          <t>Bộ</t>
        </is>
      </c>
      <c r="F955" s="5" t="n">
        <v>1990000</v>
      </c>
      <c r="G955" s="5" t="n">
        <v>2229000</v>
      </c>
      <c r="H955" s="6" t="n">
        <v>2587000</v>
      </c>
      <c r="I955" s="4" t="inlineStr">
        <is>
          <t>Bộ 1B/H 10C/T</t>
        </is>
      </c>
    </row>
    <row r="956">
      <c r="A956" s="3" t="n">
        <v>955</v>
      </c>
      <c r="B956" s="3" t="n">
        <v>51</v>
      </c>
      <c r="C956" s="3" t="inlineStr"/>
      <c r="D956" s="4" t="inlineStr"/>
      <c r="E956" s="3" t="inlineStr">
        <is>
          <t>Cái</t>
        </is>
      </c>
      <c r="F956" s="5" t="n">
        <v>990000</v>
      </c>
      <c r="G956" s="5" t="n">
        <v>1109000</v>
      </c>
      <c r="H956" s="6" t="n">
        <v>1287000</v>
      </c>
      <c r="I956" s="4" t="inlineStr">
        <is>
          <t>Cái 1C/H 20C/T</t>
        </is>
      </c>
    </row>
    <row r="957">
      <c r="A957" s="3" t="n">
        <v>956</v>
      </c>
      <c r="B957" s="3" t="n">
        <v>51</v>
      </c>
      <c r="C957" s="3" t="inlineStr"/>
      <c r="D957" s="4" t="inlineStr"/>
      <c r="E957" s="3" t="inlineStr">
        <is>
          <t>Cái</t>
        </is>
      </c>
      <c r="F957" s="5" t="n">
        <v>1040000</v>
      </c>
      <c r="G957" s="5" t="n">
        <v>1165000</v>
      </c>
      <c r="H957" s="6" t="n">
        <v>1352000</v>
      </c>
      <c r="I957" s="4" t="inlineStr">
        <is>
          <t>Cái 1C/H 20C/T</t>
        </is>
      </c>
    </row>
    <row r="958">
      <c r="A958" s="3" t="n">
        <v>957</v>
      </c>
      <c r="B958" s="3" t="n">
        <v>51</v>
      </c>
      <c r="C958" s="3" t="inlineStr"/>
      <c r="D958" s="4" t="inlineStr"/>
      <c r="E958" s="3" t="inlineStr">
        <is>
          <t>Cái</t>
        </is>
      </c>
      <c r="F958" s="5" t="n">
        <v>1100000</v>
      </c>
      <c r="G958" s="5" t="n">
        <v>1232000</v>
      </c>
      <c r="H958" s="6" t="n">
        <v>1430000</v>
      </c>
      <c r="I958" s="4" t="inlineStr">
        <is>
          <t>Cái 1C/H 20C/T</t>
        </is>
      </c>
    </row>
    <row r="959">
      <c r="A959" s="3" t="n">
        <v>958</v>
      </c>
      <c r="B959" s="3" t="n">
        <v>51</v>
      </c>
      <c r="C959" s="3" t="inlineStr"/>
      <c r="D959" s="4" t="inlineStr"/>
      <c r="E959" s="3" t="inlineStr">
        <is>
          <t>Cái</t>
        </is>
      </c>
      <c r="F959" s="5" t="n">
        <v>1200000</v>
      </c>
      <c r="G959" s="5" t="n">
        <v>1344000</v>
      </c>
      <c r="H959" s="6" t="n">
        <v>1560000</v>
      </c>
      <c r="I959" s="4" t="inlineStr">
        <is>
          <t>Cái 1C/H 20C/T</t>
        </is>
      </c>
    </row>
    <row r="960">
      <c r="A960" s="3" t="n">
        <v>959</v>
      </c>
      <c r="B960" s="3" t="n">
        <v>51</v>
      </c>
      <c r="C960" s="3" t="inlineStr"/>
      <c r="D960" s="4" t="inlineStr"/>
      <c r="E960" s="3" t="inlineStr">
        <is>
          <t>Cái</t>
        </is>
      </c>
      <c r="F960" s="5" t="n">
        <v>1600000</v>
      </c>
      <c r="G960" s="5" t="n">
        <v>1792000</v>
      </c>
      <c r="H960" s="6" t="n">
        <v>2080000</v>
      </c>
      <c r="I960" s="4" t="inlineStr">
        <is>
          <t>Cái 1C/H 20C/T</t>
        </is>
      </c>
    </row>
    <row r="961">
      <c r="A961" s="3" t="n">
        <v>960</v>
      </c>
      <c r="B961" s="3" t="n">
        <v>51</v>
      </c>
      <c r="C961" s="3" t="inlineStr"/>
      <c r="D961" s="4" t="inlineStr"/>
      <c r="E961" s="3" t="inlineStr">
        <is>
          <t>Cái</t>
        </is>
      </c>
      <c r="F961" s="5" t="n">
        <v>1700000</v>
      </c>
      <c r="G961" s="5" t="n">
        <v>1904000</v>
      </c>
      <c r="H961" s="6" t="n">
        <v>2210000</v>
      </c>
      <c r="I961" s="4" t="inlineStr">
        <is>
          <t>Cái 1C/H 20C/T</t>
        </is>
      </c>
    </row>
    <row r="962">
      <c r="A962" s="3" t="n">
        <v>961</v>
      </c>
      <c r="B962" s="3" t="n">
        <v>51</v>
      </c>
      <c r="C962" s="3" t="inlineStr"/>
      <c r="D962" s="4" t="inlineStr"/>
      <c r="E962" s="3" t="inlineStr">
        <is>
          <t>Cái</t>
        </is>
      </c>
      <c r="F962" s="5" t="n">
        <v>1800000</v>
      </c>
      <c r="G962" s="5" t="n">
        <v>2016000</v>
      </c>
      <c r="H962" s="6" t="n">
        <v>2340000</v>
      </c>
      <c r="I962" s="4" t="inlineStr">
        <is>
          <t>Cái 1C/H 20C/T</t>
        </is>
      </c>
    </row>
    <row r="963">
      <c r="A963" s="3" t="n">
        <v>962</v>
      </c>
      <c r="B963" s="3" t="n">
        <v>51</v>
      </c>
      <c r="C963" s="3" t="inlineStr"/>
      <c r="D963" s="4" t="inlineStr"/>
      <c r="E963" s="3" t="inlineStr">
        <is>
          <t>Cái</t>
        </is>
      </c>
      <c r="F963" s="5" t="n">
        <v>1900000</v>
      </c>
      <c r="G963" s="5" t="n">
        <v>2128000</v>
      </c>
      <c r="H963" s="6" t="n">
        <v>2470000</v>
      </c>
      <c r="I963" s="4" t="inlineStr">
        <is>
          <t>Cái 1C/H 20C/T</t>
        </is>
      </c>
    </row>
    <row r="964">
      <c r="A964" s="3" t="n">
        <v>963</v>
      </c>
      <c r="B964" s="3" t="n">
        <v>51</v>
      </c>
      <c r="C964" s="3" t="inlineStr">
        <is>
          <t>1</t>
        </is>
      </c>
      <c r="D964" s="4" t="inlineStr">
        <is>
          <t>Bút thử điện KIC140 KIC140</t>
        </is>
      </c>
      <c r="E964" s="3" t="inlineStr">
        <is>
          <t>Cái</t>
        </is>
      </c>
      <c r="F964" s="5" t="n">
        <v>14000</v>
      </c>
      <c r="G964" s="5" t="n">
        <v>16000</v>
      </c>
      <c r="H964" s="6" t="n">
        <v>20000</v>
      </c>
      <c r="I964" s="4" t="inlineStr">
        <is>
          <t>Cái 30C/H 480C/T</t>
        </is>
      </c>
    </row>
    <row r="965">
      <c r="A965" s="3" t="n">
        <v>964</v>
      </c>
      <c r="B965" s="3" t="n">
        <v>51</v>
      </c>
      <c r="C965" s="3" t="inlineStr">
        <is>
          <t>2</t>
        </is>
      </c>
      <c r="D965" s="4" t="inlineStr">
        <is>
          <t>Bút thử điện KID160 KID160</t>
        </is>
      </c>
      <c r="E965" s="3" t="inlineStr">
        <is>
          <t>Cái</t>
        </is>
      </c>
      <c r="F965" s="5" t="n">
        <v>43000</v>
      </c>
      <c r="G965" s="5" t="n">
        <v>51000</v>
      </c>
      <c r="H965" s="6" t="n">
        <v>62000</v>
      </c>
      <c r="I965" s="4" t="inlineStr">
        <is>
          <t>Cái 24C/H 240C/T Bút thử điện điện tử Dải đo điện áp: 12V-250VMàn hình kép,LCD và đèn(hiển thị số)</t>
        </is>
      </c>
    </row>
    <row r="966">
      <c r="A966" s="3" t="n">
        <v>965</v>
      </c>
      <c r="B966" s="3" t="n">
        <v>51</v>
      </c>
      <c r="C966" s="3" t="inlineStr">
        <is>
          <t>3</t>
        </is>
      </c>
      <c r="D966" s="4" t="inlineStr">
        <is>
          <t>Bút thử điện KIE154 KIE154</t>
        </is>
      </c>
      <c r="E966" s="3" t="inlineStr">
        <is>
          <t>Cái</t>
        </is>
      </c>
      <c r="F966" s="5" t="n">
        <v>61000</v>
      </c>
      <c r="G966" s="5" t="n">
        <v>72000</v>
      </c>
      <c r="H966" s="6" t="n">
        <v>89000</v>
      </c>
      <c r="I966" s="4" t="inlineStr">
        <is>
          <t>Cái 12C/H 96C/T Bút thử điện cảm ứng</t>
        </is>
      </c>
    </row>
    <row r="967">
      <c r="A967" s="3" t="n">
        <v>966</v>
      </c>
      <c r="B967" s="3" t="n">
        <v>51</v>
      </c>
      <c r="C967" s="3" t="inlineStr">
        <is>
          <t>4</t>
        </is>
      </c>
      <c r="D967" s="4" t="inlineStr">
        <is>
          <t>Bút thử điện KIF160 KIF160</t>
        </is>
      </c>
      <c r="E967" s="3" t="inlineStr">
        <is>
          <t>Cái</t>
        </is>
      </c>
      <c r="F967" s="5" t="n">
        <v>121000</v>
      </c>
      <c r="G967" s="5" t="n">
        <v>143000</v>
      </c>
      <c r="H967" s="6" t="n">
        <v>176000</v>
      </c>
      <c r="I967" s="4" t="inlineStr">
        <is>
          <t>Cái 12C/H 96C/T</t>
        </is>
      </c>
    </row>
    <row r="968">
      <c r="A968" s="3" t="n">
        <v>967</v>
      </c>
      <c r="B968" s="3" t="n">
        <v>51</v>
      </c>
      <c r="C968" s="3" t="inlineStr"/>
      <c r="D968" s="4" t="inlineStr"/>
      <c r="E968" s="3" t="inlineStr">
        <is>
          <t>Cái</t>
        </is>
      </c>
      <c r="F968" s="5" t="n">
        <v>1500000</v>
      </c>
      <c r="G968" s="5" t="n">
        <v>1740000</v>
      </c>
      <c r="H968" s="6" t="n">
        <v>2100000</v>
      </c>
      <c r="I968" s="4" t="inlineStr">
        <is>
          <t>Cái 1C/H 8C/T</t>
        </is>
      </c>
    </row>
    <row r="969">
      <c r="A969" s="3" t="n">
        <v>968</v>
      </c>
      <c r="B969" s="3" t="n">
        <v>51</v>
      </c>
      <c r="C969" s="3" t="inlineStr"/>
      <c r="D969" s="4" t="inlineStr"/>
      <c r="E969" s="3" t="inlineStr">
        <is>
          <t>Cái</t>
        </is>
      </c>
      <c r="F969" s="5" t="n">
        <v>1290000</v>
      </c>
      <c r="G969" s="5" t="n">
        <v>1496000</v>
      </c>
      <c r="H969" s="6" t="n">
        <v>1806000</v>
      </c>
      <c r="I969" s="4" t="inlineStr">
        <is>
          <t>Cái 1C/H 10c/T</t>
        </is>
      </c>
    </row>
    <row r="970">
      <c r="A970" s="3" t="n">
        <v>969</v>
      </c>
      <c r="B970" s="3" t="n">
        <v>52</v>
      </c>
      <c r="C970" s="3" t="inlineStr">
        <is>
          <t>1</t>
        </is>
      </c>
      <c r="D970" s="4" t="inlineStr">
        <is>
          <t>KFC</t>
        </is>
      </c>
      <c r="E970" s="3" t="inlineStr">
        <is>
          <t>Cái</t>
        </is>
      </c>
      <c r="F970" s="5" t="n">
        <v>8150</v>
      </c>
      <c r="G970" s="5" t="n">
        <v>210000</v>
      </c>
      <c r="H970" s="6" t="n">
        <v>248000</v>
      </c>
      <c r="I970" s="4" t="inlineStr">
        <is>
          <t>Cái 4C/H 24C/T</t>
        </is>
      </c>
    </row>
    <row r="971">
      <c r="A971" s="3" t="n">
        <v>970</v>
      </c>
      <c r="B971" s="3" t="n">
        <v>52</v>
      </c>
      <c r="C971" s="3" t="inlineStr">
        <is>
          <t>2</t>
        </is>
      </c>
      <c r="D971" s="4" t="inlineStr">
        <is>
          <t>KFC</t>
        </is>
      </c>
      <c r="E971" s="3" t="inlineStr">
        <is>
          <t>Cái</t>
        </is>
      </c>
      <c r="F971" s="5" t="n">
        <v>8200</v>
      </c>
      <c r="G971" s="5" t="n">
        <v>222000</v>
      </c>
      <c r="H971" s="6" t="n">
        <v>262000</v>
      </c>
      <c r="I971" s="4" t="inlineStr">
        <is>
          <t>Cái 4C/H 24C/T</t>
        </is>
      </c>
    </row>
    <row r="972">
      <c r="A972" s="3" t="n">
        <v>971</v>
      </c>
      <c r="B972" s="3" t="n">
        <v>52</v>
      </c>
      <c r="C972" s="3" t="inlineStr">
        <is>
          <t>3</t>
        </is>
      </c>
      <c r="D972" s="4" t="inlineStr">
        <is>
          <t>KFC</t>
        </is>
      </c>
      <c r="E972" s="3" t="inlineStr">
        <is>
          <t>Cái</t>
        </is>
      </c>
      <c r="F972" s="5" t="n">
        <v>8250</v>
      </c>
      <c r="G972" s="5" t="n">
        <v>233000</v>
      </c>
      <c r="H972" s="6" t="n">
        <v>275000</v>
      </c>
      <c r="I972" s="4" t="inlineStr">
        <is>
          <t>Cái 4C/H 24C/T</t>
        </is>
      </c>
    </row>
    <row r="973">
      <c r="A973" s="3" t="n">
        <v>972</v>
      </c>
      <c r="B973" s="3" t="n">
        <v>52</v>
      </c>
      <c r="C973" s="3" t="inlineStr">
        <is>
          <t>4</t>
        </is>
      </c>
      <c r="D973" s="4" t="inlineStr">
        <is>
          <t>KFC</t>
        </is>
      </c>
      <c r="E973" s="3" t="inlineStr">
        <is>
          <t>Cái</t>
        </is>
      </c>
      <c r="F973" s="5" t="n">
        <v>8300</v>
      </c>
      <c r="G973" s="5" t="n">
        <v>245000</v>
      </c>
      <c r="H973" s="6" t="n">
        <v>289000</v>
      </c>
      <c r="I973" s="4" t="inlineStr">
        <is>
          <t>Cái 4C/H 24C/T</t>
        </is>
      </c>
    </row>
    <row r="974">
      <c r="A974" s="3" t="n">
        <v>973</v>
      </c>
      <c r="B974" s="3" t="n">
        <v>52</v>
      </c>
      <c r="C974" s="3" t="inlineStr">
        <is>
          <t>5</t>
        </is>
      </c>
      <c r="D974" s="4" t="inlineStr">
        <is>
          <t>KFC</t>
        </is>
      </c>
      <c r="E974" s="3" t="inlineStr">
        <is>
          <t>Cái</t>
        </is>
      </c>
      <c r="F974" s="5" t="n">
        <v>8450</v>
      </c>
      <c r="G974" s="5" t="n">
        <v>262000</v>
      </c>
      <c r="H974" s="6" t="n">
        <v>309000</v>
      </c>
      <c r="I974" s="4" t="inlineStr">
        <is>
          <t>Cái 4C/H 24C/T</t>
        </is>
      </c>
    </row>
    <row r="975">
      <c r="A975" s="3" t="n">
        <v>974</v>
      </c>
      <c r="B975" s="3" t="n">
        <v>52</v>
      </c>
      <c r="C975" s="3" t="inlineStr">
        <is>
          <t>6</t>
        </is>
      </c>
      <c r="D975" s="4" t="inlineStr">
        <is>
          <t>KFC</t>
        </is>
      </c>
      <c r="E975" s="3" t="inlineStr">
        <is>
          <t>Cái</t>
        </is>
      </c>
      <c r="F975" s="5" t="n">
        <v>12300</v>
      </c>
      <c r="G975" s="5" t="n">
        <v>455000</v>
      </c>
      <c r="H975" s="6" t="n">
        <v>537000</v>
      </c>
      <c r="I975" s="4" t="inlineStr">
        <is>
          <t>Cái 4C/H 16C/T</t>
        </is>
      </c>
    </row>
    <row r="976">
      <c r="A976" s="3" t="n">
        <v>975</v>
      </c>
      <c r="B976" s="3" t="n">
        <v>52</v>
      </c>
      <c r="C976" s="3" t="inlineStr">
        <is>
          <t>7</t>
        </is>
      </c>
      <c r="D976" s="4" t="inlineStr">
        <is>
          <t>KFC</t>
        </is>
      </c>
      <c r="E976" s="3" t="inlineStr">
        <is>
          <t>Cái</t>
        </is>
      </c>
      <c r="F976" s="5" t="n">
        <v>12400</v>
      </c>
      <c r="G976" s="5" t="n">
        <v>490000</v>
      </c>
      <c r="H976" s="6" t="n">
        <v>578000</v>
      </c>
      <c r="I976" s="4" t="inlineStr">
        <is>
          <t>Cái 4C/H 16C/T</t>
        </is>
      </c>
    </row>
    <row r="977">
      <c r="A977" s="3" t="n">
        <v>976</v>
      </c>
      <c r="B977" s="3" t="n">
        <v>52</v>
      </c>
      <c r="C977" s="3" t="inlineStr">
        <is>
          <t>8</t>
        </is>
      </c>
      <c r="D977" s="4" t="inlineStr">
        <is>
          <t>KFC</t>
        </is>
      </c>
      <c r="E977" s="3" t="inlineStr">
        <is>
          <t>Cái</t>
        </is>
      </c>
      <c r="F977" s="5" t="n">
        <v>12500</v>
      </c>
      <c r="G977" s="5" t="n">
        <v>525000</v>
      </c>
      <c r="H977" s="6" t="n">
        <v>619000</v>
      </c>
      <c r="I977" s="4" t="inlineStr">
        <is>
          <t>Cái 4C/H 8C/T</t>
        </is>
      </c>
    </row>
    <row r="978">
      <c r="A978" s="3" t="n">
        <v>977</v>
      </c>
      <c r="B978" s="3" t="n">
        <v>52</v>
      </c>
      <c r="C978" s="3" t="inlineStr">
        <is>
          <t>9</t>
        </is>
      </c>
      <c r="D978" s="4" t="inlineStr">
        <is>
          <t>KFC</t>
        </is>
      </c>
      <c r="E978" s="3" t="inlineStr">
        <is>
          <t>Cái</t>
        </is>
      </c>
      <c r="F978" s="5" t="n">
        <v>12600</v>
      </c>
      <c r="G978" s="5" t="n">
        <v>572000</v>
      </c>
      <c r="H978" s="6" t="n">
        <v>675000</v>
      </c>
      <c r="I978" s="4" t="inlineStr">
        <is>
          <t>Cái 4C/H 8C/T</t>
        </is>
      </c>
    </row>
    <row r="979">
      <c r="A979" s="3" t="n">
        <v>978</v>
      </c>
      <c r="B979" s="3" t="n">
        <v>52</v>
      </c>
      <c r="C979" s="3" t="inlineStr">
        <is>
          <t>10</t>
        </is>
      </c>
      <c r="D979" s="4" t="inlineStr">
        <is>
          <t>KFCN</t>
        </is>
      </c>
      <c r="E979" s="3" t="inlineStr">
        <is>
          <t>Cái</t>
        </is>
      </c>
      <c r="F979" s="5" t="n">
        <v>10200</v>
      </c>
      <c r="G979" s="5" t="n">
        <v>606000</v>
      </c>
      <c r="H979" s="6" t="n">
        <v>715000</v>
      </c>
      <c r="I979" s="4" t="inlineStr">
        <is>
          <t>Cái 2C/H 20C/T</t>
        </is>
      </c>
    </row>
    <row r="980">
      <c r="A980" s="3" t="n">
        <v>979</v>
      </c>
      <c r="B980" s="3" t="n">
        <v>52</v>
      </c>
      <c r="C980" s="3" t="inlineStr">
        <is>
          <t>11</t>
        </is>
      </c>
      <c r="D980" s="4" t="inlineStr">
        <is>
          <t>KFCN</t>
        </is>
      </c>
      <c r="E980" s="3" t="inlineStr">
        <is>
          <t>Cái</t>
        </is>
      </c>
      <c r="F980" s="5" t="n">
        <v>10300</v>
      </c>
      <c r="G980" s="5" t="n">
        <v>641000</v>
      </c>
      <c r="H980" s="6" t="n">
        <v>757000</v>
      </c>
      <c r="I980" s="4" t="inlineStr">
        <is>
          <t>Cái 2C/H 20C/T</t>
        </is>
      </c>
    </row>
    <row r="981">
      <c r="A981" s="3" t="n">
        <v>980</v>
      </c>
      <c r="B981" s="3" t="n">
        <v>52</v>
      </c>
      <c r="C981" s="3" t="inlineStr">
        <is>
          <t>12</t>
        </is>
      </c>
      <c r="D981" s="4" t="inlineStr">
        <is>
          <t>KFCN</t>
        </is>
      </c>
      <c r="E981" s="3" t="inlineStr">
        <is>
          <t>Cái</t>
        </is>
      </c>
      <c r="F981" s="5" t="n">
        <v>10400</v>
      </c>
      <c r="G981" s="5" t="n">
        <v>700000</v>
      </c>
      <c r="H981" s="6" t="n">
        <v>826000</v>
      </c>
      <c r="I981" s="4" t="inlineStr">
        <is>
          <t>Cái 2C/H 10C/T</t>
        </is>
      </c>
    </row>
    <row r="982">
      <c r="A982" s="3" t="n">
        <v>981</v>
      </c>
      <c r="B982" s="3" t="n">
        <v>52</v>
      </c>
      <c r="C982" s="3" t="inlineStr">
        <is>
          <t>13</t>
        </is>
      </c>
      <c r="D982" s="4" t="inlineStr">
        <is>
          <t>KCC2 2"</t>
        </is>
      </c>
      <c r="E982" s="3" t="inlineStr">
        <is>
          <t>Cái</t>
        </is>
      </c>
      <c r="F982" s="5" t="n">
        <v>68000</v>
      </c>
      <c r="G982" s="5" t="n">
        <v>80000</v>
      </c>
      <c r="H982" s="6" t="n">
        <v>99000</v>
      </c>
      <c r="I982" s="4" t="inlineStr">
        <is>
          <t>Cái 12C/H 120C/T</t>
        </is>
      </c>
    </row>
    <row r="983">
      <c r="A983" s="3" t="n">
        <v>982</v>
      </c>
      <c r="B983" s="3" t="n">
        <v>52</v>
      </c>
      <c r="C983" s="3" t="inlineStr">
        <is>
          <t>14</t>
        </is>
      </c>
      <c r="D983" s="4" t="inlineStr">
        <is>
          <t>KCC3 3"</t>
        </is>
      </c>
      <c r="E983" s="3" t="inlineStr">
        <is>
          <t>Cái</t>
        </is>
      </c>
      <c r="F983" s="5" t="n">
        <v>99000</v>
      </c>
      <c r="G983" s="5" t="n">
        <v>117000</v>
      </c>
      <c r="H983" s="6" t="n">
        <v>144000</v>
      </c>
      <c r="I983" s="4" t="inlineStr">
        <is>
          <t>Cái 12C/H 48C/T</t>
        </is>
      </c>
    </row>
    <row r="984">
      <c r="A984" s="3" t="n">
        <v>983</v>
      </c>
      <c r="B984" s="3" t="n">
        <v>52</v>
      </c>
      <c r="C984" s="3" t="inlineStr">
        <is>
          <t>15</t>
        </is>
      </c>
      <c r="D984" s="4" t="inlineStr">
        <is>
          <t>KCC4 4"</t>
        </is>
      </c>
      <c r="E984" s="3" t="inlineStr">
        <is>
          <t>Cái</t>
        </is>
      </c>
      <c r="F984" s="5" t="n">
        <v>132000</v>
      </c>
      <c r="G984" s="5" t="n">
        <v>156000</v>
      </c>
      <c r="H984" s="6" t="n">
        <v>191000</v>
      </c>
      <c r="I984" s="4" t="inlineStr">
        <is>
          <t>Cái 12C/H 36C/T</t>
        </is>
      </c>
    </row>
    <row r="985">
      <c r="A985" s="3" t="n">
        <v>984</v>
      </c>
      <c r="B985" s="3" t="n">
        <v>52</v>
      </c>
      <c r="C985" s="3" t="inlineStr">
        <is>
          <t>16</t>
        </is>
      </c>
      <c r="D985" s="4" t="inlineStr">
        <is>
          <t>KCC5 5"</t>
        </is>
      </c>
      <c r="E985" s="3" t="inlineStr">
        <is>
          <t>Cái</t>
        </is>
      </c>
      <c r="F985" s="5" t="n">
        <v>163000</v>
      </c>
      <c r="G985" s="5" t="n">
        <v>192000</v>
      </c>
      <c r="H985" s="6" t="n">
        <v>236000</v>
      </c>
      <c r="I985" s="4" t="inlineStr">
        <is>
          <t>Cái 6C/H 24C/T</t>
        </is>
      </c>
    </row>
    <row r="986">
      <c r="A986" s="3" t="n">
        <v>985</v>
      </c>
      <c r="B986" s="3" t="n">
        <v>52</v>
      </c>
      <c r="C986" s="3" t="inlineStr">
        <is>
          <t>17</t>
        </is>
      </c>
      <c r="D986" s="4" t="inlineStr">
        <is>
          <t>KCC6 6"</t>
        </is>
      </c>
      <c r="E986" s="3" t="inlineStr">
        <is>
          <t>Cái</t>
        </is>
      </c>
      <c r="F986" s="5" t="n">
        <v>204000</v>
      </c>
      <c r="G986" s="5" t="n">
        <v>241000</v>
      </c>
      <c r="H986" s="6" t="n">
        <v>296000</v>
      </c>
      <c r="I986" s="4" t="inlineStr">
        <is>
          <t>Cái 6C/H 24C/T</t>
        </is>
      </c>
    </row>
    <row r="987">
      <c r="A987" s="3" t="n">
        <v>986</v>
      </c>
      <c r="B987" s="3" t="n">
        <v>52</v>
      </c>
      <c r="C987" s="3" t="inlineStr">
        <is>
          <t>18</t>
        </is>
      </c>
      <c r="D987" s="4" t="inlineStr">
        <is>
          <t>K2C3 3"</t>
        </is>
      </c>
      <c r="E987" s="3" t="inlineStr">
        <is>
          <t>Cái</t>
        </is>
      </c>
      <c r="F987" s="5" t="n">
        <v>198000</v>
      </c>
      <c r="G987" s="5" t="n">
        <v>234000</v>
      </c>
      <c r="H987" s="6" t="n">
        <v>287000</v>
      </c>
      <c r="I987" s="4" t="inlineStr">
        <is>
          <t>Cái 1C/H 60C/T</t>
        </is>
      </c>
    </row>
    <row r="988">
      <c r="A988" s="3" t="n">
        <v>987</v>
      </c>
      <c r="B988" s="3" t="n">
        <v>52</v>
      </c>
      <c r="C988" s="3" t="inlineStr">
        <is>
          <t>19</t>
        </is>
      </c>
      <c r="D988" s="4" t="inlineStr">
        <is>
          <t>K2C4 4"</t>
        </is>
      </c>
      <c r="E988" s="3" t="inlineStr">
        <is>
          <t>Cái</t>
        </is>
      </c>
      <c r="F988" s="5" t="n">
        <v>264000</v>
      </c>
      <c r="G988" s="5" t="n">
        <v>312000</v>
      </c>
      <c r="H988" s="6" t="n">
        <v>383000</v>
      </c>
      <c r="I988" s="4" t="inlineStr">
        <is>
          <t>Cái 1C/H 40C/T</t>
        </is>
      </c>
    </row>
    <row r="989">
      <c r="A989" s="3" t="n">
        <v>988</v>
      </c>
      <c r="B989" s="3" t="n">
        <v>52</v>
      </c>
      <c r="C989" s="3" t="inlineStr">
        <is>
          <t>20</t>
        </is>
      </c>
      <c r="D989" s="4" t="inlineStr">
        <is>
          <t>K2C6 6"</t>
        </is>
      </c>
      <c r="E989" s="3" t="inlineStr">
        <is>
          <t>Cái</t>
        </is>
      </c>
      <c r="F989" s="5" t="n">
        <v>407000</v>
      </c>
      <c r="G989" s="5" t="n">
        <v>480000</v>
      </c>
      <c r="H989" s="6" t="n">
        <v>590000</v>
      </c>
      <c r="I989" s="4" t="inlineStr">
        <is>
          <t>Cái 1C/H 20C/T</t>
        </is>
      </c>
    </row>
    <row r="990">
      <c r="A990" s="3" t="n">
        <v>989</v>
      </c>
      <c r="B990" s="3" t="n">
        <v>52</v>
      </c>
      <c r="C990" s="3" t="inlineStr">
        <is>
          <t>21</t>
        </is>
      </c>
      <c r="D990" s="4" t="inlineStr">
        <is>
          <t>K2C8 8"</t>
        </is>
      </c>
      <c r="E990" s="3" t="inlineStr">
        <is>
          <t>Cái</t>
        </is>
      </c>
      <c r="F990" s="5" t="n">
        <v>671000</v>
      </c>
      <c r="G990" s="5" t="n">
        <v>792000</v>
      </c>
      <c r="H990" s="6" t="n">
        <v>973000</v>
      </c>
      <c r="I990" s="4" t="inlineStr">
        <is>
          <t>Cái 1C/H 10C/T</t>
        </is>
      </c>
    </row>
    <row r="991">
      <c r="A991" s="3" t="n">
        <v>990</v>
      </c>
      <c r="B991" s="3" t="n">
        <v>52</v>
      </c>
      <c r="C991" s="3" t="inlineStr">
        <is>
          <t>22</t>
        </is>
      </c>
      <c r="D991" s="4" t="inlineStr">
        <is>
          <t>K3C3 3"</t>
        </is>
      </c>
      <c r="E991" s="3" t="inlineStr">
        <is>
          <t>Cái</t>
        </is>
      </c>
      <c r="F991" s="5" t="n">
        <v>229000</v>
      </c>
      <c r="G991" s="5" t="n">
        <v>270000</v>
      </c>
      <c r="H991" s="6" t="n">
        <v>332000</v>
      </c>
      <c r="I991" s="4" t="inlineStr">
        <is>
          <t>Cái 1C/H 40C/T</t>
        </is>
      </c>
    </row>
    <row r="992">
      <c r="A992" s="3" t="n">
        <v>991</v>
      </c>
      <c r="B992" s="3" t="n">
        <v>52</v>
      </c>
      <c r="C992" s="3" t="inlineStr">
        <is>
          <t>23</t>
        </is>
      </c>
      <c r="D992" s="4" t="inlineStr">
        <is>
          <t>K3C4 4"</t>
        </is>
      </c>
      <c r="E992" s="3" t="inlineStr">
        <is>
          <t>Cái</t>
        </is>
      </c>
      <c r="F992" s="5" t="n">
        <v>275000</v>
      </c>
      <c r="G992" s="5" t="n">
        <v>325000</v>
      </c>
      <c r="H992" s="6" t="n">
        <v>399000</v>
      </c>
      <c r="I992" s="4" t="inlineStr">
        <is>
          <t>Cái 1C/H 20C/T</t>
        </is>
      </c>
    </row>
    <row r="993">
      <c r="A993" s="3" t="n">
        <v>992</v>
      </c>
      <c r="B993" s="3" t="n">
        <v>52</v>
      </c>
      <c r="C993" s="3" t="inlineStr">
        <is>
          <t>24</t>
        </is>
      </c>
      <c r="D993" s="4" t="inlineStr">
        <is>
          <t>K3C6 6"</t>
        </is>
      </c>
      <c r="E993" s="3" t="inlineStr">
        <is>
          <t>Cái</t>
        </is>
      </c>
      <c r="F993" s="5" t="n">
        <v>385000</v>
      </c>
      <c r="G993" s="5" t="n">
        <v>454000</v>
      </c>
      <c r="H993" s="6" t="n">
        <v>558000</v>
      </c>
      <c r="I993" s="4" t="inlineStr">
        <is>
          <t>Cái 1C/H 20C/T</t>
        </is>
      </c>
    </row>
    <row r="994">
      <c r="A994" s="3" t="n">
        <v>993</v>
      </c>
      <c r="B994" s="3" t="n">
        <v>52</v>
      </c>
      <c r="C994" s="3" t="inlineStr">
        <is>
          <t>25</t>
        </is>
      </c>
      <c r="D994" s="4" t="inlineStr">
        <is>
          <t>K3C8 8"</t>
        </is>
      </c>
      <c r="E994" s="3" t="inlineStr">
        <is>
          <t>Cái</t>
        </is>
      </c>
      <c r="F994" s="5" t="n">
        <v>655000</v>
      </c>
      <c r="G994" s="5" t="n">
        <v>773000</v>
      </c>
      <c r="H994" s="6" t="n">
        <v>950000</v>
      </c>
      <c r="I994" s="4" t="inlineStr">
        <is>
          <t>Cái 1C/H 10C/T</t>
        </is>
      </c>
    </row>
    <row r="995">
      <c r="A995" s="3" t="n">
        <v>994</v>
      </c>
      <c r="B995" s="3" t="n">
        <v>52</v>
      </c>
      <c r="C995" s="3" t="inlineStr">
        <is>
          <t>1</t>
        </is>
      </c>
      <c r="D995" s="4" t="inlineStr">
        <is>
          <t>Cần siết tự động 1/2(72 răng) KLG-01 1/2"</t>
        </is>
      </c>
      <c r="E995" s="3" t="inlineStr">
        <is>
          <t>Cái</t>
        </is>
      </c>
      <c r="F995" s="5" t="n">
        <v>160000</v>
      </c>
      <c r="G995" s="5" t="n">
        <v>189000</v>
      </c>
      <c r="H995" s="6" t="n">
        <v>232000</v>
      </c>
      <c r="I995" s="4" t="inlineStr">
        <is>
          <t>Cái 6C/H 24C/T Thép thép CR-V siêu cứng, chịu lực, chịu nhiệt tốt, không rỉ.</t>
        </is>
      </c>
    </row>
    <row r="996">
      <c r="A996" s="3" t="n">
        <v>995</v>
      </c>
      <c r="B996" s="3" t="n">
        <v>52</v>
      </c>
      <c r="C996" s="3" t="inlineStr">
        <is>
          <t>2</t>
        </is>
      </c>
      <c r="D996" s="4" t="inlineStr">
        <is>
          <t>Cần siết lực(cần nổ) KLC-01 465mm</t>
        </is>
      </c>
      <c r="E996" s="3" t="inlineStr">
        <is>
          <t>Cái</t>
        </is>
      </c>
      <c r="F996" s="5" t="n">
        <v>655000</v>
      </c>
      <c r="G996" s="5" t="n">
        <v>773000</v>
      </c>
      <c r="H996" s="6" t="n">
        <v>950000</v>
      </c>
      <c r="I996" s="4" t="inlineStr">
        <is>
          <t>Cái 1C/H 10C/T 1/2'' . 20-150FT/LB . - IB / 27,1-203,5Nm . độ chính xác +_4%Thép CR-V</t>
        </is>
      </c>
    </row>
    <row r="997">
      <c r="A997" s="3" t="n">
        <v>996</v>
      </c>
      <c r="B997" s="3" t="n">
        <v>52</v>
      </c>
      <c r="C997" s="3" t="inlineStr">
        <is>
          <t>3</t>
        </is>
      </c>
      <c r="D997" s="4" t="inlineStr">
        <is>
          <t>Cần siết tự độngđa năng 8 in 1 KGX-08 8,10,1213,14,1,19,21</t>
        </is>
      </c>
      <c r="E997" s="3" t="inlineStr">
        <is>
          <t>Cái</t>
        </is>
      </c>
      <c r="F997" s="5" t="n">
        <v>319000</v>
      </c>
      <c r="G997" s="5" t="n">
        <v>377000</v>
      </c>
      <c r="H997" s="6" t="n">
        <v>463000</v>
      </c>
      <c r="I997" s="4" t="inlineStr">
        <is>
          <t>Cái 4C/H 24C/T - Thép CR-V siêu cứng, chịu lực, chịu nhiệt tốt, không rỉ- Mỗi đầu cần có cần gạt đổi chiều vặn tùy nhu cầu sử dụng</t>
        </is>
      </c>
    </row>
    <row r="998">
      <c r="A998" s="3" t="n">
        <v>997</v>
      </c>
      <c r="B998" s="3" t="n">
        <v>52</v>
      </c>
      <c r="C998" s="3" t="inlineStr">
        <is>
          <t>1</t>
        </is>
      </c>
      <c r="D998" s="4" t="inlineStr">
        <is>
          <t>KH1-08 8mm</t>
        </is>
      </c>
      <c r="E998" s="3" t="inlineStr">
        <is>
          <t>Cái</t>
        </is>
      </c>
      <c r="F998" s="5" t="n">
        <v>21000</v>
      </c>
      <c r="G998" s="5" t="n">
        <v>25000</v>
      </c>
      <c r="H998" s="6" t="n">
        <v>31000</v>
      </c>
      <c r="I998" s="4" t="inlineStr">
        <is>
          <t>Cái 10C/H 200C/T</t>
        </is>
      </c>
    </row>
    <row r="999">
      <c r="A999" s="3" t="n">
        <v>998</v>
      </c>
      <c r="B999" s="3" t="n">
        <v>52</v>
      </c>
      <c r="C999" s="3" t="inlineStr">
        <is>
          <t>2</t>
        </is>
      </c>
      <c r="D999" s="4" t="inlineStr">
        <is>
          <t>KH1-10 10mm</t>
        </is>
      </c>
      <c r="E999" s="3" t="inlineStr">
        <is>
          <t>Cái</t>
        </is>
      </c>
      <c r="F999" s="5" t="n">
        <v>24000</v>
      </c>
      <c r="G999" s="5" t="n">
        <v>28000</v>
      </c>
      <c r="H999" s="6" t="n">
        <v>35000</v>
      </c>
      <c r="I999" s="4" t="inlineStr">
        <is>
          <t>Cái 10C/H 200C/T</t>
        </is>
      </c>
    </row>
    <row r="1000">
      <c r="A1000" s="3" t="n">
        <v>999</v>
      </c>
      <c r="B1000" s="3" t="n">
        <v>52</v>
      </c>
      <c r="C1000" s="3" t="inlineStr">
        <is>
          <t>3</t>
        </is>
      </c>
      <c r="D1000" s="4" t="inlineStr">
        <is>
          <t>KH1-12 12mm</t>
        </is>
      </c>
      <c r="E1000" s="3" t="inlineStr">
        <is>
          <t>Cái</t>
        </is>
      </c>
      <c r="F1000" s="5" t="n">
        <v>26000</v>
      </c>
      <c r="G1000" s="5" t="n">
        <v>31000</v>
      </c>
      <c r="H1000" s="6" t="n">
        <v>38000</v>
      </c>
      <c r="I1000" s="4" t="inlineStr">
        <is>
          <t>Cái 10C/H 200C/T</t>
        </is>
      </c>
    </row>
    <row r="1001">
      <c r="A1001" s="3" t="n">
        <v>1000</v>
      </c>
      <c r="B1001" s="3" t="n">
        <v>52</v>
      </c>
      <c r="C1001" s="3" t="inlineStr">
        <is>
          <t>4</t>
        </is>
      </c>
      <c r="D1001" s="4" t="inlineStr">
        <is>
          <t>KH1-13 13mm</t>
        </is>
      </c>
      <c r="E1001" s="3" t="inlineStr">
        <is>
          <t>Cái</t>
        </is>
      </c>
      <c r="F1001" s="5" t="n">
        <v>28000</v>
      </c>
      <c r="G1001" s="5" t="n">
        <v>33000</v>
      </c>
      <c r="H1001" s="6" t="n">
        <v>41000</v>
      </c>
      <c r="I1001" s="4" t="inlineStr">
        <is>
          <t>Cái 10C/H 200C/T</t>
        </is>
      </c>
    </row>
    <row r="1002">
      <c r="A1002" s="3" t="n">
        <v>1001</v>
      </c>
      <c r="B1002" s="3" t="n">
        <v>52</v>
      </c>
      <c r="C1002" s="3" t="inlineStr">
        <is>
          <t>5</t>
        </is>
      </c>
      <c r="D1002" s="4" t="inlineStr">
        <is>
          <t>KH1-14 14mm</t>
        </is>
      </c>
      <c r="E1002" s="3" t="inlineStr">
        <is>
          <t>Cái</t>
        </is>
      </c>
      <c r="F1002" s="5" t="n">
        <v>30000</v>
      </c>
      <c r="G1002" s="5" t="n">
        <v>36000</v>
      </c>
      <c r="H1002" s="6" t="n">
        <v>44000</v>
      </c>
      <c r="I1002" s="4" t="inlineStr">
        <is>
          <t>Cái 10C/H 200C/T</t>
        </is>
      </c>
    </row>
    <row r="1003">
      <c r="A1003" s="3" t="n">
        <v>1002</v>
      </c>
      <c r="B1003" s="3" t="n">
        <v>52</v>
      </c>
      <c r="C1003" s="3" t="inlineStr">
        <is>
          <t>6</t>
        </is>
      </c>
      <c r="D1003" s="4" t="inlineStr">
        <is>
          <t>KH1-17 17mm</t>
        </is>
      </c>
      <c r="E1003" s="3" t="inlineStr">
        <is>
          <t>Cái</t>
        </is>
      </c>
      <c r="F1003" s="5" t="n">
        <v>40000</v>
      </c>
      <c r="G1003" s="5" t="n">
        <v>47000</v>
      </c>
      <c r="H1003" s="6" t="n">
        <v>58000</v>
      </c>
      <c r="I1003" s="4" t="inlineStr">
        <is>
          <t>Cái 10C/H 100C/T</t>
        </is>
      </c>
    </row>
    <row r="1004">
      <c r="A1004" s="3" t="n">
        <v>1003</v>
      </c>
      <c r="B1004" s="3" t="n">
        <v>52</v>
      </c>
      <c r="C1004" s="3" t="inlineStr">
        <is>
          <t>7</t>
        </is>
      </c>
      <c r="D1004" s="4" t="inlineStr">
        <is>
          <t>KH1-19 19mm</t>
        </is>
      </c>
      <c r="E1004" s="3" t="inlineStr">
        <is>
          <t>Cái</t>
        </is>
      </c>
      <c r="F1004" s="5" t="n">
        <v>44000</v>
      </c>
      <c r="G1004" s="5" t="n">
        <v>52000</v>
      </c>
      <c r="H1004" s="6" t="n">
        <v>64000</v>
      </c>
      <c r="I1004" s="4" t="inlineStr">
        <is>
          <t>Cái 10C/H 100C/T</t>
        </is>
      </c>
    </row>
    <row r="1005">
      <c r="A1005" s="3" t="n">
        <v>1004</v>
      </c>
      <c r="B1005" s="3" t="n">
        <v>53</v>
      </c>
      <c r="C1005" s="3" t="inlineStr">
        <is>
          <t>8</t>
        </is>
      </c>
      <c r="D1005" s="4" t="inlineStr">
        <is>
          <t>KH1-21 21mm</t>
        </is>
      </c>
      <c r="E1005" s="3" t="inlineStr">
        <is>
          <t>Cái</t>
        </is>
      </c>
      <c r="F1005" s="5" t="n">
        <v>57000</v>
      </c>
      <c r="G1005" s="5" t="n">
        <v>67000</v>
      </c>
      <c r="H1005" s="6" t="n">
        <v>83000</v>
      </c>
      <c r="I1005" s="4" t="inlineStr">
        <is>
          <t>Cái 5C/H 50C/T</t>
        </is>
      </c>
    </row>
    <row r="1006">
      <c r="A1006" s="3" t="n">
        <v>1005</v>
      </c>
      <c r="B1006" s="3" t="n">
        <v>53</v>
      </c>
      <c r="C1006" s="3" t="inlineStr">
        <is>
          <t>9</t>
        </is>
      </c>
      <c r="D1006" s="4" t="inlineStr">
        <is>
          <t>KH1-22 22mm</t>
        </is>
      </c>
      <c r="E1006" s="3" t="inlineStr">
        <is>
          <t>Cái</t>
        </is>
      </c>
      <c r="F1006" s="5" t="n">
        <v>59000</v>
      </c>
      <c r="G1006" s="5" t="n">
        <v>70000</v>
      </c>
      <c r="H1006" s="6" t="n">
        <v>86000</v>
      </c>
      <c r="I1006" s="4" t="inlineStr">
        <is>
          <t>Cái 5C/H 50C/T</t>
        </is>
      </c>
    </row>
    <row r="1007">
      <c r="A1007" s="3" t="n">
        <v>1006</v>
      </c>
      <c r="B1007" s="3" t="n">
        <v>53</v>
      </c>
      <c r="C1007" s="3" t="inlineStr">
        <is>
          <t>10</t>
        </is>
      </c>
      <c r="D1007" s="4" t="inlineStr">
        <is>
          <t>Cờ lê vòng miệng KH1-24 24mm</t>
        </is>
      </c>
      <c r="E1007" s="3" t="inlineStr">
        <is>
          <t>Cái</t>
        </is>
      </c>
      <c r="F1007" s="5" t="n">
        <v>76000</v>
      </c>
      <c r="G1007" s="5" t="n">
        <v>90000</v>
      </c>
      <c r="H1007" s="6" t="n">
        <v>110000</v>
      </c>
      <c r="I1007" s="4" t="inlineStr">
        <is>
          <t>Cái 5C/H 50C/T</t>
        </is>
      </c>
    </row>
    <row r="1008">
      <c r="A1008" s="3" t="n">
        <v>1007</v>
      </c>
      <c r="B1008" s="3" t="n">
        <v>53</v>
      </c>
      <c r="C1008" s="3" t="inlineStr">
        <is>
          <t>11</t>
        </is>
      </c>
      <c r="D1008" s="4" t="inlineStr">
        <is>
          <t>KH1-27 27mm</t>
        </is>
      </c>
      <c r="E1008" s="3" t="inlineStr">
        <is>
          <t>Cái</t>
        </is>
      </c>
      <c r="F1008" s="5" t="n">
        <v>92000</v>
      </c>
      <c r="G1008" s="5" t="n">
        <v>108000</v>
      </c>
      <c r="H1008" s="6" t="n">
        <v>133000</v>
      </c>
      <c r="I1008" s="4" t="inlineStr">
        <is>
          <t>Cái 5C/H 50C/T Thép Carbon mạ cromMua 6 tặng 1</t>
        </is>
      </c>
    </row>
    <row r="1009">
      <c r="A1009" s="3" t="n">
        <v>1008</v>
      </c>
      <c r="B1009" s="3" t="n">
        <v>53</v>
      </c>
      <c r="C1009" s="3" t="inlineStr">
        <is>
          <t>12</t>
        </is>
      </c>
      <c r="D1009" s="4" t="inlineStr">
        <is>
          <t>KH1-30 30mm</t>
        </is>
      </c>
      <c r="E1009" s="3" t="inlineStr">
        <is>
          <t>Cái</t>
        </is>
      </c>
      <c r="F1009" s="5" t="n">
        <v>103000</v>
      </c>
      <c r="G1009" s="5" t="n">
        <v>121000</v>
      </c>
      <c r="H1009" s="6" t="n">
        <v>149000</v>
      </c>
      <c r="I1009" s="4" t="inlineStr">
        <is>
          <t>Cái 5C/H 20C/T</t>
        </is>
      </c>
    </row>
    <row r="1010">
      <c r="A1010" s="3" t="n">
        <v>1009</v>
      </c>
      <c r="B1010" s="3" t="n">
        <v>53</v>
      </c>
      <c r="C1010" s="3" t="inlineStr">
        <is>
          <t>13</t>
        </is>
      </c>
      <c r="D1010" s="4" t="inlineStr">
        <is>
          <t>KH1-32 32mm</t>
        </is>
      </c>
      <c r="E1010" s="3" t="inlineStr">
        <is>
          <t>Cái</t>
        </is>
      </c>
      <c r="F1010" s="5" t="n">
        <v>119000</v>
      </c>
      <c r="G1010" s="5" t="n">
        <v>141000</v>
      </c>
      <c r="H1010" s="6" t="n">
        <v>173000</v>
      </c>
      <c r="I1010" s="4" t="inlineStr">
        <is>
          <t>Cái 5C/H 20C/T</t>
        </is>
      </c>
    </row>
    <row r="1011">
      <c r="A1011" s="3" t="n">
        <v>1010</v>
      </c>
      <c r="B1011" s="3" t="n">
        <v>53</v>
      </c>
      <c r="C1011" s="3" t="inlineStr">
        <is>
          <t>14</t>
        </is>
      </c>
      <c r="D1011" s="4" t="inlineStr">
        <is>
          <t>KH2-08 8mm</t>
        </is>
      </c>
      <c r="E1011" s="3" t="inlineStr">
        <is>
          <t>Cái</t>
        </is>
      </c>
      <c r="F1011" s="5" t="n">
        <v>26000</v>
      </c>
      <c r="G1011" s="5" t="n">
        <v>31000</v>
      </c>
      <c r="H1011" s="6" t="n">
        <v>38000</v>
      </c>
      <c r="I1011" s="4" t="inlineStr">
        <is>
          <t>Cái 10C/H 300C/T</t>
        </is>
      </c>
    </row>
    <row r="1012">
      <c r="A1012" s="3" t="n">
        <v>1011</v>
      </c>
      <c r="B1012" s="3" t="n">
        <v>53</v>
      </c>
      <c r="C1012" s="3" t="inlineStr">
        <is>
          <t>15</t>
        </is>
      </c>
      <c r="D1012" s="4" t="inlineStr">
        <is>
          <t>KH2-10 10mm</t>
        </is>
      </c>
      <c r="E1012" s="3" t="inlineStr">
        <is>
          <t>Cái</t>
        </is>
      </c>
      <c r="F1012" s="5" t="n">
        <v>30000</v>
      </c>
      <c r="G1012" s="5" t="n">
        <v>36000</v>
      </c>
      <c r="H1012" s="6" t="n">
        <v>44000</v>
      </c>
      <c r="I1012" s="4" t="inlineStr">
        <is>
          <t>Cái 10C/H 250C/T</t>
        </is>
      </c>
    </row>
    <row r="1013">
      <c r="A1013" s="3" t="n">
        <v>1012</v>
      </c>
      <c r="B1013" s="3" t="n">
        <v>53</v>
      </c>
      <c r="C1013" s="3" t="inlineStr">
        <is>
          <t>16</t>
        </is>
      </c>
      <c r="D1013" s="4" t="inlineStr">
        <is>
          <t>KH2-12 12mm</t>
        </is>
      </c>
      <c r="E1013" s="3" t="inlineStr">
        <is>
          <t>Cái</t>
        </is>
      </c>
      <c r="F1013" s="5" t="n">
        <v>34000</v>
      </c>
      <c r="G1013" s="5" t="n">
        <v>40000</v>
      </c>
      <c r="H1013" s="6" t="n">
        <v>49000</v>
      </c>
      <c r="I1013" s="4" t="inlineStr">
        <is>
          <t>Cái 10C/H 250C/T</t>
        </is>
      </c>
    </row>
    <row r="1014">
      <c r="A1014" s="3" t="n">
        <v>1013</v>
      </c>
      <c r="B1014" s="3" t="n">
        <v>53</v>
      </c>
      <c r="C1014" s="3" t="inlineStr">
        <is>
          <t>17</t>
        </is>
      </c>
      <c r="D1014" s="4" t="inlineStr">
        <is>
          <t>KH2-13 13mm</t>
        </is>
      </c>
      <c r="E1014" s="3" t="inlineStr">
        <is>
          <t>Cái</t>
        </is>
      </c>
      <c r="F1014" s="5" t="n">
        <v>35000</v>
      </c>
      <c r="G1014" s="5" t="n">
        <v>41000</v>
      </c>
      <c r="H1014" s="6" t="n">
        <v>51000</v>
      </c>
      <c r="I1014" s="4" t="inlineStr">
        <is>
          <t>Cái 10C/H 200C/T</t>
        </is>
      </c>
    </row>
    <row r="1015">
      <c r="A1015" s="3" t="n">
        <v>1014</v>
      </c>
      <c r="B1015" s="3" t="n">
        <v>53</v>
      </c>
      <c r="C1015" s="3" t="inlineStr">
        <is>
          <t>18</t>
        </is>
      </c>
      <c r="D1015" s="4" t="inlineStr">
        <is>
          <t>KH2-14 14mm</t>
        </is>
      </c>
      <c r="E1015" s="3" t="inlineStr">
        <is>
          <t>Cái</t>
        </is>
      </c>
      <c r="F1015" s="5" t="n">
        <v>42000</v>
      </c>
      <c r="G1015" s="5" t="n">
        <v>50000</v>
      </c>
      <c r="H1015" s="6" t="n">
        <v>61000</v>
      </c>
      <c r="I1015" s="4" t="inlineStr">
        <is>
          <t>Cái 10C/H 250C/T</t>
        </is>
      </c>
    </row>
    <row r="1016">
      <c r="A1016" s="3" t="n">
        <v>1015</v>
      </c>
      <c r="B1016" s="3" t="n">
        <v>53</v>
      </c>
      <c r="C1016" s="3" t="inlineStr">
        <is>
          <t>19</t>
        </is>
      </c>
      <c r="D1016" s="4" t="inlineStr">
        <is>
          <t>KH2-17 17mm</t>
        </is>
      </c>
      <c r="E1016" s="3" t="inlineStr">
        <is>
          <t>Cái</t>
        </is>
      </c>
      <c r="F1016" s="5" t="n">
        <v>48000</v>
      </c>
      <c r="G1016" s="5" t="n">
        <v>57000</v>
      </c>
      <c r="H1016" s="6" t="n">
        <v>70000</v>
      </c>
      <c r="I1016" s="4" t="inlineStr">
        <is>
          <t>Cái 10C/H 100C/T</t>
        </is>
      </c>
    </row>
    <row r="1017">
      <c r="A1017" s="3" t="n">
        <v>1016</v>
      </c>
      <c r="B1017" s="3" t="n">
        <v>53</v>
      </c>
      <c r="C1017" s="3" t="inlineStr">
        <is>
          <t>20</t>
        </is>
      </c>
      <c r="D1017" s="4" t="inlineStr">
        <is>
          <t>KH2-19 19mm</t>
        </is>
      </c>
      <c r="E1017" s="3" t="inlineStr">
        <is>
          <t>Cái</t>
        </is>
      </c>
      <c r="F1017" s="5" t="n">
        <v>58000</v>
      </c>
      <c r="G1017" s="5" t="n">
        <v>68000</v>
      </c>
      <c r="H1017" s="6" t="n">
        <v>84000</v>
      </c>
      <c r="I1017" s="4" t="inlineStr">
        <is>
          <t>Cái 5C/H 100C/T</t>
        </is>
      </c>
    </row>
    <row r="1018">
      <c r="A1018" s="3" t="n">
        <v>1017</v>
      </c>
      <c r="B1018" s="3" t="n">
        <v>53</v>
      </c>
      <c r="C1018" s="3" t="inlineStr">
        <is>
          <t>21</t>
        </is>
      </c>
      <c r="D1018" s="4" t="inlineStr">
        <is>
          <t>KH2-22 22mm</t>
        </is>
      </c>
      <c r="E1018" s="3" t="inlineStr">
        <is>
          <t>Cái</t>
        </is>
      </c>
      <c r="F1018" s="5" t="n">
        <v>86000</v>
      </c>
      <c r="G1018" s="5" t="n">
        <v>102000</v>
      </c>
      <c r="H1018" s="6" t="n">
        <v>125000</v>
      </c>
      <c r="I1018" s="4" t="inlineStr">
        <is>
          <t>Cái 5C/H 50C/T</t>
        </is>
      </c>
    </row>
    <row r="1019">
      <c r="A1019" s="3" t="n">
        <v>1018</v>
      </c>
      <c r="B1019" s="3" t="n">
        <v>53</v>
      </c>
      <c r="C1019" s="3" t="inlineStr">
        <is>
          <t>22</t>
        </is>
      </c>
      <c r="D1019" s="4" t="inlineStr">
        <is>
          <t>KH2-24 24mm</t>
        </is>
      </c>
      <c r="E1019" s="3" t="inlineStr">
        <is>
          <t>Cái</t>
        </is>
      </c>
      <c r="F1019" s="5" t="n">
        <v>97000</v>
      </c>
      <c r="G1019" s="5" t="n">
        <v>115000</v>
      </c>
      <c r="H1019" s="6" t="n">
        <v>141000</v>
      </c>
      <c r="I1019" s="4" t="inlineStr">
        <is>
          <t>Cái 5C/H 50C/T</t>
        </is>
      </c>
    </row>
    <row r="1020">
      <c r="A1020" s="3" t="n">
        <v>1019</v>
      </c>
      <c r="B1020" s="3" t="n">
        <v>53</v>
      </c>
      <c r="C1020" s="3" t="inlineStr">
        <is>
          <t>23</t>
        </is>
      </c>
      <c r="D1020" s="4" t="inlineStr">
        <is>
          <t>KH2-27 27mm</t>
        </is>
      </c>
      <c r="E1020" s="3" t="inlineStr">
        <is>
          <t>Cái</t>
        </is>
      </c>
      <c r="F1020" s="5" t="n">
        <v>128000</v>
      </c>
      <c r="G1020" s="5" t="n">
        <v>151000</v>
      </c>
      <c r="H1020" s="6" t="n">
        <v>186000</v>
      </c>
      <c r="I1020" s="4" t="inlineStr">
        <is>
          <t>Cái 5C/H 50C/T</t>
        </is>
      </c>
    </row>
    <row r="1021">
      <c r="A1021" s="3" t="n">
        <v>1020</v>
      </c>
      <c r="B1021" s="3" t="n">
        <v>53</v>
      </c>
      <c r="C1021" s="3" t="inlineStr">
        <is>
          <t>24</t>
        </is>
      </c>
      <c r="D1021" s="4" t="inlineStr">
        <is>
          <t>KH3-08 8mm</t>
        </is>
      </c>
      <c r="E1021" s="3" t="inlineStr">
        <is>
          <t>Cái</t>
        </is>
      </c>
      <c r="F1021" s="5" t="n">
        <v>54000</v>
      </c>
      <c r="G1021" s="5" t="n">
        <v>64000</v>
      </c>
      <c r="H1021" s="6" t="n">
        <v>78000</v>
      </c>
      <c r="I1021" s="4" t="inlineStr">
        <is>
          <t>Cái 10C/H 200C/T</t>
        </is>
      </c>
    </row>
    <row r="1022">
      <c r="A1022" s="3" t="n">
        <v>1021</v>
      </c>
      <c r="B1022" s="3" t="n">
        <v>53</v>
      </c>
      <c r="C1022" s="3" t="inlineStr">
        <is>
          <t>25</t>
        </is>
      </c>
      <c r="D1022" s="4" t="inlineStr">
        <is>
          <t>KH3-10 10mm</t>
        </is>
      </c>
      <c r="E1022" s="3" t="inlineStr">
        <is>
          <t>Cái</t>
        </is>
      </c>
      <c r="F1022" s="5" t="n">
        <v>62000</v>
      </c>
      <c r="G1022" s="5" t="n">
        <v>73000</v>
      </c>
      <c r="H1022" s="6" t="n">
        <v>90000</v>
      </c>
      <c r="I1022" s="4" t="inlineStr">
        <is>
          <t>Cái 10C/H 200C/T</t>
        </is>
      </c>
    </row>
    <row r="1023">
      <c r="A1023" s="3" t="n">
        <v>1022</v>
      </c>
      <c r="B1023" s="3" t="n">
        <v>53</v>
      </c>
      <c r="C1023" s="3" t="inlineStr">
        <is>
          <t>26</t>
        </is>
      </c>
      <c r="D1023" s="4" t="inlineStr">
        <is>
          <t>KH3-12 12mm</t>
        </is>
      </c>
      <c r="E1023" s="3" t="inlineStr">
        <is>
          <t>Cái</t>
        </is>
      </c>
      <c r="F1023" s="5" t="n">
        <v>70000</v>
      </c>
      <c r="G1023" s="5" t="n">
        <v>83000</v>
      </c>
      <c r="H1023" s="6" t="n">
        <v>102000</v>
      </c>
      <c r="I1023" s="4" t="inlineStr">
        <is>
          <t>Cái 10C/H 200C/T</t>
        </is>
      </c>
    </row>
    <row r="1024">
      <c r="A1024" s="3" t="n">
        <v>1023</v>
      </c>
      <c r="B1024" s="3" t="n">
        <v>53</v>
      </c>
      <c r="C1024" s="3" t="inlineStr">
        <is>
          <t>27</t>
        </is>
      </c>
      <c r="D1024" s="4" t="inlineStr">
        <is>
          <t>KH3-13 13mm</t>
        </is>
      </c>
      <c r="E1024" s="3" t="inlineStr">
        <is>
          <t>Cái</t>
        </is>
      </c>
      <c r="F1024" s="5" t="n">
        <v>75000</v>
      </c>
      <c r="G1024" s="5" t="n">
        <v>89000</v>
      </c>
      <c r="H1024" s="6" t="n">
        <v>109000</v>
      </c>
      <c r="I1024" s="4" t="inlineStr">
        <is>
          <t>Cái 10C/H 200C/T</t>
        </is>
      </c>
    </row>
    <row r="1025">
      <c r="A1025" s="3" t="n">
        <v>1024</v>
      </c>
      <c r="B1025" s="3" t="n">
        <v>53</v>
      </c>
      <c r="C1025" s="3" t="inlineStr">
        <is>
          <t>28</t>
        </is>
      </c>
      <c r="D1025" s="4" t="inlineStr">
        <is>
          <t>KH3-14 14mm</t>
        </is>
      </c>
      <c r="E1025" s="3" t="inlineStr">
        <is>
          <t>Cái</t>
        </is>
      </c>
      <c r="F1025" s="5" t="n">
        <v>79000</v>
      </c>
      <c r="G1025" s="5" t="n">
        <v>93000</v>
      </c>
      <c r="H1025" s="6" t="n">
        <v>115000</v>
      </c>
      <c r="I1025" s="4" t="inlineStr">
        <is>
          <t>Cái 10C/H 100C/T</t>
        </is>
      </c>
    </row>
    <row r="1026">
      <c r="A1026" s="3" t="n">
        <v>1025</v>
      </c>
      <c r="B1026" s="3" t="n">
        <v>53</v>
      </c>
      <c r="C1026" s="3" t="inlineStr">
        <is>
          <t>29</t>
        </is>
      </c>
      <c r="D1026" s="4" t="inlineStr">
        <is>
          <t>KH3-17 17mm</t>
        </is>
      </c>
      <c r="E1026" s="3" t="inlineStr">
        <is>
          <t>Cái</t>
        </is>
      </c>
      <c r="F1026" s="5" t="n">
        <v>97000</v>
      </c>
      <c r="G1026" s="5" t="n">
        <v>115000</v>
      </c>
      <c r="H1026" s="6" t="n">
        <v>141000</v>
      </c>
      <c r="I1026" s="4" t="inlineStr">
        <is>
          <t>Cái 5C/H 100C/T</t>
        </is>
      </c>
    </row>
    <row r="1027">
      <c r="A1027" s="3" t="n">
        <v>1026</v>
      </c>
      <c r="B1027" s="3" t="n">
        <v>53</v>
      </c>
      <c r="C1027" s="3" t="inlineStr">
        <is>
          <t>30</t>
        </is>
      </c>
      <c r="D1027" s="4" t="inlineStr">
        <is>
          <t>KH3-19 19mm</t>
        </is>
      </c>
      <c r="E1027" s="3" t="inlineStr">
        <is>
          <t>Cái</t>
        </is>
      </c>
      <c r="F1027" s="5" t="n">
        <v>108000</v>
      </c>
      <c r="G1027" s="5" t="n">
        <v>128000</v>
      </c>
      <c r="H1027" s="6" t="n">
        <v>157000</v>
      </c>
      <c r="I1027" s="4" t="inlineStr">
        <is>
          <t>Cái 5C/H 100C/T</t>
        </is>
      </c>
    </row>
    <row r="1028">
      <c r="A1028" s="3" t="n">
        <v>1027</v>
      </c>
      <c r="B1028" s="3" t="n">
        <v>53</v>
      </c>
      <c r="C1028" s="3" t="inlineStr">
        <is>
          <t>31</t>
        </is>
      </c>
      <c r="D1028" s="4" t="inlineStr">
        <is>
          <t>Bộ cờ lê vòng miệng KH1-B10 8,10,12,13,14,17,19,21,22,24mm</t>
        </is>
      </c>
      <c r="E1028" s="3" t="inlineStr">
        <is>
          <t>Bộ</t>
        </is>
      </c>
      <c r="F1028" s="5" t="n">
        <v>435000</v>
      </c>
      <c r="G1028" s="5" t="n">
        <v>513000</v>
      </c>
      <c r="H1028" s="6" t="n">
        <v>631000</v>
      </c>
      <c r="I1028" s="4" t="inlineStr">
        <is>
          <t>Bộ 1B/H 10B/T Thép Carbon mạ crom</t>
        </is>
      </c>
    </row>
    <row r="1029">
      <c r="A1029" s="3" t="n">
        <v>1028</v>
      </c>
      <c r="B1029" s="3" t="n">
        <v>53</v>
      </c>
      <c r="C1029" s="3" t="inlineStr">
        <is>
          <t>32</t>
        </is>
      </c>
      <c r="D1029" s="4" t="inlineStr">
        <is>
          <t>Bộ cờ lê vòng miệng KH2B9 8,10,12,13,1417,19,22,24mm</t>
        </is>
      </c>
      <c r="E1029" s="3" t="inlineStr">
        <is>
          <t>Bộ</t>
        </is>
      </c>
      <c r="F1029" s="5" t="n">
        <v>572000</v>
      </c>
      <c r="G1029" s="5" t="n">
        <v>675000</v>
      </c>
      <c r="H1029" s="6" t="n">
        <v>829000</v>
      </c>
      <c r="I1029" s="4" t="inlineStr">
        <is>
          <t>Bộ Thép CR-v Tiêu chuẩn 3113</t>
        </is>
      </c>
    </row>
    <row r="1030">
      <c r="A1030" s="3" t="n">
        <v>1029</v>
      </c>
      <c r="B1030" s="3" t="n">
        <v>53</v>
      </c>
      <c r="C1030" s="3" t="inlineStr"/>
      <c r="D1030" s="4" t="inlineStr">
        <is>
          <t>KH3B7 8,10,12,1314,17,19mm</t>
        </is>
      </c>
      <c r="E1030" s="3" t="inlineStr">
        <is>
          <t>Bộ</t>
        </is>
      </c>
      <c r="F1030" s="5" t="n">
        <v>616000</v>
      </c>
      <c r="G1030" s="5" t="n">
        <v>727000</v>
      </c>
      <c r="H1030" s="6" t="n">
        <v>893000</v>
      </c>
      <c r="I1030" s="4" t="inlineStr">
        <is>
          <t>Bộ Thép CR-v</t>
        </is>
      </c>
    </row>
    <row r="1031">
      <c r="A1031" s="3" t="n">
        <v>1030</v>
      </c>
      <c r="B1031" s="3" t="n">
        <v>53</v>
      </c>
      <c r="C1031" s="3" t="inlineStr">
        <is>
          <t>1</t>
        </is>
      </c>
      <c r="D1031" s="4" t="inlineStr">
        <is>
          <t>Công cụ đóng đinh bán tự động KB-ST18</t>
        </is>
      </c>
      <c r="E1031" s="3" t="inlineStr">
        <is>
          <t>Cái</t>
        </is>
      </c>
      <c r="F1031" s="5" t="n">
        <v>242000</v>
      </c>
      <c r="G1031" s="5" t="n">
        <v>286000</v>
      </c>
      <c r="H1031" s="6" t="n">
        <v>351000</v>
      </c>
      <c r="I1031" s="4" t="inlineStr">
        <is>
          <t>Cái 1C/H 50C/T Chất liệu: hợp kim nhôm dày.Sử dụng cho các đinh Φ 2.2mm, dài 15mm hoặc 18mm.</t>
        </is>
      </c>
    </row>
    <row r="1032">
      <c r="A1032" s="3" t="n">
        <v>1031</v>
      </c>
      <c r="B1032" s="3" t="n">
        <v>53</v>
      </c>
      <c r="C1032" s="3" t="inlineStr">
        <is>
          <t>1</t>
        </is>
      </c>
      <c r="D1032" s="4" t="inlineStr">
        <is>
          <t>KJH-01 0.5*18*100mm</t>
        </is>
      </c>
      <c r="E1032" s="3" t="inlineStr">
        <is>
          <t>Cái</t>
        </is>
      </c>
      <c r="F1032" s="5" t="n">
        <v>21000</v>
      </c>
      <c r="G1032" s="5" t="n">
        <v>25000</v>
      </c>
      <c r="H1032" s="6" t="n">
        <v>31000</v>
      </c>
      <c r="I1032" s="4" t="inlineStr">
        <is>
          <t>Cái 24C/H 144C/T Thân nhựa ABS01 Lưỡi dao SK4 Japan</t>
        </is>
      </c>
    </row>
    <row r="1033">
      <c r="A1033" s="3" t="n">
        <v>1032</v>
      </c>
      <c r="B1033" s="3" t="n">
        <v>53</v>
      </c>
      <c r="C1033" s="3" t="inlineStr">
        <is>
          <t>2</t>
        </is>
      </c>
      <c r="D1033" s="4" t="inlineStr">
        <is>
          <t>KJH-02 0.5*18*100mm</t>
        </is>
      </c>
      <c r="E1033" s="3" t="inlineStr">
        <is>
          <t>Cái</t>
        </is>
      </c>
      <c r="F1033" s="5" t="n">
        <v>31000</v>
      </c>
      <c r="G1033" s="5" t="n">
        <v>37000</v>
      </c>
      <c r="H1033" s="6" t="n">
        <v>45000</v>
      </c>
      <c r="I1033" s="4" t="inlineStr">
        <is>
          <t>Cái 24C/H 144C/T Thân nhựa ABS02 Lưỡi dao SK4 Japan</t>
        </is>
      </c>
    </row>
    <row r="1034">
      <c r="A1034" s="3" t="n">
        <v>1033</v>
      </c>
      <c r="B1034" s="3" t="n">
        <v>53</v>
      </c>
      <c r="C1034" s="3" t="inlineStr">
        <is>
          <t>3</t>
        </is>
      </c>
      <c r="D1034" s="4" t="inlineStr">
        <is>
          <t>KJH-A1 9mm</t>
        </is>
      </c>
      <c r="E1034" s="3" t="inlineStr">
        <is>
          <t>Cái</t>
        </is>
      </c>
      <c r="F1034" s="5" t="n">
        <v>10500</v>
      </c>
      <c r="G1034" s="5" t="n">
        <v>12000</v>
      </c>
      <c r="H1034" s="6" t="n">
        <v>15000</v>
      </c>
      <c r="I1034" s="4" t="inlineStr">
        <is>
          <t>Cái 24C/H 288C/T Thép SK4 Japan</t>
        </is>
      </c>
    </row>
    <row r="1035">
      <c r="A1035" s="3" t="n">
        <v>1034</v>
      </c>
      <c r="B1035" s="3" t="n">
        <v>53</v>
      </c>
      <c r="C1035" s="3" t="inlineStr">
        <is>
          <t>4</t>
        </is>
      </c>
      <c r="D1035" s="4" t="inlineStr">
        <is>
          <t>KJH-A2 9mm</t>
        </is>
      </c>
      <c r="E1035" s="3" t="inlineStr">
        <is>
          <t>Cái</t>
        </is>
      </c>
      <c r="F1035" s="5" t="n">
        <v>18000</v>
      </c>
      <c r="G1035" s="5" t="n">
        <v>21000</v>
      </c>
      <c r="H1035" s="6" t="n">
        <v>26000</v>
      </c>
      <c r="I1035" s="4" t="inlineStr">
        <is>
          <t>Cái 24C/H 288C/T Thép SK4 JapanThân bọc nhựa ABS</t>
        </is>
      </c>
    </row>
    <row r="1036">
      <c r="A1036" s="3" t="n">
        <v>1035</v>
      </c>
      <c r="B1036" s="3" t="n">
        <v>53</v>
      </c>
      <c r="C1036" s="3" t="inlineStr">
        <is>
          <t>5</t>
        </is>
      </c>
      <c r="D1036" s="4" t="inlineStr">
        <is>
          <t>KJH-04 0.61*19*59mm</t>
        </is>
      </c>
      <c r="E1036" s="3" t="inlineStr">
        <is>
          <t>Cái</t>
        </is>
      </c>
      <c r="F1036" s="5" t="n">
        <v>121000</v>
      </c>
      <c r="G1036" s="5" t="n">
        <v>143000</v>
      </c>
      <c r="H1036" s="6" t="n">
        <v>176000</v>
      </c>
      <c r="I1036" s="4" t="inlineStr">
        <is>
          <t>Cái 6C/H 72C/T Lưỡi dao thép SK4 Japangồm 02 lưỡi phụ</t>
        </is>
      </c>
    </row>
    <row r="1037">
      <c r="A1037" s="3" t="n">
        <v>1036</v>
      </c>
      <c r="B1037" s="3" t="n">
        <v>53</v>
      </c>
      <c r="C1037" s="3" t="inlineStr">
        <is>
          <t>6</t>
        </is>
      </c>
      <c r="D1037" s="4" t="inlineStr">
        <is>
          <t>KJH-05 0.61*19*59mm</t>
        </is>
      </c>
      <c r="E1037" s="3" t="inlineStr">
        <is>
          <t>Cái</t>
        </is>
      </c>
      <c r="F1037" s="5" t="n">
        <v>119000</v>
      </c>
      <c r="G1037" s="5" t="n">
        <v>141000</v>
      </c>
      <c r="H1037" s="6" t="n">
        <v>173000</v>
      </c>
      <c r="I1037" s="4" t="inlineStr">
        <is>
          <t>Cái 6C/H 72C/T</t>
        </is>
      </c>
    </row>
    <row r="1038">
      <c r="A1038" s="3" t="n">
        <v>1037</v>
      </c>
      <c r="B1038" s="3" t="n">
        <v>53</v>
      </c>
      <c r="C1038" s="3" t="inlineStr">
        <is>
          <t>7</t>
        </is>
      </c>
      <c r="D1038" s="4" t="inlineStr">
        <is>
          <t>KJH-06 0.61*19*59mm</t>
        </is>
      </c>
      <c r="E1038" s="3" t="inlineStr">
        <is>
          <t>Cái</t>
        </is>
      </c>
      <c r="F1038" s="5" t="n">
        <v>171000</v>
      </c>
      <c r="G1038" s="5" t="n">
        <v>202000</v>
      </c>
      <c r="H1038" s="6" t="n">
        <v>248000</v>
      </c>
      <c r="I1038" s="4" t="inlineStr">
        <is>
          <t>Cái 8C/H 48C/T</t>
        </is>
      </c>
    </row>
    <row r="1039">
      <c r="A1039" s="3" t="n">
        <v>1038</v>
      </c>
      <c r="B1039" s="3" t="n">
        <v>54</v>
      </c>
      <c r="C1039" s="3" t="inlineStr">
        <is>
          <t>8</t>
        </is>
      </c>
      <c r="D1039" s="4" t="inlineStr">
        <is>
          <t>JH-100 0.5*18*100mm</t>
        </is>
      </c>
      <c r="E1039" s="3" t="inlineStr">
        <is>
          <t>Vỉ</t>
        </is>
      </c>
      <c r="F1039" s="5" t="n">
        <v>14600</v>
      </c>
      <c r="G1039" s="5" t="n">
        <v>17000</v>
      </c>
      <c r="H1039" s="6" t="n">
        <v>21000</v>
      </c>
      <c r="I1039" s="4" t="inlineStr">
        <is>
          <t>Vỉ 20Vỉ/H 320V/T</t>
        </is>
      </c>
    </row>
    <row r="1040">
      <c r="A1040" s="3" t="n">
        <v>1039</v>
      </c>
      <c r="B1040" s="3" t="n">
        <v>54</v>
      </c>
      <c r="C1040" s="3" t="inlineStr">
        <is>
          <t>9</t>
        </is>
      </c>
      <c r="D1040" s="4" t="inlineStr">
        <is>
          <t>JH-59 0.61*19*59mm</t>
        </is>
      </c>
      <c r="E1040" s="3" t="inlineStr">
        <is>
          <t>Vỉ</t>
        </is>
      </c>
      <c r="F1040" s="5" t="n">
        <v>14600</v>
      </c>
      <c r="G1040" s="5" t="n">
        <v>17000</v>
      </c>
      <c r="H1040" s="6" t="n">
        <v>21000</v>
      </c>
      <c r="I1040" s="4" t="inlineStr">
        <is>
          <t>Vỉ 20Vỉ/H 320V/T</t>
        </is>
      </c>
    </row>
    <row r="1041">
      <c r="A1041" s="3" t="n">
        <v>1040</v>
      </c>
      <c r="B1041" s="3" t="n">
        <v>54</v>
      </c>
      <c r="C1041" s="3" t="inlineStr">
        <is>
          <t>10</t>
        </is>
      </c>
      <c r="D1041" s="4" t="inlineStr">
        <is>
          <t>JH-80 0.35*9*80mm</t>
        </is>
      </c>
      <c r="E1041" s="3" t="inlineStr">
        <is>
          <t>Vỉ</t>
        </is>
      </c>
      <c r="F1041" s="5" t="n">
        <v>12100</v>
      </c>
      <c r="G1041" s="5" t="n">
        <v>14000</v>
      </c>
      <c r="H1041" s="6" t="n">
        <v>18000</v>
      </c>
      <c r="I1041" s="4" t="inlineStr">
        <is>
          <t>Vỉ 20Vỉ/H 400V/T</t>
        </is>
      </c>
    </row>
    <row r="1042">
      <c r="A1042" s="3" t="n">
        <v>1041</v>
      </c>
      <c r="B1042" s="3" t="n">
        <v>54</v>
      </c>
      <c r="C1042" s="3" t="inlineStr">
        <is>
          <t>11</t>
        </is>
      </c>
      <c r="D1042" s="4" t="inlineStr">
        <is>
          <t>Lưỡi dao rọc cáp đa năng JH-06 0,61*19*58mm</t>
        </is>
      </c>
      <c r="E1042" s="3" t="inlineStr">
        <is>
          <t>Vỉ</t>
        </is>
      </c>
      <c r="F1042" s="5" t="n">
        <v>22000</v>
      </c>
      <c r="G1042" s="5" t="n">
        <v>26000</v>
      </c>
      <c r="H1042" s="6" t="n">
        <v>32000</v>
      </c>
      <c r="I1042" s="4" t="inlineStr">
        <is>
          <t>Vỉ 20Vỉ/H 200V/T Chất liệu: Thép SK4 cao cấp, bền bỉ*sử dụng cho dao rọc KJH04, KJH05, KJH06(Giá bán theo vỉ)</t>
        </is>
      </c>
    </row>
    <row r="1043">
      <c r="A1043" s="3" t="n">
        <v>1042</v>
      </c>
      <c r="B1043" s="3" t="n">
        <v>54</v>
      </c>
      <c r="C1043" s="3" t="inlineStr"/>
      <c r="D1043" s="4" t="inlineStr"/>
      <c r="E1043" s="3" t="inlineStr">
        <is>
          <t>Cái</t>
        </is>
      </c>
      <c r="F1043" s="5" t="n">
        <v>585000</v>
      </c>
      <c r="G1043" s="5" t="n">
        <v>655000</v>
      </c>
      <c r="H1043" s="6" t="n">
        <v>761000</v>
      </c>
      <c r="I1043" s="4" t="inlineStr">
        <is>
          <t>Cái 1C/H 30C/T</t>
        </is>
      </c>
    </row>
    <row r="1044">
      <c r="A1044" s="3" t="n">
        <v>1043</v>
      </c>
      <c r="B1044" s="3" t="n">
        <v>54</v>
      </c>
      <c r="C1044" s="3" t="inlineStr"/>
      <c r="D1044" s="4" t="inlineStr"/>
      <c r="E1044" s="3" t="inlineStr">
        <is>
          <t>Cái</t>
        </is>
      </c>
      <c r="F1044" s="5" t="n">
        <v>320000</v>
      </c>
      <c r="G1044" s="5" t="n">
        <v>358000</v>
      </c>
      <c r="H1044" s="6" t="n">
        <v>416000</v>
      </c>
      <c r="I1044" s="4" t="inlineStr">
        <is>
          <t>Cái 1C/H 30C/T</t>
        </is>
      </c>
    </row>
    <row r="1045">
      <c r="A1045" s="3" t="n">
        <v>1044</v>
      </c>
      <c r="B1045" s="3" t="n">
        <v>54</v>
      </c>
      <c r="C1045" s="3" t="inlineStr">
        <is>
          <t>1</t>
        </is>
      </c>
      <c r="D1045" s="4" t="inlineStr">
        <is>
          <t>HK1-50 đường kính cao su: 125mm</t>
        </is>
      </c>
      <c r="E1045" s="3" t="inlineStr">
        <is>
          <t>Cái</t>
        </is>
      </c>
      <c r="F1045" s="5" t="n">
        <v>182000</v>
      </c>
      <c r="G1045" s="5" t="n">
        <v>215000</v>
      </c>
      <c r="H1045" s="6" t="n">
        <v>264000</v>
      </c>
      <c r="I1045" s="4" t="inlineStr">
        <is>
          <t>Cái 1C/H 40/T</t>
        </is>
      </c>
    </row>
    <row r="1046">
      <c r="A1046" s="3" t="n">
        <v>1045</v>
      </c>
      <c r="B1046" s="3" t="n">
        <v>54</v>
      </c>
      <c r="C1046" s="3" t="inlineStr">
        <is>
          <t>2</t>
        </is>
      </c>
      <c r="D1046" s="4" t="inlineStr">
        <is>
          <t>HK2-130 đường kính cao su: 118mm</t>
        </is>
      </c>
      <c r="E1046" s="3" t="inlineStr">
        <is>
          <t>Cái</t>
        </is>
      </c>
      <c r="F1046" s="5" t="n">
        <v>308000</v>
      </c>
      <c r="G1046" s="5" t="n">
        <v>364000</v>
      </c>
      <c r="H1046" s="6" t="n">
        <v>447000</v>
      </c>
      <c r="I1046" s="4" t="inlineStr">
        <is>
          <t>Cái 1C/H 20C/T</t>
        </is>
      </c>
    </row>
    <row r="1047">
      <c r="A1047" s="3" t="n">
        <v>1046</v>
      </c>
      <c r="B1047" s="3" t="n">
        <v>54</v>
      </c>
      <c r="C1047" s="3" t="inlineStr"/>
      <c r="D1047" s="4" t="inlineStr">
        <is>
          <t>HK2-118 đường kính cốc hút: 118mm</t>
        </is>
      </c>
      <c r="E1047" s="3" t="inlineStr">
        <is>
          <t>Cái</t>
        </is>
      </c>
      <c r="F1047" s="5" t="n">
        <v>438000</v>
      </c>
      <c r="G1047" s="5" t="n">
        <v>517000</v>
      </c>
      <c r="H1047" s="6" t="n">
        <v>635000</v>
      </c>
      <c r="I1047" s="4" t="inlineStr">
        <is>
          <t>Cái 1C/H 20C/T Chất liệu cao su: Buna-N tuổi thọ 2 nămChất liệu tay cầm: Nhôm cao cấp có ren vặn căn chỉnhLực hút dọc: 100 kg</t>
        </is>
      </c>
    </row>
    <row r="1048">
      <c r="A1048" s="3" t="n">
        <v>1047</v>
      </c>
      <c r="B1048" s="3" t="n">
        <v>54</v>
      </c>
      <c r="C1048" s="3" t="inlineStr">
        <is>
          <t>4</t>
        </is>
      </c>
      <c r="D1048" s="4" t="inlineStr">
        <is>
          <t>Hít kính điện tử HKE-200 đường kính cốc hút: 200mm</t>
        </is>
      </c>
      <c r="E1048" s="3" t="inlineStr">
        <is>
          <t>Cái</t>
        </is>
      </c>
      <c r="F1048" s="5" t="n">
        <v>583000</v>
      </c>
      <c r="G1048" s="5" t="n">
        <v>676000</v>
      </c>
      <c r="H1048" s="6" t="n">
        <v>816000</v>
      </c>
      <c r="I1048" s="4" t="inlineStr">
        <is>
          <t>Cái 1C/H 10C/T</t>
        </is>
      </c>
    </row>
    <row r="1049">
      <c r="A1049" s="3" t="n">
        <v>1048</v>
      </c>
      <c r="B1049" s="3" t="n">
        <v>54</v>
      </c>
      <c r="C1049" s="3" t="inlineStr">
        <is>
          <t>5</t>
        </is>
      </c>
      <c r="D1049" s="4" t="inlineStr">
        <is>
          <t>Hít gạch điện tử HKE-924 Kích Thước240 x 90 x 105</t>
        </is>
      </c>
      <c r="E1049" s="3" t="inlineStr">
        <is>
          <t>Cái</t>
        </is>
      </c>
      <c r="F1049" s="5" t="n">
        <v>680000</v>
      </c>
      <c r="G1049" s="5" t="n">
        <v>789000</v>
      </c>
      <c r="H1049" s="6" t="n">
        <v>952000</v>
      </c>
      <c r="I1049" s="4" t="inlineStr">
        <is>
          <t>Cái 1C/H 20C/T</t>
        </is>
      </c>
    </row>
    <row r="1050">
      <c r="A1050" s="3" t="n">
        <v>1049</v>
      </c>
      <c r="B1050" s="3" t="n">
        <v>54</v>
      </c>
      <c r="C1050" s="3" t="inlineStr">
        <is>
          <t>1</t>
        </is>
      </c>
      <c r="D1050" s="4" t="inlineStr">
        <is>
          <t>Kích nâng gạch NG107 1-7cm</t>
        </is>
      </c>
      <c r="E1050" s="3" t="inlineStr">
        <is>
          <t>Cái</t>
        </is>
      </c>
      <c r="F1050" s="5" t="n">
        <v>105000</v>
      </c>
      <c r="G1050" s="5" t="n">
        <v>124000</v>
      </c>
      <c r="H1050" s="6" t="n">
        <v>152000</v>
      </c>
      <c r="I1050" s="4" t="inlineStr">
        <is>
          <t>Cái 1C/H 40C/T Thép hợp kim có độ bền cao</t>
        </is>
      </c>
    </row>
    <row r="1051">
      <c r="A1051" s="3" t="n">
        <v>1050</v>
      </c>
      <c r="B1051" s="3" t="n">
        <v>54</v>
      </c>
      <c r="C1051" s="3" t="inlineStr">
        <is>
          <t>1</t>
        </is>
      </c>
      <c r="D1051" s="4" t="inlineStr">
        <is>
          <t>KPC-132 3-32mm</t>
        </is>
      </c>
      <c r="E1051" s="3" t="inlineStr">
        <is>
          <t>Cái</t>
        </is>
      </c>
      <c r="F1051" s="5" t="n">
        <v>101000</v>
      </c>
      <c r="G1051" s="5" t="n">
        <v>119000</v>
      </c>
      <c r="H1051" s="6" t="n">
        <v>147000</v>
      </c>
      <c r="I1051" s="4" t="inlineStr">
        <is>
          <t>Cái 12C/H 72C/T Nhôm đúc cao cấpLưỡi dao thép SK5 Nhật Bản</t>
        </is>
      </c>
    </row>
    <row r="1052">
      <c r="A1052" s="3" t="n">
        <v>1051</v>
      </c>
      <c r="B1052" s="3" t="n">
        <v>54</v>
      </c>
      <c r="C1052" s="3" t="inlineStr">
        <is>
          <t>2</t>
        </is>
      </c>
      <c r="D1052" s="4" t="inlineStr">
        <is>
          <t>KPC-042</t>
        </is>
      </c>
      <c r="E1052" s="3" t="inlineStr">
        <is>
          <t>Cái</t>
        </is>
      </c>
      <c r="F1052" s="5" t="n">
        <v>102000</v>
      </c>
      <c r="G1052" s="5" t="n">
        <v>120000</v>
      </c>
      <c r="H1052" s="6" t="n">
        <v>148000</v>
      </c>
      <c r="I1052" s="4" t="inlineStr">
        <is>
          <t>Cái 10C/H 60C/T Cán hợp kim nhômChuyên cắt ống PVC, PPR, PE, PEX và các loại ống nhựa khác.</t>
        </is>
      </c>
    </row>
    <row r="1053">
      <c r="A1053" s="3" t="n">
        <v>1052</v>
      </c>
      <c r="B1053" s="3" t="n">
        <v>54</v>
      </c>
      <c r="C1053" s="3" t="inlineStr">
        <is>
          <t>3</t>
        </is>
      </c>
      <c r="D1053" s="4" t="inlineStr">
        <is>
          <t>KPC-042 (NEW)</t>
        </is>
      </c>
      <c r="E1053" s="3" t="inlineStr">
        <is>
          <t>Cái</t>
        </is>
      </c>
      <c r="F1053" s="5" t="n">
        <v>106000</v>
      </c>
      <c r="G1053" s="5" t="n">
        <v>125000</v>
      </c>
      <c r="H1053" s="6" t="n">
        <v>154000</v>
      </c>
      <c r="I1053" s="4" t="inlineStr">
        <is>
          <t>Cái 10C/H 60C/T</t>
        </is>
      </c>
    </row>
    <row r="1054">
      <c r="A1054" s="3" t="n">
        <v>1053</v>
      </c>
      <c r="B1054" s="3" t="n">
        <v>54</v>
      </c>
      <c r="C1054" s="3" t="inlineStr"/>
      <c r="D1054" s="4" t="inlineStr"/>
      <c r="E1054" s="3" t="inlineStr">
        <is>
          <t>Cái</t>
        </is>
      </c>
      <c r="F1054" s="5" t="n">
        <v>134000</v>
      </c>
      <c r="G1054" s="5" t="n">
        <v>158000</v>
      </c>
      <c r="H1054" s="6" t="n">
        <v>194000</v>
      </c>
      <c r="I1054" s="4" t="inlineStr">
        <is>
          <t>Cái 6C/H 48C/T</t>
        </is>
      </c>
    </row>
    <row r="1055">
      <c r="A1055" s="3" t="n">
        <v>1054</v>
      </c>
      <c r="B1055" s="3" t="n">
        <v>54</v>
      </c>
      <c r="C1055" s="3" t="inlineStr">
        <is>
          <t>5</t>
        </is>
      </c>
      <c r="D1055" s="4" t="inlineStr">
        <is>
          <t>KPC-242 42mm</t>
        </is>
      </c>
      <c r="E1055" s="3" t="inlineStr">
        <is>
          <t>Cái</t>
        </is>
      </c>
      <c r="F1055" s="5" t="n">
        <v>172000</v>
      </c>
      <c r="G1055" s="5" t="n">
        <v>203000</v>
      </c>
      <c r="H1055" s="6" t="n">
        <v>249000</v>
      </c>
      <c r="I1055" s="4" t="inlineStr">
        <is>
          <t>Cái 6C/H 24C/T Cán hợp kim nhômLưỡi thép Không ghỉ</t>
        </is>
      </c>
    </row>
    <row r="1056">
      <c r="A1056" s="3" t="n">
        <v>1055</v>
      </c>
      <c r="B1056" s="3" t="n">
        <v>54</v>
      </c>
      <c r="C1056" s="3" t="inlineStr">
        <is>
          <t>6</t>
        </is>
      </c>
      <c r="D1056" s="4" t="inlineStr">
        <is>
          <t>KPC-164 64mm</t>
        </is>
      </c>
      <c r="E1056" s="3" t="inlineStr">
        <is>
          <t>Cái</t>
        </is>
      </c>
      <c r="F1056" s="5" t="n">
        <v>262000</v>
      </c>
      <c r="G1056" s="5" t="n">
        <v>309000</v>
      </c>
      <c r="H1056" s="6" t="n">
        <v>380000</v>
      </c>
      <c r="I1056" s="4" t="inlineStr">
        <is>
          <t>Cái 6C/H 24C/T Cán hợp kim nhômLưỡi SK5</t>
        </is>
      </c>
    </row>
    <row r="1057">
      <c r="A1057" s="3" t="n">
        <v>1056</v>
      </c>
      <c r="B1057" s="3" t="n">
        <v>55</v>
      </c>
      <c r="C1057" s="3" t="inlineStr">
        <is>
          <t>7</t>
        </is>
      </c>
      <c r="D1057" s="4" t="inlineStr">
        <is>
          <t>Dao cắt ống kim loại KPG-032 Phạm vi cắt: 4 - 32mm (1/8” - 1 1/4”)</t>
        </is>
      </c>
      <c r="E1057" s="3" t="inlineStr">
        <is>
          <t>Cái</t>
        </is>
      </c>
      <c r="F1057" s="5" t="n">
        <v>259000</v>
      </c>
      <c r="G1057" s="5" t="n">
        <v>306000</v>
      </c>
      <c r="H1057" s="6" t="n">
        <v>376000</v>
      </c>
      <c r="I1057" s="4" t="inlineStr">
        <is>
          <t>Cái 4C/H 32C/T</t>
        </is>
      </c>
    </row>
    <row r="1058">
      <c r="A1058" s="3" t="n">
        <v>1057</v>
      </c>
      <c r="B1058" s="3" t="n">
        <v>55</v>
      </c>
      <c r="C1058" s="3" t="inlineStr"/>
      <c r="D1058" s="4" t="inlineStr"/>
      <c r="E1058" s="3" t="inlineStr">
        <is>
          <t>Cái</t>
        </is>
      </c>
      <c r="F1058" s="5" t="n">
        <v>286000</v>
      </c>
      <c r="G1058" s="5" t="n">
        <v>338000</v>
      </c>
      <c r="H1058" s="6" t="n">
        <v>415000</v>
      </c>
      <c r="I1058" s="4" t="inlineStr">
        <is>
          <t>Cái 1C/vỉ25C/H 100C/T</t>
        </is>
      </c>
    </row>
    <row r="1059">
      <c r="A1059" s="3" t="n">
        <v>1058</v>
      </c>
      <c r="B1059" s="3" t="n">
        <v>55</v>
      </c>
      <c r="C1059" s="3" t="inlineStr">
        <is>
          <t>9</t>
        </is>
      </c>
      <c r="D1059" s="4" t="inlineStr">
        <is>
          <t>Dao cắt ống đồng KPG-042 42mm</t>
        </is>
      </c>
      <c r="E1059" s="3" t="inlineStr">
        <is>
          <t>Cái</t>
        </is>
      </c>
      <c r="F1059" s="5" t="n">
        <v>216000</v>
      </c>
      <c r="G1059" s="5" t="n">
        <v>255000</v>
      </c>
      <c r="H1059" s="6" t="n">
        <v>313000</v>
      </c>
      <c r="I1059" s="4" t="inlineStr">
        <is>
          <t>Cái 6C/H 24C/T Nhôm nguyên khốiĐường kính cắt 1/4" đến 1-5/8", Có kèm 1 lưỡi phụ</t>
        </is>
      </c>
    </row>
    <row r="1060">
      <c r="A1060" s="3" t="n">
        <v>1059</v>
      </c>
      <c r="B1060" s="3" t="n">
        <v>55</v>
      </c>
      <c r="C1060" s="3" t="inlineStr">
        <is>
          <t>10</t>
        </is>
      </c>
      <c r="D1060" s="4" t="inlineStr">
        <is>
          <t>Kéo cắt góc nẹp điện KPQ-32  35mm</t>
        </is>
      </c>
      <c r="E1060" s="3" t="inlineStr">
        <is>
          <t>Cái</t>
        </is>
      </c>
      <c r="F1060" s="5" t="n">
        <v>163000</v>
      </c>
      <c r="G1060" s="5" t="n">
        <v>192000</v>
      </c>
      <c r="H1060" s="6" t="n">
        <v>236000</v>
      </c>
      <c r="I1060" s="4" t="inlineStr">
        <is>
          <t>Cái 8C/H 32C/T  hợp kim thép không gỉ lưỡi thép SK5 Nhật Bản</t>
        </is>
      </c>
    </row>
    <row r="1061">
      <c r="A1061" s="3" t="n">
        <v>1060</v>
      </c>
      <c r="B1061" s="3" t="n">
        <v>55</v>
      </c>
      <c r="C1061" s="3" t="inlineStr">
        <is>
          <t>11</t>
        </is>
      </c>
      <c r="D1061" s="4" t="inlineStr">
        <is>
          <t>KCT-250 10"</t>
        </is>
      </c>
      <c r="E1061" s="3" t="inlineStr">
        <is>
          <t>Cái</t>
        </is>
      </c>
      <c r="F1061" s="5" t="n">
        <v>105000</v>
      </c>
      <c r="G1061" s="5" t="n">
        <v>124000</v>
      </c>
      <c r="H1061" s="6" t="n">
        <v>152000</v>
      </c>
      <c r="I1061" s="4" t="inlineStr">
        <is>
          <t>Cái 6C/H 36C/T Cán thép carbon bọc nhựa, lưỡi thép CrMo</t>
        </is>
      </c>
    </row>
    <row r="1062">
      <c r="A1062" s="3" t="n">
        <v>1061</v>
      </c>
      <c r="B1062" s="3" t="n">
        <v>55</v>
      </c>
      <c r="C1062" s="3" t="inlineStr">
        <is>
          <t>12</t>
        </is>
      </c>
      <c r="D1062" s="4" t="inlineStr">
        <is>
          <t>KDT-250 10"</t>
        </is>
      </c>
      <c r="E1062" s="3" t="inlineStr">
        <is>
          <t>Cái</t>
        </is>
      </c>
      <c r="F1062" s="5" t="n">
        <v>116000</v>
      </c>
      <c r="G1062" s="5" t="n">
        <v>137000</v>
      </c>
      <c r="H1062" s="6" t="n">
        <v>168000</v>
      </c>
      <c r="I1062" s="4" t="inlineStr">
        <is>
          <t>Cái 6C/H 36C/T Thép carbon</t>
        </is>
      </c>
    </row>
    <row r="1063">
      <c r="A1063" s="3" t="n">
        <v>1062</v>
      </c>
      <c r="B1063" s="3" t="n">
        <v>55</v>
      </c>
      <c r="C1063" s="3" t="inlineStr">
        <is>
          <t>13</t>
        </is>
      </c>
      <c r="D1063" s="4" t="inlineStr">
        <is>
          <t>KDT-300 12"</t>
        </is>
      </c>
      <c r="E1063" s="3" t="inlineStr">
        <is>
          <t>Cái</t>
        </is>
      </c>
      <c r="F1063" s="5" t="n">
        <v>143000</v>
      </c>
      <c r="G1063" s="5" t="n">
        <v>169000</v>
      </c>
      <c r="H1063" s="6" t="n">
        <v>207000</v>
      </c>
      <c r="I1063" s="4" t="inlineStr">
        <is>
          <t>Cái 6C/H 30C/T Thép carbon</t>
        </is>
      </c>
    </row>
    <row r="1064">
      <c r="A1064" s="3" t="n">
        <v>1063</v>
      </c>
      <c r="B1064" s="3" t="n">
        <v>55</v>
      </c>
      <c r="C1064" s="3" t="inlineStr">
        <is>
          <t>14</t>
        </is>
      </c>
      <c r="D1064" s="4" t="inlineStr">
        <is>
          <t>KET-250S 10"</t>
        </is>
      </c>
      <c r="E1064" s="3" t="inlineStr">
        <is>
          <t>Cái</t>
        </is>
      </c>
      <c r="F1064" s="5" t="n">
        <v>108000</v>
      </c>
      <c r="G1064" s="5" t="n">
        <v>128000</v>
      </c>
      <c r="H1064" s="6" t="n">
        <v>157000</v>
      </c>
      <c r="I1064" s="4" t="inlineStr">
        <is>
          <t>Cái 6C/H 36C/T</t>
        </is>
      </c>
    </row>
    <row r="1065">
      <c r="A1065" s="3" t="n">
        <v>1064</v>
      </c>
      <c r="B1065" s="3" t="n">
        <v>55</v>
      </c>
      <c r="C1065" s="3" t="inlineStr">
        <is>
          <t>15</t>
        </is>
      </c>
      <c r="D1065" s="4" t="inlineStr">
        <is>
          <t>KET-300S 12"</t>
        </is>
      </c>
      <c r="E1065" s="3" t="inlineStr">
        <is>
          <t>Cái</t>
        </is>
      </c>
      <c r="F1065" s="5" t="n">
        <v>132000</v>
      </c>
      <c r="G1065" s="5" t="n">
        <v>156000</v>
      </c>
      <c r="H1065" s="6" t="n">
        <v>191000</v>
      </c>
      <c r="I1065" s="4" t="inlineStr">
        <is>
          <t>Cái 6C/H 36C/T</t>
        </is>
      </c>
    </row>
    <row r="1066">
      <c r="A1066" s="3" t="n">
        <v>1065</v>
      </c>
      <c r="B1066" s="3" t="n">
        <v>55</v>
      </c>
      <c r="C1066" s="3" t="inlineStr">
        <is>
          <t>1</t>
        </is>
      </c>
      <c r="D1066" s="4" t="inlineStr">
        <is>
          <t>KS1-250 10"độ mở: 33mm</t>
        </is>
      </c>
      <c r="E1066" s="3" t="inlineStr">
        <is>
          <t>Cái</t>
        </is>
      </c>
      <c r="F1066" s="5" t="n">
        <v>132000</v>
      </c>
      <c r="G1066" s="5" t="n">
        <v>156000</v>
      </c>
      <c r="H1066" s="6" t="n">
        <v>191000</v>
      </c>
      <c r="I1066" s="4" t="inlineStr">
        <is>
          <t>Cái 6C/H 36C/T Thép Cr- Mo(Cờ-rôm Mô-líp-đen)có khả năng chống va đập, sức mạnh và độ dẻo dai tuyệt vời</t>
        </is>
      </c>
    </row>
    <row r="1067">
      <c r="A1067" s="3" t="n">
        <v>1066</v>
      </c>
      <c r="B1067" s="3" t="n">
        <v>55</v>
      </c>
      <c r="C1067" s="3" t="inlineStr">
        <is>
          <t>2</t>
        </is>
      </c>
      <c r="D1067" s="4" t="inlineStr">
        <is>
          <t>KS2-250 10"độ mở: 48mm</t>
        </is>
      </c>
      <c r="E1067" s="3" t="inlineStr">
        <is>
          <t>Cái</t>
        </is>
      </c>
      <c r="F1067" s="5" t="n">
        <v>149000</v>
      </c>
      <c r="G1067" s="5" t="n">
        <v>176000</v>
      </c>
      <c r="H1067" s="6" t="n">
        <v>216000</v>
      </c>
      <c r="I1067" s="4" t="inlineStr">
        <is>
          <t>Cái 6C/H 36C/T Thép  Cr-MoCán bọc nhựa chống trượt</t>
        </is>
      </c>
    </row>
    <row r="1068">
      <c r="A1068" s="3" t="n">
        <v>1067</v>
      </c>
      <c r="B1068" s="3" t="n">
        <v>55</v>
      </c>
      <c r="C1068" s="3" t="inlineStr">
        <is>
          <t>3</t>
        </is>
      </c>
      <c r="D1068" s="4" t="inlineStr">
        <is>
          <t>KS4-260 10"độ mở: 100mm</t>
        </is>
      </c>
      <c r="E1068" s="3" t="inlineStr">
        <is>
          <t>Cái</t>
        </is>
      </c>
      <c r="F1068" s="5" t="n">
        <v>270000</v>
      </c>
      <c r="G1068" s="5" t="n">
        <v>319000</v>
      </c>
      <c r="H1068" s="6" t="n">
        <v>392000</v>
      </c>
      <c r="I1068" s="4" t="inlineStr">
        <is>
          <t>Cái 6C/H 36C/T Thép CRVMỏ cong có điều chỉnh 4 độ mở</t>
        </is>
      </c>
    </row>
    <row r="1069">
      <c r="A1069" s="3" t="n">
        <v>1068</v>
      </c>
      <c r="B1069" s="3" t="n">
        <v>55</v>
      </c>
      <c r="C1069" s="3" t="inlineStr">
        <is>
          <t>4</t>
        </is>
      </c>
      <c r="D1069" s="4" t="inlineStr">
        <is>
          <t>Kìm chết mỏ nhọn KS-216 8.5"độ mở: 75mm</t>
        </is>
      </c>
      <c r="E1069" s="3" t="inlineStr">
        <is>
          <t>Cái</t>
        </is>
      </c>
      <c r="F1069" s="5" t="n">
        <v>132000</v>
      </c>
      <c r="G1069" s="5" t="n">
        <v>156000</v>
      </c>
      <c r="H1069" s="6" t="n">
        <v>191000</v>
      </c>
      <c r="I1069" s="4" t="inlineStr">
        <is>
          <t>Cái 6C/H 48C/T Thép CrvĐộ mở max 70mm</t>
        </is>
      </c>
    </row>
    <row r="1070">
      <c r="A1070" s="3" t="n">
        <v>1069</v>
      </c>
      <c r="B1070" s="3" t="n">
        <v>55</v>
      </c>
      <c r="C1070" s="3" t="inlineStr">
        <is>
          <t>5</t>
        </is>
      </c>
      <c r="D1070" s="4" t="inlineStr">
        <is>
          <t>Kìm chết ngàm rộng KS-264 10"độ mở: 200mm</t>
        </is>
      </c>
      <c r="E1070" s="3" t="inlineStr">
        <is>
          <t>Cái</t>
        </is>
      </c>
      <c r="F1070" s="5" t="n">
        <v>352000</v>
      </c>
      <c r="G1070" s="5" t="n">
        <v>415000</v>
      </c>
      <c r="H1070" s="6" t="n">
        <v>510000</v>
      </c>
      <c r="I1070" s="4" t="inlineStr">
        <is>
          <t>Cái 1C/H 12C/T Thép Carbon</t>
        </is>
      </c>
    </row>
    <row r="1071">
      <c r="A1071" s="3" t="n">
        <v>1070</v>
      </c>
      <c r="B1071" s="3" t="n">
        <v>55</v>
      </c>
      <c r="C1071" s="3" t="inlineStr">
        <is>
          <t>6</t>
        </is>
      </c>
      <c r="D1071" s="4" t="inlineStr">
        <is>
          <t>Kìm chết mỏ dẹt KS5-254 10"-254mm</t>
        </is>
      </c>
      <c r="E1071" s="3" t="inlineStr">
        <is>
          <t>Cái</t>
        </is>
      </c>
      <c r="F1071" s="5" t="n">
        <v>176000</v>
      </c>
      <c r="G1071" s="5" t="n">
        <v>208000</v>
      </c>
      <c r="H1071" s="6" t="n">
        <v>255000</v>
      </c>
      <c r="I1071" s="4" t="inlineStr">
        <is>
          <t>Cái 2C/H 16C/T</t>
        </is>
      </c>
    </row>
    <row r="1072">
      <c r="A1072" s="3" t="n">
        <v>1071</v>
      </c>
      <c r="B1072" s="3" t="n">
        <v>55</v>
      </c>
      <c r="C1072" s="3" t="inlineStr">
        <is>
          <t>7</t>
        </is>
      </c>
      <c r="D1072" s="4" t="inlineStr">
        <is>
          <t>Kìm chết chữ C KS3-208 11"-208mm</t>
        </is>
      </c>
      <c r="E1072" s="3" t="inlineStr">
        <is>
          <t>Cái</t>
        </is>
      </c>
      <c r="F1072" s="5" t="n">
        <v>132000</v>
      </c>
      <c r="G1072" s="5" t="n">
        <v>156000</v>
      </c>
      <c r="H1072" s="6" t="n">
        <v>191000</v>
      </c>
      <c r="I1072" s="4" t="inlineStr">
        <is>
          <t>Cái 6C/H 24C/T Thép carbon</t>
        </is>
      </c>
    </row>
    <row r="1073">
      <c r="A1073" s="3" t="n">
        <v>1072</v>
      </c>
      <c r="B1073" s="3" t="n">
        <v>55</v>
      </c>
      <c r="C1073" s="3" t="inlineStr">
        <is>
          <t>8</t>
        </is>
      </c>
      <c r="D1073" s="4" t="inlineStr">
        <is>
          <t>Kìm chết chữ C ngàm rộng KS3-305 12"-305mm</t>
        </is>
      </c>
      <c r="E1073" s="3" t="inlineStr">
        <is>
          <t>Cái</t>
        </is>
      </c>
      <c r="F1073" s="5" t="n">
        <v>352000</v>
      </c>
      <c r="G1073" s="5" t="n">
        <v>415000</v>
      </c>
      <c r="H1073" s="6" t="n">
        <v>510000</v>
      </c>
      <c r="I1073" s="4" t="inlineStr">
        <is>
          <t>Cái 2C/H 12C/T Độ mở rộng: 30.5cmChất liệu: Thép carbonCông dụng: Dùng để kẹp, cảo tấm kim loại, gỗ, đá…</t>
        </is>
      </c>
    </row>
    <row r="1074">
      <c r="A1074" s="3" t="n">
        <v>1073</v>
      </c>
      <c r="B1074" s="3" t="n">
        <v>55</v>
      </c>
      <c r="C1074" s="3" t="inlineStr">
        <is>
          <t>9</t>
        </is>
      </c>
      <c r="D1074" s="4" t="inlineStr">
        <is>
          <t>KCL200 8"</t>
        </is>
      </c>
      <c r="E1074" s="3" t="inlineStr">
        <is>
          <t>Cái</t>
        </is>
      </c>
      <c r="F1074" s="5" t="n">
        <v>116000</v>
      </c>
      <c r="G1074" s="5" t="n">
        <v>137000</v>
      </c>
      <c r="H1074" s="6" t="n">
        <v>168000</v>
      </c>
      <c r="I1074" s="4" t="inlineStr">
        <is>
          <t>Cái 6C/H 48C/T</t>
        </is>
      </c>
    </row>
    <row r="1075">
      <c r="A1075" s="3" t="n">
        <v>1074</v>
      </c>
      <c r="B1075" s="3" t="n">
        <v>55</v>
      </c>
      <c r="C1075" s="3" t="inlineStr">
        <is>
          <t>10</t>
        </is>
      </c>
      <c r="D1075" s="4" t="inlineStr">
        <is>
          <t>KCL200 PRO 8"</t>
        </is>
      </c>
      <c r="E1075" s="3" t="inlineStr">
        <is>
          <t>Cái</t>
        </is>
      </c>
      <c r="F1075" s="5" t="n">
        <v>209000</v>
      </c>
      <c r="G1075" s="5" t="n">
        <v>247000</v>
      </c>
      <c r="H1075" s="6" t="n">
        <v>303000</v>
      </c>
      <c r="I1075" s="4" t="inlineStr">
        <is>
          <t>Cái 6C/H 48C/T</t>
        </is>
      </c>
    </row>
    <row r="1076">
      <c r="A1076" s="3" t="n">
        <v>1075</v>
      </c>
      <c r="B1076" s="3" t="n">
        <v>55</v>
      </c>
      <c r="C1076" s="3" t="inlineStr">
        <is>
          <t>11</t>
        </is>
      </c>
      <c r="D1076" s="4" t="inlineStr">
        <is>
          <t>KCL-350 14"</t>
        </is>
      </c>
      <c r="E1076" s="3" t="inlineStr">
        <is>
          <t>Cái</t>
        </is>
      </c>
      <c r="F1076" s="5" t="n">
        <v>253000</v>
      </c>
      <c r="G1076" s="5" t="n">
        <v>299000</v>
      </c>
      <c r="H1076" s="6" t="n">
        <v>367000</v>
      </c>
      <c r="I1076" s="4" t="inlineStr">
        <is>
          <t>Cái 1C/H 20C/T</t>
        </is>
      </c>
    </row>
    <row r="1077">
      <c r="A1077" s="3" t="n">
        <v>1076</v>
      </c>
      <c r="B1077" s="3" t="n">
        <v>55</v>
      </c>
      <c r="C1077" s="3" t="inlineStr">
        <is>
          <t>12</t>
        </is>
      </c>
      <c r="D1077" s="4" t="inlineStr">
        <is>
          <t>KCL-450 18"</t>
        </is>
      </c>
      <c r="E1077" s="3" t="inlineStr">
        <is>
          <t>Cái</t>
        </is>
      </c>
      <c r="F1077" s="5" t="n">
        <v>319000</v>
      </c>
      <c r="G1077" s="5" t="n">
        <v>377000</v>
      </c>
      <c r="H1077" s="6" t="n">
        <v>463000</v>
      </c>
      <c r="I1077" s="4" t="inlineStr">
        <is>
          <t>Cái 1C/H 10C/T</t>
        </is>
      </c>
    </row>
    <row r="1078">
      <c r="A1078" s="3" t="n">
        <v>1077</v>
      </c>
      <c r="B1078" s="3" t="n">
        <v>55</v>
      </c>
      <c r="C1078" s="3" t="inlineStr">
        <is>
          <t>13</t>
        </is>
      </c>
      <c r="D1078" s="4" t="inlineStr">
        <is>
          <t>KCL-750 30"</t>
        </is>
      </c>
      <c r="E1078" s="3" t="inlineStr">
        <is>
          <t>Cái</t>
        </is>
      </c>
      <c r="F1078" s="5" t="n">
        <v>622000</v>
      </c>
      <c r="G1078" s="5" t="n">
        <v>734000</v>
      </c>
      <c r="H1078" s="6" t="n">
        <v>902000</v>
      </c>
      <c r="I1078" s="4" t="inlineStr">
        <is>
          <t>Cái 1C/H 5C/T</t>
        </is>
      </c>
    </row>
    <row r="1079">
      <c r="A1079" s="3" t="n">
        <v>1078</v>
      </c>
      <c r="B1079" s="3" t="n">
        <v>55</v>
      </c>
      <c r="C1079" s="3" t="inlineStr">
        <is>
          <t>14</t>
        </is>
      </c>
      <c r="D1079" s="4" t="inlineStr">
        <is>
          <t>KCL-900 36"</t>
        </is>
      </c>
      <c r="E1079" s="3" t="inlineStr">
        <is>
          <t>Cái</t>
        </is>
      </c>
      <c r="F1079" s="5" t="n">
        <v>858000</v>
      </c>
      <c r="G1079" s="5" t="n">
        <v>1012000</v>
      </c>
      <c r="H1079" s="6" t="n">
        <v>1244000</v>
      </c>
      <c r="I1079" s="4" t="inlineStr">
        <is>
          <t>Cái 1C/H 4C/T</t>
        </is>
      </c>
    </row>
    <row r="1080">
      <c r="A1080" s="3" t="n">
        <v>1079</v>
      </c>
      <c r="B1080" s="3" t="n">
        <v>55</v>
      </c>
      <c r="C1080" s="3" t="inlineStr">
        <is>
          <t>15</t>
        </is>
      </c>
      <c r="D1080" s="4" t="inlineStr">
        <is>
          <t>KCL-1050 42"</t>
        </is>
      </c>
      <c r="E1080" s="3" t="inlineStr">
        <is>
          <t>Cái</t>
        </is>
      </c>
      <c r="F1080" s="5" t="n">
        <v>1232000</v>
      </c>
      <c r="G1080" s="5" t="n">
        <v>1454000</v>
      </c>
      <c r="H1080" s="6" t="n">
        <v>1786000</v>
      </c>
      <c r="I1080" s="4" t="inlineStr">
        <is>
          <t>Cái 1C/H 2C/T Thép Cr-Mo</t>
        </is>
      </c>
    </row>
    <row r="1081">
      <c r="A1081" s="3" t="n">
        <v>1080</v>
      </c>
      <c r="B1081" s="3" t="n">
        <v>55</v>
      </c>
      <c r="C1081" s="3" t="inlineStr">
        <is>
          <t>16</t>
        </is>
      </c>
      <c r="D1081" s="4" t="inlineStr">
        <is>
          <t>Kìm rút đinh KJ-103 10.5"(2.4,3.2,4.0,4.8mm)</t>
        </is>
      </c>
      <c r="E1081" s="3" t="inlineStr">
        <is>
          <t>Cái</t>
        </is>
      </c>
      <c r="F1081" s="5" t="n">
        <v>94000</v>
      </c>
      <c r="G1081" s="5" t="n">
        <v>111000</v>
      </c>
      <c r="H1081" s="6" t="n">
        <v>136000</v>
      </c>
      <c r="I1081" s="4" t="inlineStr">
        <is>
          <t>Cái 6C/H 36C/T Thân thép , cán bọc nhựa PVC</t>
        </is>
      </c>
    </row>
    <row r="1082">
      <c r="A1082" s="3" t="n">
        <v>1081</v>
      </c>
      <c r="B1082" s="3" t="n">
        <v>55</v>
      </c>
      <c r="C1082" s="3" t="inlineStr">
        <is>
          <t>17</t>
        </is>
      </c>
      <c r="D1082" s="4" t="inlineStr">
        <is>
          <t>Kìm rút đinh rút trợ lực KJ-104 8"(2.4,3.2,4.0,4.8mm)</t>
        </is>
      </c>
      <c r="E1082" s="3" t="inlineStr">
        <is>
          <t>Cái</t>
        </is>
      </c>
      <c r="F1082" s="5" t="n">
        <v>204000</v>
      </c>
      <c r="G1082" s="5" t="n">
        <v>241000</v>
      </c>
      <c r="H1082" s="6" t="n">
        <v>296000</v>
      </c>
      <c r="I1082" s="4" t="inlineStr">
        <is>
          <t>Cái 6C/H 36C/T Thân nhôm(Al), Cán bọc nhựa PVC</t>
        </is>
      </c>
    </row>
    <row r="1083">
      <c r="A1083" s="3" t="n">
        <v>1082</v>
      </c>
      <c r="B1083" s="3" t="n">
        <v>55</v>
      </c>
      <c r="C1083" s="3" t="inlineStr">
        <is>
          <t>18</t>
        </is>
      </c>
      <c r="D1083" s="4" t="inlineStr">
        <is>
          <t>Kìm rút đinh rút KJ-105 10.5"(2.4,3.2,4.0,4.8mm)</t>
        </is>
      </c>
      <c r="E1083" s="3" t="inlineStr">
        <is>
          <t>Cái</t>
        </is>
      </c>
      <c r="F1083" s="5" t="n">
        <v>154000</v>
      </c>
      <c r="G1083" s="5" t="n">
        <v>182000</v>
      </c>
      <c r="H1083" s="6" t="n">
        <v>223000</v>
      </c>
      <c r="I1083" s="4" t="inlineStr">
        <is>
          <t>Cái 6C/H 36C/T Thân nhôm(Al), Cán bọc nhựa PVC</t>
        </is>
      </c>
    </row>
    <row r="1084">
      <c r="A1084" s="3" t="n">
        <v>1083</v>
      </c>
      <c r="B1084" s="3" t="n">
        <v>55</v>
      </c>
      <c r="C1084" s="3" t="inlineStr">
        <is>
          <t>19</t>
        </is>
      </c>
      <c r="D1084" s="4" t="inlineStr">
        <is>
          <t>Kìm bắn đinh rút KJ-105B 10.5"(2.4,3.2,4.0,4.8mm)</t>
        </is>
      </c>
      <c r="E1084" s="3" t="inlineStr">
        <is>
          <t>Cái</t>
        </is>
      </c>
      <c r="F1084" s="5" t="n">
        <v>109000</v>
      </c>
      <c r="G1084" s="5" t="n">
        <v>129000</v>
      </c>
      <c r="H1084" s="6" t="n">
        <v>158000</v>
      </c>
      <c r="I1084" s="4" t="inlineStr">
        <is>
          <t>Cái 9C/H 36C/T Cán Thép</t>
        </is>
      </c>
    </row>
    <row r="1085">
      <c r="A1085" s="3" t="n">
        <v>1084</v>
      </c>
      <c r="B1085" s="3" t="n">
        <v>56</v>
      </c>
      <c r="C1085" s="3" t="inlineStr">
        <is>
          <t>20</t>
        </is>
      </c>
      <c r="D1085" s="4" t="inlineStr">
        <is>
          <t>Kìm rút đinh công nghiệp KJ-230</t>
        </is>
      </c>
      <c r="E1085" s="3" t="inlineStr">
        <is>
          <t>Cái</t>
        </is>
      </c>
      <c r="F1085" s="5" t="n">
        <v>249000</v>
      </c>
      <c r="G1085" s="5" t="n">
        <v>294000</v>
      </c>
      <c r="H1085" s="6" t="n">
        <v>361000</v>
      </c>
      <c r="I1085" s="4" t="inlineStr">
        <is>
          <t>Cái 1C/H 12C/T Thân thép , cán bọc nhựa PVC</t>
        </is>
      </c>
    </row>
    <row r="1086">
      <c r="A1086" s="3" t="n">
        <v>1085</v>
      </c>
      <c r="B1086" s="3" t="n">
        <v>56</v>
      </c>
      <c r="C1086" s="3" t="inlineStr">
        <is>
          <t>21</t>
        </is>
      </c>
      <c r="D1086" s="4" t="inlineStr">
        <is>
          <t>KND180 7"-180mm</t>
        </is>
      </c>
      <c r="E1086" s="3" t="inlineStr">
        <is>
          <t>Cái</t>
        </is>
      </c>
      <c r="F1086" s="5" t="n">
        <v>127000</v>
      </c>
      <c r="G1086" s="5" t="n">
        <v>150000</v>
      </c>
      <c r="H1086" s="6" t="n">
        <v>184000</v>
      </c>
      <c r="I1086" s="4" t="inlineStr">
        <is>
          <t>Cái 6C/H 60C/T Thép CR-v</t>
        </is>
      </c>
    </row>
    <row r="1087">
      <c r="A1087" s="3" t="n">
        <v>1086</v>
      </c>
      <c r="B1087" s="3" t="n">
        <v>56</v>
      </c>
      <c r="C1087" s="3" t="inlineStr">
        <is>
          <t>22</t>
        </is>
      </c>
      <c r="D1087" s="4" t="inlineStr">
        <is>
          <t>KND205 8"-205mm</t>
        </is>
      </c>
      <c r="E1087" s="3" t="inlineStr">
        <is>
          <t>Cái</t>
        </is>
      </c>
      <c r="F1087" s="5" t="n">
        <v>160000</v>
      </c>
      <c r="G1087" s="5" t="n">
        <v>189000</v>
      </c>
      <c r="H1087" s="6" t="n">
        <v>232000</v>
      </c>
      <c r="I1087" s="4" t="inlineStr">
        <is>
          <t>Cái 10C/H 40C/T Thép A3, cán bọc nhựa PP&amp;TPR độ bền và đàn hồi cao</t>
        </is>
      </c>
    </row>
    <row r="1088">
      <c r="A1088" s="3" t="n">
        <v>1087</v>
      </c>
      <c r="B1088" s="3" t="n">
        <v>56</v>
      </c>
      <c r="C1088" s="3" t="inlineStr">
        <is>
          <t>23</t>
        </is>
      </c>
      <c r="D1088" s="4" t="inlineStr">
        <is>
          <t>Kìm cắt tuốt đa năng 5 in 1 KND200</t>
        </is>
      </c>
      <c r="E1088" s="3" t="inlineStr">
        <is>
          <t>Cái</t>
        </is>
      </c>
      <c r="F1088" s="5" t="n">
        <v>72000</v>
      </c>
      <c r="G1088" s="5" t="n">
        <v>85000</v>
      </c>
      <c r="H1088" s="6" t="n">
        <v>104000</v>
      </c>
      <c r="I1088" s="4" t="inlineStr">
        <is>
          <t>Cái 10C/H 50C/T Thép 50# / tay cầm bọc nhựa TPR Tuốt vỏ dây điện: 0.5-6.0mm².Cắt dây điện: m2.6, m3, m3.5, m4.0, m5.0.</t>
        </is>
      </c>
    </row>
    <row r="1089">
      <c r="A1089" s="3" t="n">
        <v>1088</v>
      </c>
      <c r="B1089" s="3" t="n">
        <v>56</v>
      </c>
      <c r="C1089" s="3" t="inlineStr"/>
      <c r="D1089" s="4" t="inlineStr">
        <is>
          <t>KND150</t>
        </is>
      </c>
      <c r="E1089" s="3" t="inlineStr">
        <is>
          <t>Cái</t>
        </is>
      </c>
      <c r="F1089" s="5" t="n">
        <v>64000</v>
      </c>
      <c r="G1089" s="5" t="n">
        <v>76000</v>
      </c>
      <c r="H1089" s="6" t="n">
        <v>93000</v>
      </c>
      <c r="I1089" s="4" t="inlineStr">
        <is>
          <t>Cái 10C/H 50C/T Thép 65MN / tay cầm bọc nhựa TPRSize từ 0.8-2.6mm²/AWG 10-20.</t>
        </is>
      </c>
    </row>
    <row r="1090">
      <c r="A1090" s="3" t="n">
        <v>1089</v>
      </c>
      <c r="B1090" s="3" t="n">
        <v>56</v>
      </c>
      <c r="C1090" s="3" t="inlineStr">
        <is>
          <t>25</t>
        </is>
      </c>
      <c r="D1090" s="4" t="inlineStr">
        <is>
          <t>Kìm bấm Cos vuông KND185</t>
        </is>
      </c>
      <c r="E1090" s="3" t="inlineStr">
        <is>
          <t>Cái</t>
        </is>
      </c>
      <c r="F1090" s="5" t="n">
        <v>182000</v>
      </c>
      <c r="G1090" s="5" t="n">
        <v>215000</v>
      </c>
      <c r="H1090" s="6" t="n">
        <v>264000</v>
      </c>
      <c r="I1090" s="4" t="inlineStr">
        <is>
          <t>Cái 10C/H 40C/T Thép 45# / tay cầm bọc nhựa PP&amp;TPR Phạm vi bấm cos:0.25-10mm²/AWG23-7</t>
        </is>
      </c>
    </row>
    <row r="1091">
      <c r="A1091" s="3" t="n">
        <v>1090</v>
      </c>
      <c r="B1091" s="3" t="n">
        <v>56</v>
      </c>
      <c r="C1091" s="3" t="inlineStr"/>
      <c r="D1091" s="4" t="inlineStr"/>
      <c r="E1091" s="3" t="inlineStr">
        <is>
          <t>Cái</t>
        </is>
      </c>
      <c r="F1091" s="5" t="n">
        <v>97000</v>
      </c>
      <c r="G1091" s="5" t="n">
        <v>115000</v>
      </c>
      <c r="H1091" s="6" t="n">
        <v>141000</v>
      </c>
      <c r="I1091" s="4" t="inlineStr">
        <is>
          <t>Cái 6C/H 60C/T</t>
        </is>
      </c>
    </row>
    <row r="1092">
      <c r="A1092" s="3" t="n">
        <v>1091</v>
      </c>
      <c r="B1092" s="3" t="n">
        <v>56</v>
      </c>
      <c r="C1092" s="3" t="inlineStr">
        <is>
          <t>27</t>
        </is>
      </c>
      <c r="D1092" s="4" t="inlineStr">
        <is>
          <t>KC1-08</t>
        </is>
      </c>
      <c r="E1092" s="3" t="inlineStr">
        <is>
          <t>Cái</t>
        </is>
      </c>
      <c r="F1092" s="5" t="n">
        <v>109000</v>
      </c>
      <c r="G1092" s="5" t="n">
        <v>129000</v>
      </c>
      <c r="H1092" s="6" t="n">
        <v>158000</v>
      </c>
      <c r="I1092" s="4" t="inlineStr">
        <is>
          <t>Cái 6C/H 60/T Thép CR-v</t>
        </is>
      </c>
    </row>
    <row r="1093">
      <c r="A1093" s="3" t="n">
        <v>1092</v>
      </c>
      <c r="B1093" s="3" t="n">
        <v>56</v>
      </c>
      <c r="C1093" s="3" t="inlineStr">
        <is>
          <t>28</t>
        </is>
      </c>
      <c r="D1093" s="4" t="inlineStr">
        <is>
          <t>Kìm điện đa năng KC1-09 9"</t>
        </is>
      </c>
      <c r="E1093" s="3" t="inlineStr">
        <is>
          <t>Cái</t>
        </is>
      </c>
      <c r="F1093" s="5" t="n">
        <v>127000</v>
      </c>
      <c r="G1093" s="5" t="n">
        <v>150000</v>
      </c>
      <c r="H1093" s="6" t="n">
        <v>184000</v>
      </c>
      <c r="I1093" s="4" t="inlineStr">
        <is>
          <t>Cái 6C/H 60C/T</t>
        </is>
      </c>
    </row>
    <row r="1094">
      <c r="A1094" s="3" t="n">
        <v>1093</v>
      </c>
      <c r="B1094" s="3" t="n">
        <v>56</v>
      </c>
      <c r="C1094" s="3" t="inlineStr">
        <is>
          <t>29</t>
        </is>
      </c>
      <c r="D1094" s="4" t="inlineStr">
        <is>
          <t>Kìm nhọn KC2-150 6"</t>
        </is>
      </c>
      <c r="E1094" s="3" t="inlineStr">
        <is>
          <t>Cái</t>
        </is>
      </c>
      <c r="F1094" s="5" t="n">
        <v>91000</v>
      </c>
      <c r="G1094" s="5" t="n">
        <v>107000</v>
      </c>
      <c r="H1094" s="6" t="n">
        <v>132000</v>
      </c>
      <c r="I1094" s="4" t="inlineStr">
        <is>
          <t>Cái 12C/H 72C/T Thép CR-v</t>
        </is>
      </c>
    </row>
    <row r="1095">
      <c r="A1095" s="3" t="n">
        <v>1094</v>
      </c>
      <c r="B1095" s="3" t="n">
        <v>56</v>
      </c>
      <c r="C1095" s="3" t="inlineStr">
        <is>
          <t>30</t>
        </is>
      </c>
      <c r="D1095" s="4" t="inlineStr">
        <is>
          <t>Kìm mỏ nhọn đa năng KC2-09 9"</t>
        </is>
      </c>
      <c r="E1095" s="3" t="inlineStr">
        <is>
          <t>Cái</t>
        </is>
      </c>
      <c r="F1095" s="5" t="n">
        <v>127000</v>
      </c>
      <c r="G1095" s="5" t="n">
        <v>150000</v>
      </c>
      <c r="H1095" s="6" t="n">
        <v>184000</v>
      </c>
      <c r="I1095" s="4" t="inlineStr">
        <is>
          <t>Cái 6C/H 60C/T</t>
        </is>
      </c>
    </row>
    <row r="1096">
      <c r="A1096" s="3" t="n">
        <v>1095</v>
      </c>
      <c r="B1096" s="3" t="n">
        <v>56</v>
      </c>
      <c r="C1096" s="3" t="inlineStr">
        <is>
          <t>31</t>
        </is>
      </c>
      <c r="D1096" s="4" t="inlineStr">
        <is>
          <t>Kìm cắt KC3-150 6"</t>
        </is>
      </c>
      <c r="E1096" s="3" t="inlineStr">
        <is>
          <t>Cái</t>
        </is>
      </c>
      <c r="F1096" s="5" t="n">
        <v>91000</v>
      </c>
      <c r="G1096" s="5" t="n">
        <v>107000</v>
      </c>
      <c r="H1096" s="6" t="n">
        <v>132000</v>
      </c>
      <c r="I1096" s="4" t="inlineStr">
        <is>
          <t>Cái 12C/H 72C/T Thép CR-v</t>
        </is>
      </c>
    </row>
    <row r="1097">
      <c r="A1097" s="3" t="n">
        <v>1096</v>
      </c>
      <c r="B1097" s="3" t="n">
        <v>56</v>
      </c>
      <c r="C1097" s="3" t="inlineStr"/>
      <c r="D1097" s="4" t="inlineStr"/>
      <c r="E1097" s="3" t="inlineStr">
        <is>
          <t>Cái</t>
        </is>
      </c>
      <c r="F1097" s="5" t="n">
        <v>127000</v>
      </c>
      <c r="G1097" s="5" t="n">
        <v>150000</v>
      </c>
      <c r="H1097" s="6" t="n">
        <v>184000</v>
      </c>
      <c r="I1097" s="4" t="inlineStr">
        <is>
          <t>Cái 6C/H 60C/T</t>
        </is>
      </c>
    </row>
    <row r="1098">
      <c r="A1098" s="3" t="n">
        <v>1097</v>
      </c>
      <c r="B1098" s="3" t="n">
        <v>56</v>
      </c>
      <c r="C1098" s="3" t="inlineStr">
        <is>
          <t>33</t>
        </is>
      </c>
      <c r="D1098" s="4" t="inlineStr">
        <is>
          <t>KCH-300 300A</t>
        </is>
      </c>
      <c r="E1098" s="3" t="inlineStr">
        <is>
          <t>Cái</t>
        </is>
      </c>
      <c r="F1098" s="5" t="n">
        <v>77000</v>
      </c>
      <c r="G1098" s="5" t="n">
        <v>91000</v>
      </c>
      <c r="H1098" s="6" t="n">
        <v>112000</v>
      </c>
      <c r="I1098" s="4" t="inlineStr">
        <is>
          <t>Cái 40C/T</t>
        </is>
      </c>
    </row>
    <row r="1099">
      <c r="A1099" s="3" t="n">
        <v>1098</v>
      </c>
      <c r="B1099" s="3" t="n">
        <v>56</v>
      </c>
      <c r="C1099" s="3" t="inlineStr">
        <is>
          <t>34</t>
        </is>
      </c>
      <c r="D1099" s="4" t="inlineStr">
        <is>
          <t>KCH-600 600A</t>
        </is>
      </c>
      <c r="E1099" s="3" t="inlineStr">
        <is>
          <t>Cái</t>
        </is>
      </c>
      <c r="F1099" s="5" t="n">
        <v>99000</v>
      </c>
      <c r="G1099" s="5" t="n">
        <v>117000</v>
      </c>
      <c r="H1099" s="6" t="n">
        <v>144000</v>
      </c>
      <c r="I1099" s="4" t="inlineStr">
        <is>
          <t>Cái 40C/T</t>
        </is>
      </c>
    </row>
    <row r="1100">
      <c r="A1100" s="3" t="n">
        <v>1099</v>
      </c>
      <c r="B1100" s="3" t="n">
        <v>56</v>
      </c>
      <c r="C1100" s="3" t="inlineStr">
        <is>
          <t>35</t>
        </is>
      </c>
      <c r="D1100" s="4" t="inlineStr">
        <is>
          <t>KCH-800</t>
        </is>
      </c>
      <c r="E1100" s="3" t="inlineStr">
        <is>
          <t>Cái</t>
        </is>
      </c>
      <c r="F1100" s="5" t="n">
        <v>127000</v>
      </c>
      <c r="G1100" s="5" t="n">
        <v>150000</v>
      </c>
      <c r="H1100" s="6" t="n">
        <v>184000</v>
      </c>
      <c r="I1100" s="4" t="inlineStr">
        <is>
          <t>Cái 10C/H 30C/T</t>
        </is>
      </c>
    </row>
    <row r="1101">
      <c r="A1101" s="3" t="n">
        <v>1100</v>
      </c>
      <c r="B1101" s="3" t="n">
        <v>56</v>
      </c>
      <c r="C1101" s="3" t="inlineStr">
        <is>
          <t>36</t>
        </is>
      </c>
      <c r="D1101" s="4" t="inlineStr">
        <is>
          <t>KC4-250 10"</t>
        </is>
      </c>
      <c r="E1101" s="3" t="inlineStr">
        <is>
          <t>Cái</t>
        </is>
      </c>
      <c r="F1101" s="5" t="n">
        <v>152000</v>
      </c>
      <c r="G1101" s="5" t="n">
        <v>179000</v>
      </c>
      <c r="H1101" s="6" t="n">
        <v>220000</v>
      </c>
      <c r="I1101" s="4" t="inlineStr">
        <is>
          <t>Cái 6C/H 48C/T</t>
        </is>
      </c>
    </row>
    <row r="1102">
      <c r="A1102" s="3" t="n">
        <v>1101</v>
      </c>
      <c r="B1102" s="3" t="n">
        <v>56</v>
      </c>
      <c r="C1102" s="3" t="inlineStr">
        <is>
          <t>37</t>
        </is>
      </c>
      <c r="D1102" s="4" t="inlineStr">
        <is>
          <t>KC4-300 12"</t>
        </is>
      </c>
      <c r="E1102" s="3" t="inlineStr">
        <is>
          <t>Cái</t>
        </is>
      </c>
      <c r="F1102" s="5" t="n">
        <v>193000</v>
      </c>
      <c r="G1102" s="5" t="n">
        <v>228000</v>
      </c>
      <c r="H1102" s="6" t="n">
        <v>280000</v>
      </c>
      <c r="I1102" s="4" t="inlineStr">
        <is>
          <t>Cái 6C/H 36C/T</t>
        </is>
      </c>
    </row>
    <row r="1103">
      <c r="A1103" s="3" t="n">
        <v>1102</v>
      </c>
      <c r="B1103" s="3" t="n">
        <v>56</v>
      </c>
      <c r="C1103" s="3" t="inlineStr">
        <is>
          <t>38</t>
        </is>
      </c>
      <c r="D1103" s="4" t="inlineStr">
        <is>
          <t>Kìm thẳng phe trong KCA 180 7"</t>
        </is>
      </c>
      <c r="E1103" s="3" t="inlineStr">
        <is>
          <t>Cái</t>
        </is>
      </c>
      <c r="F1103" s="5" t="n">
        <v>61000</v>
      </c>
      <c r="G1103" s="5" t="n">
        <v>72000</v>
      </c>
      <c r="H1103" s="6" t="n">
        <v>89000</v>
      </c>
      <c r="I1103" s="4" t="inlineStr">
        <is>
          <t>Cái 12C/H 72C/T</t>
        </is>
      </c>
    </row>
    <row r="1104">
      <c r="A1104" s="3" t="n">
        <v>1103</v>
      </c>
      <c r="B1104" s="3" t="n">
        <v>56</v>
      </c>
      <c r="C1104" s="3" t="inlineStr">
        <is>
          <t>39</t>
        </is>
      </c>
      <c r="D1104" s="4" t="inlineStr">
        <is>
          <t>Kìm thẳng phe ngoài KCB 180 7"</t>
        </is>
      </c>
      <c r="E1104" s="3" t="inlineStr">
        <is>
          <t>Cái</t>
        </is>
      </c>
      <c r="F1104" s="5" t="n">
        <v>61000</v>
      </c>
      <c r="G1104" s="5" t="n">
        <v>72000</v>
      </c>
      <c r="H1104" s="6" t="n">
        <v>89000</v>
      </c>
      <c r="I1104" s="4" t="inlineStr">
        <is>
          <t>Cái 12C/H 72C/T</t>
        </is>
      </c>
    </row>
    <row r="1105">
      <c r="A1105" s="3" t="n">
        <v>1104</v>
      </c>
      <c r="B1105" s="3" t="n">
        <v>56</v>
      </c>
      <c r="C1105" s="3" t="inlineStr">
        <is>
          <t>40</t>
        </is>
      </c>
      <c r="D1105" s="4" t="inlineStr">
        <is>
          <t>Kìm cong phe trong KCD 180 7"</t>
        </is>
      </c>
      <c r="E1105" s="3" t="inlineStr">
        <is>
          <t>Cái</t>
        </is>
      </c>
      <c r="F1105" s="5" t="n">
        <v>61000</v>
      </c>
      <c r="G1105" s="5" t="n">
        <v>72000</v>
      </c>
      <c r="H1105" s="6" t="n">
        <v>89000</v>
      </c>
      <c r="I1105" s="4" t="inlineStr">
        <is>
          <t>Cái 12C/H 72C/T</t>
        </is>
      </c>
    </row>
    <row r="1106">
      <c r="A1106" s="3" t="n">
        <v>1105</v>
      </c>
      <c r="B1106" s="3" t="n">
        <v>56</v>
      </c>
      <c r="C1106" s="3" t="inlineStr">
        <is>
          <t>41</t>
        </is>
      </c>
      <c r="D1106" s="4" t="inlineStr">
        <is>
          <t>Kìm cong phe ngoài KCE 180 7"</t>
        </is>
      </c>
      <c r="E1106" s="3" t="inlineStr">
        <is>
          <t>Cái</t>
        </is>
      </c>
      <c r="F1106" s="5" t="n">
        <v>61000</v>
      </c>
      <c r="G1106" s="5" t="n">
        <v>72000</v>
      </c>
      <c r="H1106" s="6" t="n">
        <v>89000</v>
      </c>
      <c r="I1106" s="4" t="inlineStr">
        <is>
          <t>Cái 12C/H 72C/T</t>
        </is>
      </c>
    </row>
    <row r="1107">
      <c r="A1107" s="3" t="n">
        <v>1106</v>
      </c>
      <c r="B1107" s="3" t="n">
        <v>56</v>
      </c>
      <c r="C1107" s="3" t="inlineStr">
        <is>
          <t>1</t>
        </is>
      </c>
      <c r="D1107" s="4" t="inlineStr">
        <is>
          <t>KD1-200 8"-200mm</t>
        </is>
      </c>
      <c r="E1107" s="3" t="inlineStr">
        <is>
          <t>Cái</t>
        </is>
      </c>
      <c r="F1107" s="5" t="n">
        <v>86000</v>
      </c>
      <c r="G1107" s="5" t="n">
        <v>102000</v>
      </c>
      <c r="H1107" s="6" t="n">
        <v>125000</v>
      </c>
      <c r="I1107" s="4" t="inlineStr">
        <is>
          <t>Cái 6C/H 60C/T</t>
        </is>
      </c>
    </row>
    <row r="1108">
      <c r="A1108" s="3" t="n">
        <v>1107</v>
      </c>
      <c r="B1108" s="3" t="n">
        <v>56</v>
      </c>
      <c r="C1108" s="3" t="inlineStr">
        <is>
          <t>2</t>
        </is>
      </c>
      <c r="D1108" s="4" t="inlineStr">
        <is>
          <t>KD1-250 10"-250mm</t>
        </is>
      </c>
      <c r="E1108" s="3" t="inlineStr">
        <is>
          <t>Cái</t>
        </is>
      </c>
      <c r="F1108" s="5" t="n">
        <v>121000</v>
      </c>
      <c r="G1108" s="5" t="n">
        <v>143000</v>
      </c>
      <c r="H1108" s="6" t="n">
        <v>176000</v>
      </c>
      <c r="I1108" s="4" t="inlineStr">
        <is>
          <t>Cái 6C/H 48C/T</t>
        </is>
      </c>
    </row>
    <row r="1109">
      <c r="A1109" s="3" t="n">
        <v>1108</v>
      </c>
      <c r="B1109" s="3" t="n">
        <v>56</v>
      </c>
      <c r="C1109" s="3" t="inlineStr">
        <is>
          <t>3</t>
        </is>
      </c>
      <c r="D1109" s="4" t="inlineStr">
        <is>
          <t>KD1-300 12"-300mm</t>
        </is>
      </c>
      <c r="E1109" s="3" t="inlineStr">
        <is>
          <t>Cái</t>
        </is>
      </c>
      <c r="F1109" s="5" t="n">
        <v>165000</v>
      </c>
      <c r="G1109" s="5" t="n">
        <v>195000</v>
      </c>
      <c r="H1109" s="6" t="n">
        <v>239000</v>
      </c>
      <c r="I1109" s="4" t="inlineStr">
        <is>
          <t>Cái 3C/H 24C/T</t>
        </is>
      </c>
    </row>
    <row r="1110">
      <c r="A1110" s="3" t="n">
        <v>1109</v>
      </c>
      <c r="B1110" s="3" t="n">
        <v>57</v>
      </c>
      <c r="C1110" s="3" t="inlineStr">
        <is>
          <t>4</t>
        </is>
      </c>
      <c r="D1110" s="4" t="inlineStr">
        <is>
          <t>KD2-200 8"-200mm</t>
        </is>
      </c>
      <c r="E1110" s="3" t="inlineStr">
        <is>
          <t>Cái</t>
        </is>
      </c>
      <c r="F1110" s="5" t="n">
        <v>86000</v>
      </c>
      <c r="G1110" s="5" t="n">
        <v>102000</v>
      </c>
      <c r="H1110" s="6" t="n">
        <v>125000</v>
      </c>
      <c r="I1110" s="4" t="inlineStr">
        <is>
          <t>Cái 6C/H 60C/T</t>
        </is>
      </c>
    </row>
    <row r="1111">
      <c r="A1111" s="3" t="n">
        <v>1110</v>
      </c>
      <c r="B1111" s="3" t="n">
        <v>57</v>
      </c>
      <c r="C1111" s="3" t="inlineStr">
        <is>
          <t>5</t>
        </is>
      </c>
      <c r="D1111" s="4" t="inlineStr">
        <is>
          <t>KD2-250 10"-250mm</t>
        </is>
      </c>
      <c r="E1111" s="3" t="inlineStr">
        <is>
          <t>Cái</t>
        </is>
      </c>
      <c r="F1111" s="5" t="n">
        <v>127000</v>
      </c>
      <c r="G1111" s="5" t="n">
        <v>150000</v>
      </c>
      <c r="H1111" s="6" t="n">
        <v>184000</v>
      </c>
      <c r="I1111" s="4" t="inlineStr">
        <is>
          <t>Cái 6C/H 48C/T</t>
        </is>
      </c>
    </row>
    <row r="1112">
      <c r="A1112" s="3" t="n">
        <v>1111</v>
      </c>
      <c r="B1112" s="3" t="n">
        <v>57</v>
      </c>
      <c r="C1112" s="3" t="inlineStr">
        <is>
          <t>6</t>
        </is>
      </c>
      <c r="D1112" s="4" t="inlineStr">
        <is>
          <t>KD2-300 12"-300mm</t>
        </is>
      </c>
      <c r="E1112" s="3" t="inlineStr">
        <is>
          <t>Cái</t>
        </is>
      </c>
      <c r="F1112" s="5" t="n">
        <v>165000</v>
      </c>
      <c r="G1112" s="5" t="n">
        <v>195000</v>
      </c>
      <c r="H1112" s="6" t="n">
        <v>239000</v>
      </c>
      <c r="I1112" s="4" t="inlineStr">
        <is>
          <t>Cái 6C/H 24C/T</t>
        </is>
      </c>
    </row>
    <row r="1113">
      <c r="A1113" s="3" t="n">
        <v>1112</v>
      </c>
      <c r="B1113" s="3" t="n">
        <v>57</v>
      </c>
      <c r="C1113" s="3" t="inlineStr">
        <is>
          <t>7</t>
        </is>
      </c>
      <c r="D1113" s="4" t="inlineStr">
        <is>
          <t>KD2-375 15'-375mm</t>
        </is>
      </c>
      <c r="E1113" s="3" t="inlineStr">
        <is>
          <t>Cái</t>
        </is>
      </c>
      <c r="F1113" s="5" t="n">
        <v>286000</v>
      </c>
      <c r="G1113" s="5" t="n">
        <v>338000</v>
      </c>
      <c r="H1113" s="6" t="n">
        <v>415000</v>
      </c>
      <c r="I1113" s="4" t="inlineStr">
        <is>
          <t>Cái 2C/H 16C/T</t>
        </is>
      </c>
    </row>
    <row r="1114">
      <c r="A1114" s="3" t="n">
        <v>1113</v>
      </c>
      <c r="B1114" s="3" t="n">
        <v>57</v>
      </c>
      <c r="C1114" s="3" t="inlineStr">
        <is>
          <t>8</t>
        </is>
      </c>
      <c r="D1114" s="4" t="inlineStr">
        <is>
          <t>KD5-150 6"-150mm</t>
        </is>
      </c>
      <c r="E1114" s="3" t="inlineStr">
        <is>
          <t>Cái</t>
        </is>
      </c>
      <c r="F1114" s="5" t="n">
        <v>149000</v>
      </c>
      <c r="G1114" s="5" t="n">
        <v>176000</v>
      </c>
      <c r="H1114" s="6" t="n">
        <v>216000</v>
      </c>
      <c r="I1114" s="4" t="inlineStr">
        <is>
          <t>Cái 6C/H 72C/T</t>
        </is>
      </c>
    </row>
    <row r="1115">
      <c r="A1115" s="3" t="n">
        <v>1114</v>
      </c>
      <c r="B1115" s="3" t="n">
        <v>57</v>
      </c>
      <c r="C1115" s="3" t="inlineStr">
        <is>
          <t>9</t>
        </is>
      </c>
      <c r="D1115" s="4" t="inlineStr">
        <is>
          <t>KD5-200 8"-200mm</t>
        </is>
      </c>
      <c r="E1115" s="3" t="inlineStr">
        <is>
          <t>Cái</t>
        </is>
      </c>
      <c r="F1115" s="5" t="n">
        <v>193000</v>
      </c>
      <c r="G1115" s="5" t="n">
        <v>228000</v>
      </c>
      <c r="H1115" s="6" t="n">
        <v>280000</v>
      </c>
      <c r="I1115" s="4" t="inlineStr">
        <is>
          <t>Cái 6C/H 48C/T</t>
        </is>
      </c>
    </row>
    <row r="1116">
      <c r="A1116" s="3" t="n">
        <v>1115</v>
      </c>
      <c r="B1116" s="3" t="n">
        <v>57</v>
      </c>
      <c r="C1116" s="3" t="inlineStr">
        <is>
          <t>10</t>
        </is>
      </c>
      <c r="D1116" s="4" t="inlineStr">
        <is>
          <t>KD5-250 10"-250mm</t>
        </is>
      </c>
      <c r="E1116" s="3" t="inlineStr">
        <is>
          <t>Cái</t>
        </is>
      </c>
      <c r="F1116" s="5" t="n">
        <v>292000</v>
      </c>
      <c r="G1116" s="5" t="n">
        <v>344000</v>
      </c>
      <c r="H1116" s="6" t="n">
        <v>423000</v>
      </c>
      <c r="I1116" s="4" t="inlineStr">
        <is>
          <t>Cái 6C/H 36C/T</t>
        </is>
      </c>
    </row>
    <row r="1117">
      <c r="A1117" s="3" t="n">
        <v>1116</v>
      </c>
      <c r="B1117" s="3" t="n">
        <v>57</v>
      </c>
      <c r="C1117" s="3" t="inlineStr">
        <is>
          <t>11</t>
        </is>
      </c>
      <c r="D1117" s="4" t="inlineStr">
        <is>
          <t>KD5-300 12"-300mm</t>
        </is>
      </c>
      <c r="E1117" s="3" t="inlineStr">
        <is>
          <t>Cái</t>
        </is>
      </c>
      <c r="F1117" s="5" t="n">
        <v>413000</v>
      </c>
      <c r="G1117" s="5" t="n">
        <v>487000</v>
      </c>
      <c r="H1117" s="6" t="n">
        <v>599000</v>
      </c>
      <c r="I1117" s="4" t="inlineStr">
        <is>
          <t>Cái 4C/H 24C/T</t>
        </is>
      </c>
    </row>
    <row r="1118">
      <c r="A1118" s="3" t="n">
        <v>1117</v>
      </c>
      <c r="B1118" s="3" t="n">
        <v>57</v>
      </c>
      <c r="C1118" s="3" t="inlineStr">
        <is>
          <t>12</t>
        </is>
      </c>
      <c r="D1118" s="4" t="inlineStr">
        <is>
          <t>KD3-200 8"-200mm</t>
        </is>
      </c>
      <c r="E1118" s="3" t="inlineStr">
        <is>
          <t>Cái</t>
        </is>
      </c>
      <c r="F1118" s="5" t="n">
        <v>108000</v>
      </c>
      <c r="G1118" s="5" t="n">
        <v>128000</v>
      </c>
      <c r="H1118" s="6" t="n">
        <v>157000</v>
      </c>
      <c r="I1118" s="4" t="inlineStr">
        <is>
          <t>Cái 6C/H 60C/T</t>
        </is>
      </c>
    </row>
    <row r="1119">
      <c r="A1119" s="3" t="n">
        <v>1118</v>
      </c>
      <c r="B1119" s="3" t="n">
        <v>57</v>
      </c>
      <c r="C1119" s="3" t="inlineStr">
        <is>
          <t>13</t>
        </is>
      </c>
      <c r="D1119" s="4" t="inlineStr">
        <is>
          <t>KD3-250 10"-250mm</t>
        </is>
      </c>
      <c r="E1119" s="3" t="inlineStr">
        <is>
          <t>Cái</t>
        </is>
      </c>
      <c r="F1119" s="5" t="n">
        <v>163000</v>
      </c>
      <c r="G1119" s="5" t="n">
        <v>192000</v>
      </c>
      <c r="H1119" s="6" t="n">
        <v>236000</v>
      </c>
      <c r="I1119" s="4" t="inlineStr">
        <is>
          <t>Cái 6C/H 48C/T</t>
        </is>
      </c>
    </row>
    <row r="1120">
      <c r="A1120" s="3" t="n">
        <v>1119</v>
      </c>
      <c r="B1120" s="3" t="n">
        <v>57</v>
      </c>
      <c r="C1120" s="3" t="inlineStr">
        <is>
          <t>14</t>
        </is>
      </c>
      <c r="D1120" s="4" t="inlineStr">
        <is>
          <t>KD3-300 12"-300mm</t>
        </is>
      </c>
      <c r="E1120" s="3" t="inlineStr">
        <is>
          <t>Cái</t>
        </is>
      </c>
      <c r="F1120" s="5" t="n">
        <v>204000</v>
      </c>
      <c r="G1120" s="5" t="n">
        <v>241000</v>
      </c>
      <c r="H1120" s="6" t="n">
        <v>296000</v>
      </c>
      <c r="I1120" s="4" t="inlineStr">
        <is>
          <t>Cái 6C/H 24C/T</t>
        </is>
      </c>
    </row>
    <row r="1121">
      <c r="A1121" s="3" t="n">
        <v>1120</v>
      </c>
      <c r="B1121" s="3" t="n">
        <v>57</v>
      </c>
      <c r="C1121" s="3" t="inlineStr">
        <is>
          <t>15</t>
        </is>
      </c>
      <c r="D1121" s="4" t="inlineStr">
        <is>
          <t>KW-300 12"-300mm</t>
        </is>
      </c>
      <c r="E1121" s="3" t="inlineStr">
        <is>
          <t>Cái</t>
        </is>
      </c>
      <c r="F1121" s="5" t="n">
        <v>141000</v>
      </c>
      <c r="G1121" s="5" t="n">
        <v>167000</v>
      </c>
      <c r="H1121" s="6" t="n">
        <v>205000</v>
      </c>
      <c r="I1121" s="4" t="inlineStr">
        <is>
          <t>Cái 6C/H 36C/T</t>
        </is>
      </c>
    </row>
    <row r="1122">
      <c r="A1122" s="3" t="n">
        <v>1121</v>
      </c>
      <c r="B1122" s="3" t="n">
        <v>57</v>
      </c>
      <c r="C1122" s="3" t="inlineStr">
        <is>
          <t>16</t>
        </is>
      </c>
      <c r="D1122" s="4" t="inlineStr">
        <is>
          <t>KW-350 14"-350mm</t>
        </is>
      </c>
      <c r="E1122" s="3" t="inlineStr">
        <is>
          <t>Cái</t>
        </is>
      </c>
      <c r="F1122" s="5" t="n">
        <v>174000</v>
      </c>
      <c r="G1122" s="5" t="n">
        <v>205000</v>
      </c>
      <c r="H1122" s="6" t="n">
        <v>252000</v>
      </c>
      <c r="I1122" s="4" t="inlineStr">
        <is>
          <t>Cái 4C/H 24C/T</t>
        </is>
      </c>
    </row>
    <row r="1123">
      <c r="A1123" s="3" t="n">
        <v>1122</v>
      </c>
      <c r="B1123" s="3" t="n">
        <v>57</v>
      </c>
      <c r="C1123" s="3" t="inlineStr">
        <is>
          <t>17</t>
        </is>
      </c>
      <c r="D1123" s="4" t="inlineStr">
        <is>
          <t>KW-450 18"-450mm</t>
        </is>
      </c>
      <c r="E1123" s="3" t="inlineStr">
        <is>
          <t>Cái</t>
        </is>
      </c>
      <c r="F1123" s="5" t="n">
        <v>248000</v>
      </c>
      <c r="G1123" s="5" t="n">
        <v>293000</v>
      </c>
      <c r="H1123" s="6" t="n">
        <v>360000</v>
      </c>
      <c r="I1123" s="4" t="inlineStr">
        <is>
          <t>Cái 4C/H 16C/T</t>
        </is>
      </c>
    </row>
    <row r="1124">
      <c r="A1124" s="3" t="n">
        <v>1123</v>
      </c>
      <c r="B1124" s="3" t="n">
        <v>57</v>
      </c>
      <c r="C1124" s="3" t="inlineStr">
        <is>
          <t>18</t>
        </is>
      </c>
      <c r="D1124" s="4" t="inlineStr">
        <is>
          <t>KW-600 24"-600mm</t>
        </is>
      </c>
      <c r="E1124" s="3" t="inlineStr">
        <is>
          <t>Cái</t>
        </is>
      </c>
      <c r="F1124" s="5" t="n">
        <v>352000</v>
      </c>
      <c r="G1124" s="5" t="n">
        <v>415000</v>
      </c>
      <c r="H1124" s="6" t="n">
        <v>510000</v>
      </c>
      <c r="I1124" s="4" t="inlineStr">
        <is>
          <t>Cái 2C/H 10C/T</t>
        </is>
      </c>
    </row>
    <row r="1125">
      <c r="A1125" s="3" t="n">
        <v>1124</v>
      </c>
      <c r="B1125" s="3" t="n">
        <v>57</v>
      </c>
      <c r="C1125" s="3" t="inlineStr">
        <is>
          <t>1</t>
        </is>
      </c>
      <c r="D1125" s="4" t="inlineStr">
        <is>
          <t>KUC40 40W</t>
        </is>
      </c>
      <c r="E1125" s="3" t="inlineStr">
        <is>
          <t>Cái</t>
        </is>
      </c>
      <c r="F1125" s="5" t="n">
        <v>121000</v>
      </c>
      <c r="G1125" s="5" t="n">
        <v>143000</v>
      </c>
      <c r="H1125" s="6" t="n">
        <v>176000</v>
      </c>
      <c r="I1125" s="4" t="inlineStr">
        <is>
          <t>Cái 10C/H 80C/T</t>
        </is>
      </c>
    </row>
    <row r="1126">
      <c r="A1126" s="3" t="n">
        <v>1125</v>
      </c>
      <c r="B1126" s="3" t="n">
        <v>57</v>
      </c>
      <c r="C1126" s="3" t="inlineStr">
        <is>
          <t>2</t>
        </is>
      </c>
      <c r="D1126" s="4" t="inlineStr">
        <is>
          <t>KUC60 60W</t>
        </is>
      </c>
      <c r="E1126" s="3" t="inlineStr">
        <is>
          <t>Cái</t>
        </is>
      </c>
      <c r="F1126" s="5" t="n">
        <v>132000</v>
      </c>
      <c r="G1126" s="5" t="n">
        <v>156000</v>
      </c>
      <c r="H1126" s="6" t="n">
        <v>191000</v>
      </c>
      <c r="I1126" s="4" t="inlineStr">
        <is>
          <t>Cái 10C/H 80C/T</t>
        </is>
      </c>
    </row>
    <row r="1127">
      <c r="A1127" s="3" t="n">
        <v>1126</v>
      </c>
      <c r="B1127" s="3" t="n">
        <v>57</v>
      </c>
      <c r="C1127" s="3" t="inlineStr">
        <is>
          <t>3</t>
        </is>
      </c>
      <c r="D1127" s="4" t="inlineStr">
        <is>
          <t>KUC80 80W</t>
        </is>
      </c>
      <c r="E1127" s="3" t="inlineStr">
        <is>
          <t>Cái</t>
        </is>
      </c>
      <c r="F1127" s="5" t="n">
        <v>154000</v>
      </c>
      <c r="G1127" s="5" t="n">
        <v>182000</v>
      </c>
      <c r="H1127" s="6" t="n">
        <v>223000</v>
      </c>
      <c r="I1127" s="4" t="inlineStr">
        <is>
          <t>Cái 10C/H 80C/T</t>
        </is>
      </c>
    </row>
    <row r="1128">
      <c r="A1128" s="3" t="n">
        <v>1127</v>
      </c>
      <c r="B1128" s="3" t="n">
        <v>57</v>
      </c>
      <c r="C1128" s="3" t="inlineStr">
        <is>
          <t>1</t>
        </is>
      </c>
      <c r="D1128" s="4" t="inlineStr">
        <is>
          <t>KF-101</t>
        </is>
      </c>
      <c r="E1128" s="3" t="inlineStr">
        <is>
          <t>Cái</t>
        </is>
      </c>
      <c r="F1128" s="5" t="n">
        <v>127000</v>
      </c>
      <c r="G1128" s="5" t="n">
        <v>150000</v>
      </c>
      <c r="H1128" s="6" t="n">
        <v>184000</v>
      </c>
      <c r="I1128" s="4" t="inlineStr">
        <is>
          <t>Cái 10C/H 40C/T Đinh dày 0.7mmCỡ ghim 16/6-16/8</t>
        </is>
      </c>
    </row>
    <row r="1129">
      <c r="A1129" s="3" t="n">
        <v>1128</v>
      </c>
      <c r="B1129" s="3" t="n">
        <v>57</v>
      </c>
      <c r="C1129" s="3" t="inlineStr">
        <is>
          <t>2</t>
        </is>
      </c>
      <c r="D1129" s="4" t="inlineStr">
        <is>
          <t>KF-103</t>
        </is>
      </c>
      <c r="E1129" s="3" t="inlineStr">
        <is>
          <t>Cái</t>
        </is>
      </c>
      <c r="F1129" s="5" t="n">
        <v>143000</v>
      </c>
      <c r="G1129" s="5" t="n">
        <v>169000</v>
      </c>
      <c r="H1129" s="6" t="n">
        <v>207000</v>
      </c>
      <c r="I1129" s="4" t="inlineStr">
        <is>
          <t>Cái 6C/H 24C/T 3 chức năng , đinh dày 1.2mm</t>
        </is>
      </c>
    </row>
    <row r="1130">
      <c r="A1130" s="3" t="n">
        <v>1129</v>
      </c>
      <c r="B1130" s="3" t="n">
        <v>57</v>
      </c>
      <c r="C1130" s="3" t="inlineStr">
        <is>
          <t>3</t>
        </is>
      </c>
      <c r="D1130" s="4" t="inlineStr">
        <is>
          <t>KF-201 TL: 200g</t>
        </is>
      </c>
      <c r="E1130" s="3" t="inlineStr">
        <is>
          <t>Cái</t>
        </is>
      </c>
      <c r="F1130" s="5" t="n">
        <v>121000</v>
      </c>
      <c r="G1130" s="5" t="n">
        <v>143000</v>
      </c>
      <c r="H1130" s="6" t="n">
        <v>176000</v>
      </c>
      <c r="I1130" s="4" t="inlineStr">
        <is>
          <t>Cái 12C/H 72C/T</t>
        </is>
      </c>
    </row>
    <row r="1131">
      <c r="A1131" s="3" t="n">
        <v>1130</v>
      </c>
      <c r="B1131" s="3" t="n">
        <v>57</v>
      </c>
      <c r="C1131" s="3" t="inlineStr">
        <is>
          <t>4</t>
        </is>
      </c>
      <c r="D1131" s="4" t="inlineStr">
        <is>
          <t>KF-301</t>
        </is>
      </c>
      <c r="E1131" s="3" t="inlineStr">
        <is>
          <t>Cái</t>
        </is>
      </c>
      <c r="F1131" s="5" t="n">
        <v>242000</v>
      </c>
      <c r="G1131" s="5" t="n">
        <v>286000</v>
      </c>
      <c r="H1131" s="6" t="n">
        <v>351000</v>
      </c>
      <c r="I1131" s="4" t="inlineStr">
        <is>
          <t>Cái 6C/H 18C/T</t>
        </is>
      </c>
    </row>
    <row r="1132">
      <c r="A1132" s="3" t="n">
        <v>1131</v>
      </c>
      <c r="B1132" s="3" t="n">
        <v>57</v>
      </c>
      <c r="C1132" s="3" t="inlineStr">
        <is>
          <t>5</t>
        </is>
      </c>
      <c r="D1132" s="4" t="inlineStr">
        <is>
          <t>KFG-1.2/8/11.3 1.2/8/11.3</t>
        </is>
      </c>
      <c r="E1132" s="3" t="inlineStr">
        <is>
          <t>Hộp</t>
        </is>
      </c>
      <c r="F1132" s="5" t="n">
        <v>52000</v>
      </c>
      <c r="G1132" s="5" t="n">
        <v>61000</v>
      </c>
      <c r="H1132" s="6" t="n">
        <v>75000</v>
      </c>
      <c r="I1132" s="4" t="inlineStr">
        <is>
          <t>Hộp 1 Hộp5000 cái 25C/T Dùng cho KF 103</t>
        </is>
      </c>
    </row>
    <row r="1133">
      <c r="A1133" s="3" t="n">
        <v>1132</v>
      </c>
      <c r="B1133" s="3" t="n">
        <v>57</v>
      </c>
      <c r="C1133" s="3" t="inlineStr">
        <is>
          <t>6</t>
        </is>
      </c>
      <c r="D1133" s="4" t="inlineStr">
        <is>
          <t>KFG-13/6 0.7/6/10.6</t>
        </is>
      </c>
      <c r="E1133" s="3" t="inlineStr">
        <is>
          <t>Hộp</t>
        </is>
      </c>
      <c r="F1133" s="5" t="n">
        <v>26000</v>
      </c>
      <c r="G1133" s="5" t="n">
        <v>31000</v>
      </c>
      <c r="H1133" s="6" t="n">
        <v>38000</v>
      </c>
      <c r="I1133" s="4" t="inlineStr">
        <is>
          <t>Hộp 1 Hộp5000 cái 50C/T</t>
        </is>
      </c>
    </row>
    <row r="1134">
      <c r="A1134" s="3" t="n">
        <v>1133</v>
      </c>
      <c r="B1134" s="3" t="n">
        <v>57</v>
      </c>
      <c r="C1134" s="3" t="inlineStr">
        <is>
          <t>7</t>
        </is>
      </c>
      <c r="D1134" s="4" t="inlineStr">
        <is>
          <t>KFG-16/6 0.7/6/11.3</t>
        </is>
      </c>
      <c r="E1134" s="3" t="inlineStr">
        <is>
          <t>Hộp</t>
        </is>
      </c>
      <c r="F1134" s="5" t="n">
        <v>27000</v>
      </c>
      <c r="G1134" s="5" t="n">
        <v>32000</v>
      </c>
      <c r="H1134" s="6" t="n">
        <v>39000</v>
      </c>
      <c r="I1134" s="4" t="inlineStr">
        <is>
          <t>Hộp 1 Hộp5000 cái 50C/T</t>
        </is>
      </c>
    </row>
    <row r="1135">
      <c r="A1135" s="3" t="n">
        <v>1134</v>
      </c>
      <c r="B1135" s="3" t="n">
        <v>57</v>
      </c>
      <c r="C1135" s="3" t="inlineStr">
        <is>
          <t>8</t>
        </is>
      </c>
      <c r="D1135" s="4" t="inlineStr">
        <is>
          <t>KFG-16/8 0.7/8/11.3</t>
        </is>
      </c>
      <c r="E1135" s="3" t="inlineStr">
        <is>
          <t>Hộp</t>
        </is>
      </c>
      <c r="F1135" s="5" t="n">
        <v>31000</v>
      </c>
      <c r="G1135" s="5" t="n">
        <v>37000</v>
      </c>
      <c r="H1135" s="6" t="n">
        <v>45000</v>
      </c>
      <c r="I1135" s="4" t="inlineStr">
        <is>
          <t>Hộp 1 Hộp5000 cái 40C/T</t>
        </is>
      </c>
    </row>
    <row r="1136">
      <c r="A1136" s="3" t="n">
        <v>1135</v>
      </c>
      <c r="B1136" s="3" t="n">
        <v>57</v>
      </c>
      <c r="C1136" s="3" t="inlineStr">
        <is>
          <t>1</t>
        </is>
      </c>
      <c r="D1136" s="4" t="inlineStr">
        <is>
          <t>KAC100</t>
        </is>
      </c>
      <c r="E1136" s="3" t="inlineStr">
        <is>
          <t>Cái</t>
        </is>
      </c>
      <c r="F1136" s="5" t="n">
        <v>149000</v>
      </c>
      <c r="G1136" s="5" t="n">
        <v>176000</v>
      </c>
      <c r="H1136" s="6" t="n">
        <v>216000</v>
      </c>
      <c r="I1136" s="4" t="inlineStr">
        <is>
          <t>Cái 12C/H 48C/T</t>
        </is>
      </c>
    </row>
    <row r="1137">
      <c r="A1137" s="3" t="n">
        <v>1136</v>
      </c>
      <c r="B1137" s="3" t="n">
        <v>57</v>
      </c>
      <c r="C1137" s="3" t="inlineStr">
        <is>
          <t>2</t>
        </is>
      </c>
      <c r="D1137" s="4" t="inlineStr">
        <is>
          <t>KAC20</t>
        </is>
      </c>
      <c r="E1137" s="3" t="inlineStr">
        <is>
          <t>Cái</t>
        </is>
      </c>
      <c r="F1137" s="5" t="n">
        <v>87000</v>
      </c>
      <c r="G1137" s="5" t="n">
        <v>103000</v>
      </c>
      <c r="H1137" s="6" t="n">
        <v>126000</v>
      </c>
      <c r="I1137" s="4" t="inlineStr">
        <is>
          <t>Cái 16C/H 64C/T</t>
        </is>
      </c>
    </row>
    <row r="1138">
      <c r="A1138" s="3" t="n">
        <v>1137</v>
      </c>
      <c r="B1138" s="3" t="n">
        <v>57</v>
      </c>
      <c r="C1138" s="3" t="inlineStr">
        <is>
          <t>1</t>
        </is>
      </c>
      <c r="D1138" s="4" t="inlineStr">
        <is>
          <t>Dụng cụ khò gas mini K54M 11.5*3*150mmTL: 161g</t>
        </is>
      </c>
      <c r="E1138" s="3" t="inlineStr">
        <is>
          <t>Cái</t>
        </is>
      </c>
      <c r="F1138" s="5" t="n">
        <v>209000</v>
      </c>
      <c r="G1138" s="5" t="n">
        <v>247000</v>
      </c>
      <c r="H1138" s="6" t="n">
        <v>303000</v>
      </c>
      <c r="I1138" s="4" t="inlineStr">
        <is>
          <t>Cái 1C/H 50C/T Chất liệu: Nhựa cao cấp, hợp kim kẽmNhiệt độ ngọn lửa: 2327 độ F</t>
        </is>
      </c>
    </row>
    <row r="1139">
      <c r="A1139" s="3" t="n">
        <v>1138</v>
      </c>
      <c r="B1139" s="3" t="n">
        <v>57</v>
      </c>
      <c r="C1139" s="3" t="inlineStr"/>
      <c r="D1139" s="4" t="inlineStr"/>
      <c r="E1139" s="3" t="inlineStr">
        <is>
          <t>Cái</t>
        </is>
      </c>
      <c r="F1139" s="5" t="n">
        <v>154000</v>
      </c>
      <c r="G1139" s="5" t="n">
        <v>182000</v>
      </c>
      <c r="H1139" s="6" t="n">
        <v>223000</v>
      </c>
      <c r="I1139" s="4" t="inlineStr">
        <is>
          <t>Cái 10C/H 100C/T</t>
        </is>
      </c>
    </row>
    <row r="1140">
      <c r="A1140" s="3" t="n">
        <v>1139</v>
      </c>
      <c r="B1140" s="3" t="n">
        <v>57</v>
      </c>
      <c r="C1140" s="3" t="inlineStr"/>
      <c r="D1140" s="4" t="inlineStr"/>
      <c r="E1140" s="3" t="inlineStr">
        <is>
          <t>Cái</t>
        </is>
      </c>
      <c r="F1140" s="5" t="n">
        <v>149000</v>
      </c>
      <c r="G1140" s="5" t="n">
        <v>176000</v>
      </c>
      <c r="H1140" s="6" t="n">
        <v>216000</v>
      </c>
      <c r="I1140" s="4" t="inlineStr">
        <is>
          <t>Cái 10C/H 100C/T</t>
        </is>
      </c>
    </row>
    <row r="1141">
      <c r="A1141" s="3" t="n">
        <v>1140</v>
      </c>
      <c r="B1141" s="3" t="n">
        <v>58</v>
      </c>
      <c r="C1141" s="3" t="inlineStr">
        <is>
          <t>1</t>
        </is>
      </c>
      <c r="D1141" s="4" t="inlineStr">
        <is>
          <t>KV1-6*100 6*100mm</t>
        </is>
      </c>
      <c r="E1141" s="3" t="inlineStr">
        <is>
          <t>Cái</t>
        </is>
      </c>
      <c r="F1141" s="5" t="n">
        <v>22000</v>
      </c>
      <c r="G1141" s="5" t="n">
        <v>26000</v>
      </c>
      <c r="H1141" s="6" t="n">
        <v>32000</v>
      </c>
      <c r="I1141" s="4" t="inlineStr">
        <is>
          <t>Cái 12C/H 240C/T</t>
        </is>
      </c>
    </row>
    <row r="1142">
      <c r="A1142" s="3" t="n">
        <v>1141</v>
      </c>
      <c r="B1142" s="3" t="n">
        <v>58</v>
      </c>
      <c r="C1142" s="3" t="inlineStr">
        <is>
          <t>2</t>
        </is>
      </c>
      <c r="D1142" s="4" t="inlineStr">
        <is>
          <t>KV1-6*150 6*150mm</t>
        </is>
      </c>
      <c r="E1142" s="3" t="inlineStr">
        <is>
          <t>Cái</t>
        </is>
      </c>
      <c r="F1142" s="5" t="n">
        <v>25000</v>
      </c>
      <c r="G1142" s="5" t="n">
        <v>29000</v>
      </c>
      <c r="H1142" s="6" t="n">
        <v>36000</v>
      </c>
      <c r="I1142" s="4" t="inlineStr">
        <is>
          <t>Cái 12C/H 240C/T</t>
        </is>
      </c>
    </row>
    <row r="1143">
      <c r="A1143" s="3" t="n">
        <v>1142</v>
      </c>
      <c r="B1143" s="3" t="n">
        <v>58</v>
      </c>
      <c r="C1143" s="3" t="inlineStr">
        <is>
          <t>3</t>
        </is>
      </c>
      <c r="D1143" s="4" t="inlineStr">
        <is>
          <t>KV1-6*200 6*200mm</t>
        </is>
      </c>
      <c r="E1143" s="3" t="inlineStr">
        <is>
          <t>Cái</t>
        </is>
      </c>
      <c r="F1143" s="5" t="n">
        <v>29000</v>
      </c>
      <c r="G1143" s="5" t="n">
        <v>34000</v>
      </c>
      <c r="H1143" s="6" t="n">
        <v>42000</v>
      </c>
      <c r="I1143" s="4" t="inlineStr">
        <is>
          <t>Cái 12C/H 240C/T</t>
        </is>
      </c>
    </row>
    <row r="1144">
      <c r="A1144" s="3" t="n">
        <v>1143</v>
      </c>
      <c r="B1144" s="3" t="n">
        <v>58</v>
      </c>
      <c r="C1144" s="3" t="inlineStr">
        <is>
          <t>4</t>
        </is>
      </c>
      <c r="D1144" s="4" t="inlineStr">
        <is>
          <t>KV2-6*100 6*100mm</t>
        </is>
      </c>
      <c r="E1144" s="3" t="inlineStr">
        <is>
          <t>Cái</t>
        </is>
      </c>
      <c r="F1144" s="5" t="n">
        <v>44000</v>
      </c>
      <c r="G1144" s="5" t="n">
        <v>52000</v>
      </c>
      <c r="H1144" s="6" t="n">
        <v>64000</v>
      </c>
      <c r="I1144" s="4" t="inlineStr">
        <is>
          <t>Cái 12C/H 240C/T Tu vít 2 đầu , thép s2 cao cấp</t>
        </is>
      </c>
    </row>
    <row r="1145">
      <c r="A1145" s="3" t="n">
        <v>1144</v>
      </c>
      <c r="B1145" s="3" t="n">
        <v>58</v>
      </c>
      <c r="C1145" s="3" t="inlineStr">
        <is>
          <t>5</t>
        </is>
      </c>
      <c r="D1145" s="4" t="inlineStr">
        <is>
          <t>KV2-6*150 6*150mm</t>
        </is>
      </c>
      <c r="E1145" s="3" t="inlineStr">
        <is>
          <t>Cái</t>
        </is>
      </c>
      <c r="F1145" s="5" t="n">
        <v>46000</v>
      </c>
      <c r="G1145" s="5" t="n">
        <v>54000</v>
      </c>
      <c r="H1145" s="6" t="n">
        <v>67000</v>
      </c>
      <c r="I1145" s="4" t="inlineStr">
        <is>
          <t>Cái 12C/H 240C/T Tu vít 2 đầu , thép s2 cao cấp</t>
        </is>
      </c>
    </row>
    <row r="1146">
      <c r="A1146" s="3" t="n">
        <v>1145</v>
      </c>
      <c r="B1146" s="3" t="n">
        <v>58</v>
      </c>
      <c r="C1146" s="3" t="inlineStr">
        <is>
          <t>6</t>
        </is>
      </c>
      <c r="D1146" s="4" t="inlineStr">
        <is>
          <t>KV2-6*200 6*200mm</t>
        </is>
      </c>
      <c r="E1146" s="3" t="inlineStr">
        <is>
          <t>Cái</t>
        </is>
      </c>
      <c r="F1146" s="5" t="n">
        <v>48000</v>
      </c>
      <c r="G1146" s="5" t="n">
        <v>57000</v>
      </c>
      <c r="H1146" s="6" t="n">
        <v>70000</v>
      </c>
      <c r="I1146" s="4" t="inlineStr">
        <is>
          <t>Cái 12C/H 240C/T Tu vít 2 đầu , thép s2 cao cấp</t>
        </is>
      </c>
    </row>
    <row r="1147">
      <c r="A1147" s="3" t="n">
        <v>1146</v>
      </c>
      <c r="B1147" s="3" t="n">
        <v>58</v>
      </c>
      <c r="C1147" s="3" t="inlineStr">
        <is>
          <t>7</t>
        </is>
      </c>
      <c r="D1147" s="4" t="inlineStr">
        <is>
          <t>KVS2-6*100 6*100mm</t>
        </is>
      </c>
      <c r="E1147" s="3" t="inlineStr">
        <is>
          <t>Cái</t>
        </is>
      </c>
      <c r="F1147" s="5" t="n">
        <v>33000</v>
      </c>
      <c r="G1147" s="5" t="n">
        <v>39000</v>
      </c>
      <c r="H1147" s="6" t="n">
        <v>48000</v>
      </c>
      <c r="I1147" s="4" t="inlineStr">
        <is>
          <t>Cái 12C/H 144C/T</t>
        </is>
      </c>
    </row>
    <row r="1148">
      <c r="A1148" s="3" t="n">
        <v>1147</v>
      </c>
      <c r="B1148" s="3" t="n">
        <v>58</v>
      </c>
      <c r="C1148" s="3" t="inlineStr">
        <is>
          <t>8</t>
        </is>
      </c>
      <c r="D1148" s="4" t="inlineStr">
        <is>
          <t>KVS2-6*150 6*150mm</t>
        </is>
      </c>
      <c r="E1148" s="3" t="inlineStr">
        <is>
          <t>Cái</t>
        </is>
      </c>
      <c r="F1148" s="5" t="n">
        <v>37000</v>
      </c>
      <c r="G1148" s="5" t="n">
        <v>44000</v>
      </c>
      <c r="H1148" s="6" t="n">
        <v>54000</v>
      </c>
      <c r="I1148" s="4" t="inlineStr">
        <is>
          <t>Cái 12C/H 144C/T</t>
        </is>
      </c>
    </row>
    <row r="1149">
      <c r="A1149" s="3" t="n">
        <v>1148</v>
      </c>
      <c r="B1149" s="3" t="n">
        <v>58</v>
      </c>
      <c r="C1149" s="3" t="inlineStr">
        <is>
          <t>9</t>
        </is>
      </c>
      <c r="D1149" s="4" t="inlineStr">
        <is>
          <t>KVS2-6*200 6*200mm</t>
        </is>
      </c>
      <c r="E1149" s="3" t="inlineStr">
        <is>
          <t>Cái</t>
        </is>
      </c>
      <c r="F1149" s="5" t="n">
        <v>44000</v>
      </c>
      <c r="G1149" s="5" t="n">
        <v>52000</v>
      </c>
      <c r="H1149" s="6" t="n">
        <v>64000</v>
      </c>
      <c r="I1149" s="4" t="inlineStr">
        <is>
          <t>Cái 12C/H 144C/T</t>
        </is>
      </c>
    </row>
    <row r="1150">
      <c r="A1150" s="3" t="n">
        <v>1149</v>
      </c>
      <c r="B1150" s="3" t="n">
        <v>58</v>
      </c>
      <c r="C1150" s="3" t="inlineStr">
        <is>
          <t>10</t>
        </is>
      </c>
      <c r="D1150" s="4" t="inlineStr">
        <is>
          <t>Tuốc nơ vít 2 đầu tịnh tiến S2 KV3-6*150 6*150mm</t>
        </is>
      </c>
      <c r="E1150" s="3" t="inlineStr">
        <is>
          <t>Cái</t>
        </is>
      </c>
      <c r="F1150" s="5" t="n">
        <v>51000</v>
      </c>
      <c r="G1150" s="5" t="n">
        <v>60000</v>
      </c>
      <c r="H1150" s="6" t="n">
        <v>74000</v>
      </c>
      <c r="I1150" s="4" t="inlineStr">
        <is>
          <t>Cái 12C/H 240C/T  - Thép S2 siêu cứng- Có 1 đầu dẹp và 1 đầu bake có thể tịnh tiến từ 100-150mm</t>
        </is>
      </c>
    </row>
    <row r="1151">
      <c r="A1151" s="3" t="n">
        <v>1150</v>
      </c>
      <c r="B1151" s="3" t="n">
        <v>58</v>
      </c>
      <c r="C1151" s="3" t="inlineStr">
        <is>
          <t>11</t>
        </is>
      </c>
      <c r="D1151" s="4" t="inlineStr">
        <is>
          <t>KV4-6*38 6*38mm</t>
        </is>
      </c>
      <c r="E1151" s="3" t="inlineStr">
        <is>
          <t>Cái</t>
        </is>
      </c>
      <c r="F1151" s="5" t="n">
        <v>68000</v>
      </c>
      <c r="G1151" s="5" t="n">
        <v>80000</v>
      </c>
      <c r="H1151" s="6" t="n">
        <v>99000</v>
      </c>
      <c r="I1151" s="4" t="inlineStr">
        <is>
          <t>Cái 12C/H 240C/T</t>
        </is>
      </c>
    </row>
    <row r="1152">
      <c r="A1152" s="3" t="n">
        <v>1151</v>
      </c>
      <c r="B1152" s="3" t="n">
        <v>58</v>
      </c>
      <c r="C1152" s="3" t="inlineStr">
        <is>
          <t>12</t>
        </is>
      </c>
      <c r="D1152" s="4" t="inlineStr">
        <is>
          <t>KV4-6*150 6*150mm</t>
        </is>
      </c>
      <c r="E1152" s="3" t="inlineStr">
        <is>
          <t>Cái</t>
        </is>
      </c>
      <c r="F1152" s="5" t="n">
        <v>83000</v>
      </c>
      <c r="G1152" s="5" t="n">
        <v>98000</v>
      </c>
      <c r="H1152" s="6" t="n">
        <v>120000</v>
      </c>
      <c r="I1152" s="4" t="inlineStr">
        <is>
          <t>Cái 12C/H 240C/T</t>
        </is>
      </c>
    </row>
    <row r="1153">
      <c r="A1153" s="3" t="n">
        <v>1152</v>
      </c>
      <c r="B1153" s="3" t="n">
        <v>58</v>
      </c>
      <c r="C1153" s="3" t="inlineStr"/>
      <c r="D1153" s="4" t="inlineStr">
        <is>
          <t>KV5-6*150 6*150mm</t>
        </is>
      </c>
      <c r="E1153" s="3" t="inlineStr">
        <is>
          <t>Cái</t>
        </is>
      </c>
      <c r="F1153" s="5" t="n">
        <v>76000</v>
      </c>
      <c r="G1153" s="5" t="n">
        <v>90000</v>
      </c>
      <c r="H1153" s="6" t="n">
        <v>110000</v>
      </c>
      <c r="I1153" s="4" t="inlineStr">
        <is>
          <t>Cái 6C/H 240C/T  - Thép S2 siêu cứng- Có 1 đầu dẹp và 1 đầu bake , tự động điều chỉnh với 3 chức năng</t>
        </is>
      </c>
    </row>
    <row r="1154">
      <c r="A1154" s="3" t="n">
        <v>1153</v>
      </c>
      <c r="B1154" s="3" t="n">
        <v>58</v>
      </c>
      <c r="C1154" s="3" t="inlineStr">
        <is>
          <t>14</t>
        </is>
      </c>
      <c r="D1154" s="4" t="inlineStr">
        <is>
          <t>KV6-6*150 6*150mm</t>
        </is>
      </c>
      <c r="E1154" s="3" t="inlineStr">
        <is>
          <t>Cái</t>
        </is>
      </c>
      <c r="F1154" s="5" t="n">
        <v>29000</v>
      </c>
      <c r="G1154" s="5" t="n">
        <v>34000</v>
      </c>
      <c r="H1154" s="6" t="n">
        <v>42000</v>
      </c>
      <c r="I1154" s="4" t="inlineStr">
        <is>
          <t>Cái 12C/H 240C/T Đầu vít dẹp, Thép CR-v</t>
        </is>
      </c>
    </row>
    <row r="1155">
      <c r="A1155" s="3" t="n">
        <v>1154</v>
      </c>
      <c r="B1155" s="3" t="n">
        <v>58</v>
      </c>
      <c r="C1155" s="3" t="inlineStr">
        <is>
          <t>15</t>
        </is>
      </c>
      <c r="D1155" s="4" t="inlineStr">
        <is>
          <t>KV6+6*150 6*150mm</t>
        </is>
      </c>
      <c r="E1155" s="3" t="inlineStr">
        <is>
          <t>Cái</t>
        </is>
      </c>
      <c r="F1155" s="5" t="n">
        <v>29000</v>
      </c>
      <c r="G1155" s="5" t="n">
        <v>34000</v>
      </c>
      <c r="H1155" s="6" t="n">
        <v>42000</v>
      </c>
      <c r="I1155" s="4" t="inlineStr">
        <is>
          <t>Cái 12C/H 240C/T Đầu vít bake, Thép CR-v</t>
        </is>
      </c>
    </row>
    <row r="1156">
      <c r="A1156" s="3" t="n">
        <v>1155</v>
      </c>
      <c r="B1156" s="3" t="n">
        <v>58</v>
      </c>
      <c r="C1156" s="3" t="inlineStr">
        <is>
          <t>16</t>
        </is>
      </c>
      <c r="D1156" s="4" t="inlineStr">
        <is>
          <t>KV6-6*200 6*200mm</t>
        </is>
      </c>
      <c r="E1156" s="3" t="inlineStr">
        <is>
          <t>Cái</t>
        </is>
      </c>
      <c r="F1156" s="5" t="n">
        <v>40000</v>
      </c>
      <c r="G1156" s="5" t="n">
        <v>47000</v>
      </c>
      <c r="H1156" s="6" t="n">
        <v>58000</v>
      </c>
      <c r="I1156" s="4" t="inlineStr">
        <is>
          <t>Cái 12C/H 240C/T Đầu vít dẹp, Thép CR-v</t>
        </is>
      </c>
    </row>
    <row r="1157">
      <c r="A1157" s="3" t="n">
        <v>1156</v>
      </c>
      <c r="B1157" s="3" t="n">
        <v>58</v>
      </c>
      <c r="C1157" s="3" t="inlineStr">
        <is>
          <t>17</t>
        </is>
      </c>
      <c r="D1157" s="4" t="inlineStr">
        <is>
          <t>KV6+6*200 6*200mm</t>
        </is>
      </c>
      <c r="E1157" s="3" t="inlineStr">
        <is>
          <t>Cái</t>
        </is>
      </c>
      <c r="F1157" s="5" t="n">
        <v>40000</v>
      </c>
      <c r="G1157" s="5" t="n">
        <v>47000</v>
      </c>
      <c r="H1157" s="6" t="n">
        <v>58000</v>
      </c>
      <c r="I1157" s="4" t="inlineStr">
        <is>
          <t>Cái 12C/H 240C/T Đầu vít bake, Thép CR-v</t>
        </is>
      </c>
    </row>
    <row r="1158">
      <c r="A1158" s="3" t="n">
        <v>1157</v>
      </c>
      <c r="B1158" s="3" t="n">
        <v>58</v>
      </c>
      <c r="C1158" s="3" t="inlineStr">
        <is>
          <t>18</t>
        </is>
      </c>
      <c r="D1158" s="4" t="inlineStr">
        <is>
          <t>KV6-8*200 8*200mm</t>
        </is>
      </c>
      <c r="E1158" s="3" t="inlineStr">
        <is>
          <t>Cái</t>
        </is>
      </c>
      <c r="F1158" s="5" t="n">
        <v>46000</v>
      </c>
      <c r="G1158" s="5" t="n">
        <v>54000</v>
      </c>
      <c r="H1158" s="6" t="n">
        <v>67000</v>
      </c>
      <c r="I1158" s="4" t="inlineStr">
        <is>
          <t>Cái 12C/H 144C/T Đầu vít dẹp, Thép CR-v</t>
        </is>
      </c>
    </row>
    <row r="1159">
      <c r="A1159" s="3" t="n">
        <v>1158</v>
      </c>
      <c r="B1159" s="3" t="n">
        <v>58</v>
      </c>
      <c r="C1159" s="3" t="inlineStr">
        <is>
          <t>19</t>
        </is>
      </c>
      <c r="D1159" s="4" t="inlineStr">
        <is>
          <t>KV6+8*200 8*200mm</t>
        </is>
      </c>
      <c r="E1159" s="3" t="inlineStr">
        <is>
          <t>Cái</t>
        </is>
      </c>
      <c r="F1159" s="5" t="n">
        <v>46000</v>
      </c>
      <c r="G1159" s="5" t="n">
        <v>54000</v>
      </c>
      <c r="H1159" s="6" t="n">
        <v>67000</v>
      </c>
      <c r="I1159" s="4" t="inlineStr">
        <is>
          <t>Cái 12C/H 144C/T Đầu vít bake, Thép CR-v</t>
        </is>
      </c>
    </row>
    <row r="1160">
      <c r="A1160" s="3" t="n">
        <v>1159</v>
      </c>
      <c r="B1160" s="3" t="n">
        <v>58</v>
      </c>
      <c r="C1160" s="3" t="inlineStr">
        <is>
          <t>20</t>
        </is>
      </c>
      <c r="D1160" s="4" t="inlineStr">
        <is>
          <t>Bộ tua vít điện KB-E5701 Khối lượng: 70g/475g</t>
        </is>
      </c>
      <c r="E1160" s="3" t="inlineStr">
        <is>
          <t>Cái</t>
        </is>
      </c>
      <c r="F1160" s="5" t="n">
        <v>968000</v>
      </c>
      <c r="G1160" s="5" t="n">
        <v>1104000</v>
      </c>
      <c r="H1160" s="6" t="n">
        <v>1307000</v>
      </c>
      <c r="I1160" s="4" t="inlineStr">
        <is>
          <t>Cái 18C/H 36C/T</t>
        </is>
      </c>
    </row>
    <row r="1161">
      <c r="A1161" s="3" t="n">
        <v>1160</v>
      </c>
      <c r="B1161" s="3" t="n">
        <v>58</v>
      </c>
      <c r="C1161" s="3" t="inlineStr">
        <is>
          <t>21</t>
        </is>
      </c>
      <c r="D1161" s="4" t="inlineStr">
        <is>
          <t>Bộ tuốc nơ vít đa năng 36 chi tiết KV7-036</t>
        </is>
      </c>
      <c r="E1161" s="3" t="inlineStr">
        <is>
          <t>Cái</t>
        </is>
      </c>
      <c r="F1161" s="5" t="n">
        <v>176000</v>
      </c>
      <c r="G1161" s="5" t="n">
        <v>208000</v>
      </c>
      <c r="H1161" s="6" t="n">
        <v>255000</v>
      </c>
      <c r="I1161" s="4" t="inlineStr">
        <is>
          <t>Cái 12/H 72/T Thép hợp kim cao cấp S2-PH2</t>
        </is>
      </c>
    </row>
    <row r="1162">
      <c r="A1162" s="3" t="n">
        <v>1161</v>
      </c>
      <c r="B1162" s="3" t="n">
        <v>58</v>
      </c>
      <c r="C1162" s="3" t="inlineStr"/>
      <c r="D1162" s="4" t="inlineStr">
        <is>
          <t>KV8-113</t>
        </is>
      </c>
      <c r="E1162" s="3" t="inlineStr">
        <is>
          <t>Bộ</t>
        </is>
      </c>
      <c r="F1162" s="5" t="n">
        <v>372000</v>
      </c>
      <c r="G1162" s="5" t="n">
        <v>439000</v>
      </c>
      <c r="H1162" s="6" t="n">
        <v>539000</v>
      </c>
      <c r="I1162" s="4" t="inlineStr">
        <is>
          <t>Bộ 1C/H 21C/T Thép hợp kim cao cấp S2-PH2</t>
        </is>
      </c>
    </row>
    <row r="1163">
      <c r="A1163" s="3" t="n">
        <v>1162</v>
      </c>
      <c r="B1163" s="3" t="n">
        <v>58</v>
      </c>
      <c r="C1163" s="3" t="inlineStr"/>
      <c r="D1163" s="4" t="inlineStr"/>
      <c r="E1163" s="3" t="inlineStr">
        <is>
          <t>Bộ</t>
        </is>
      </c>
      <c r="F1163" s="5" t="n">
        <v>220000</v>
      </c>
      <c r="G1163" s="5" t="n">
        <v>260000</v>
      </c>
      <c r="H1163" s="6" t="n">
        <v>319000</v>
      </c>
      <c r="I1163" s="4" t="inlineStr">
        <is>
          <t>Bộ 1C/H 20C/T</t>
        </is>
      </c>
    </row>
    <row r="1164">
      <c r="A1164" s="3" t="n">
        <v>1163</v>
      </c>
      <c r="B1164" s="3" t="n">
        <v>58</v>
      </c>
      <c r="C1164" s="3" t="inlineStr">
        <is>
          <t>1</t>
        </is>
      </c>
      <c r="D1164" s="4" t="inlineStr">
        <is>
          <t>Bộ cần tuýp tự động 12 chi tiết KLG12 8, 9, 10, 12 13, 14, 1719, 22, 24</t>
        </is>
      </c>
      <c r="E1164" s="3" t="inlineStr">
        <is>
          <t>Bộ</t>
        </is>
      </c>
      <c r="F1164" s="5" t="n">
        <v>424000</v>
      </c>
      <c r="G1164" s="5" t="n">
        <v>500000</v>
      </c>
      <c r="H1164" s="6" t="n">
        <v>615000</v>
      </c>
      <c r="I1164" s="4" t="inlineStr">
        <is>
          <t>Bộ 2C/H 12C/T  Thép CR-v</t>
        </is>
      </c>
    </row>
    <row r="1165">
      <c r="A1165" s="3" t="n">
        <v>1164</v>
      </c>
      <c r="B1165" s="3" t="n">
        <v>58</v>
      </c>
      <c r="C1165" s="3" t="inlineStr"/>
      <c r="D1165" s="4" t="inlineStr">
        <is>
          <t>KLG12s 1/4"</t>
        </is>
      </c>
      <c r="E1165" s="3" t="inlineStr">
        <is>
          <t>Bộ</t>
        </is>
      </c>
      <c r="F1165" s="5" t="n">
        <v>253000</v>
      </c>
      <c r="G1165" s="5" t="n">
        <v>299000</v>
      </c>
      <c r="H1165" s="6" t="n">
        <v>367000</v>
      </c>
      <c r="I1165" s="4" t="inlineStr">
        <is>
          <t>Bộ 1C/H 40C/T Bộ 12 chi tiết, thép CrV gồm: 10 tuýp, 1 cần tự động 1/4, 1 cần nối</t>
        </is>
      </c>
    </row>
    <row r="1166">
      <c r="A1166" s="3" t="n">
        <v>1165</v>
      </c>
      <c r="B1166" s="3" t="n">
        <v>59</v>
      </c>
      <c r="C1166" s="3" t="inlineStr"/>
      <c r="D1166" s="4" t="inlineStr"/>
      <c r="E1166" s="3" t="inlineStr">
        <is>
          <t>Bộ</t>
        </is>
      </c>
      <c r="F1166" s="5" t="n">
        <v>792000</v>
      </c>
      <c r="G1166" s="5" t="n">
        <v>934000</v>
      </c>
      <c r="H1166" s="6" t="n">
        <v>1148000</v>
      </c>
      <c r="I1166" s="4" t="inlineStr">
        <is>
          <t>Bộ 1C/H 16C/T</t>
        </is>
      </c>
    </row>
    <row r="1167">
      <c r="A1167" s="3" t="n">
        <v>1166</v>
      </c>
      <c r="B1167" s="3" t="n">
        <v>59</v>
      </c>
      <c r="C1167" s="3" t="inlineStr"/>
      <c r="D1167" s="4" t="inlineStr">
        <is>
          <t>KLG21 1/2"</t>
        </is>
      </c>
      <c r="E1167" s="3" t="inlineStr">
        <is>
          <t>Bộ</t>
        </is>
      </c>
      <c r="F1167" s="5" t="n">
        <v>814000</v>
      </c>
      <c r="G1167" s="5" t="n">
        <v>960000</v>
      </c>
      <c r="H1167" s="6" t="n">
        <v>1180000</v>
      </c>
      <c r="I1167" s="4" t="inlineStr">
        <is>
          <t>Bộ 1B/H 4B/T Bộ 21 chi tiết, thép CrV gồm: 18 tuýp, 1 cần nối chữ L, 1 cần nối 5", 1 cần tự động 1/2"</t>
        </is>
      </c>
    </row>
    <row r="1168">
      <c r="A1168" s="3" t="n">
        <v>1167</v>
      </c>
      <c r="B1168" s="3" t="n">
        <v>59</v>
      </c>
      <c r="C1168" s="3" t="inlineStr"/>
      <c r="D1168" s="4" t="inlineStr">
        <is>
          <t>KLG24 1/2"</t>
        </is>
      </c>
      <c r="E1168" s="3" t="inlineStr">
        <is>
          <t>Bộ</t>
        </is>
      </c>
      <c r="F1168" s="5" t="n">
        <v>1045000</v>
      </c>
      <c r="G1168" s="5" t="n">
        <v>1233000</v>
      </c>
      <c r="H1168" s="6" t="n">
        <v>1515000</v>
      </c>
      <c r="I1168" s="4" t="inlineStr">
        <is>
          <t>Bộ 1B/H 4B/T</t>
        </is>
      </c>
    </row>
    <row r="1169">
      <c r="A1169" s="3" t="n">
        <v>1168</v>
      </c>
      <c r="B1169" s="3" t="n">
        <v>59</v>
      </c>
      <c r="C1169" s="3" t="inlineStr">
        <is>
          <t>6</t>
        </is>
      </c>
      <c r="D1169" s="4" t="inlineStr">
        <is>
          <t>KM08 8</t>
        </is>
      </c>
      <c r="E1169" s="3" t="inlineStr">
        <is>
          <t>Cái</t>
        </is>
      </c>
      <c r="F1169" s="5" t="n">
        <v>17000</v>
      </c>
      <c r="G1169" s="5" t="n">
        <v>20000</v>
      </c>
      <c r="H1169" s="6" t="n">
        <v>25000</v>
      </c>
      <c r="I1169" s="4" t="inlineStr">
        <is>
          <t>Cái 10C/H 200C/T</t>
        </is>
      </c>
    </row>
    <row r="1170">
      <c r="A1170" s="3" t="n">
        <v>1169</v>
      </c>
      <c r="B1170" s="3" t="n">
        <v>59</v>
      </c>
      <c r="C1170" s="3" t="inlineStr">
        <is>
          <t>7</t>
        </is>
      </c>
      <c r="D1170" s="4" t="inlineStr">
        <is>
          <t>KM09 9</t>
        </is>
      </c>
      <c r="E1170" s="3" t="inlineStr">
        <is>
          <t>Cái</t>
        </is>
      </c>
      <c r="F1170" s="5" t="n">
        <v>17000</v>
      </c>
      <c r="G1170" s="5" t="n">
        <v>20000</v>
      </c>
      <c r="H1170" s="6" t="n">
        <v>25000</v>
      </c>
      <c r="I1170" s="4" t="inlineStr">
        <is>
          <t>Cái 10C/H 200C/T</t>
        </is>
      </c>
    </row>
    <row r="1171">
      <c r="A1171" s="3" t="n">
        <v>1170</v>
      </c>
      <c r="B1171" s="3" t="n">
        <v>59</v>
      </c>
      <c r="C1171" s="3" t="inlineStr">
        <is>
          <t>8</t>
        </is>
      </c>
      <c r="D1171" s="4" t="inlineStr">
        <is>
          <t>KM10 10</t>
        </is>
      </c>
      <c r="E1171" s="3" t="inlineStr">
        <is>
          <t>Cái</t>
        </is>
      </c>
      <c r="F1171" s="5" t="n">
        <v>17000</v>
      </c>
      <c r="G1171" s="5" t="n">
        <v>20000</v>
      </c>
      <c r="H1171" s="6" t="n">
        <v>25000</v>
      </c>
      <c r="I1171" s="4" t="inlineStr">
        <is>
          <t>Cái 10C/H 200C/T</t>
        </is>
      </c>
    </row>
    <row r="1172">
      <c r="A1172" s="3" t="n">
        <v>1171</v>
      </c>
      <c r="B1172" s="3" t="n">
        <v>59</v>
      </c>
      <c r="C1172" s="3" t="inlineStr">
        <is>
          <t>9</t>
        </is>
      </c>
      <c r="D1172" s="4" t="inlineStr">
        <is>
          <t>KM11 11</t>
        </is>
      </c>
      <c r="E1172" s="3" t="inlineStr">
        <is>
          <t>Cái</t>
        </is>
      </c>
      <c r="F1172" s="5" t="n">
        <v>17000</v>
      </c>
      <c r="G1172" s="5" t="n">
        <v>20000</v>
      </c>
      <c r="H1172" s="6" t="n">
        <v>25000</v>
      </c>
      <c r="I1172" s="4" t="inlineStr">
        <is>
          <t>Cái 10C/H 200C/T</t>
        </is>
      </c>
    </row>
    <row r="1173">
      <c r="A1173" s="3" t="n">
        <v>1172</v>
      </c>
      <c r="B1173" s="3" t="n">
        <v>59</v>
      </c>
      <c r="C1173" s="3" t="inlineStr">
        <is>
          <t>10</t>
        </is>
      </c>
      <c r="D1173" s="4" t="inlineStr">
        <is>
          <t>KM12 12</t>
        </is>
      </c>
      <c r="E1173" s="3" t="inlineStr">
        <is>
          <t>Cái</t>
        </is>
      </c>
      <c r="F1173" s="5" t="n">
        <v>17000</v>
      </c>
      <c r="G1173" s="5" t="n">
        <v>20000</v>
      </c>
      <c r="H1173" s="6" t="n">
        <v>25000</v>
      </c>
      <c r="I1173" s="4" t="inlineStr">
        <is>
          <t>Cái 10C/H 200C/T</t>
        </is>
      </c>
    </row>
    <row r="1174">
      <c r="A1174" s="3" t="n">
        <v>1173</v>
      </c>
      <c r="B1174" s="3" t="n">
        <v>59</v>
      </c>
      <c r="C1174" s="3" t="inlineStr">
        <is>
          <t>11</t>
        </is>
      </c>
      <c r="D1174" s="4" t="inlineStr">
        <is>
          <t>KM13 13</t>
        </is>
      </c>
      <c r="E1174" s="3" t="inlineStr">
        <is>
          <t>Cái</t>
        </is>
      </c>
      <c r="F1174" s="5" t="n">
        <v>17000</v>
      </c>
      <c r="G1174" s="5" t="n">
        <v>20000</v>
      </c>
      <c r="H1174" s="6" t="n">
        <v>25000</v>
      </c>
      <c r="I1174" s="4" t="inlineStr">
        <is>
          <t>Cái 10C/H 200C/T</t>
        </is>
      </c>
    </row>
    <row r="1175">
      <c r="A1175" s="3" t="n">
        <v>1174</v>
      </c>
      <c r="B1175" s="3" t="n">
        <v>59</v>
      </c>
      <c r="C1175" s="3" t="inlineStr">
        <is>
          <t>12</t>
        </is>
      </c>
      <c r="D1175" s="4" t="inlineStr">
        <is>
          <t>KM14 14</t>
        </is>
      </c>
      <c r="E1175" s="3" t="inlineStr">
        <is>
          <t>Cái</t>
        </is>
      </c>
      <c r="F1175" s="5" t="n">
        <v>17000</v>
      </c>
      <c r="G1175" s="5" t="n">
        <v>20000</v>
      </c>
      <c r="H1175" s="6" t="n">
        <v>25000</v>
      </c>
      <c r="I1175" s="4" t="inlineStr">
        <is>
          <t>Cái 10C/H 200C/T</t>
        </is>
      </c>
    </row>
    <row r="1176">
      <c r="A1176" s="3" t="n">
        <v>1175</v>
      </c>
      <c r="B1176" s="3" t="n">
        <v>59</v>
      </c>
      <c r="C1176" s="3" t="inlineStr">
        <is>
          <t>13</t>
        </is>
      </c>
      <c r="D1176" s="4" t="inlineStr">
        <is>
          <t>KM15 15</t>
        </is>
      </c>
      <c r="E1176" s="3" t="inlineStr">
        <is>
          <t>Cái</t>
        </is>
      </c>
      <c r="F1176" s="5" t="n">
        <v>17000</v>
      </c>
      <c r="G1176" s="5" t="n">
        <v>20000</v>
      </c>
      <c r="H1176" s="6" t="n">
        <v>25000</v>
      </c>
      <c r="I1176" s="4" t="inlineStr">
        <is>
          <t>Cái 10C/H 200C/T</t>
        </is>
      </c>
    </row>
    <row r="1177">
      <c r="A1177" s="3" t="n">
        <v>1176</v>
      </c>
      <c r="B1177" s="3" t="n">
        <v>59</v>
      </c>
      <c r="C1177" s="3" t="inlineStr">
        <is>
          <t>14</t>
        </is>
      </c>
      <c r="D1177" s="4" t="inlineStr">
        <is>
          <t>KM16 16</t>
        </is>
      </c>
      <c r="E1177" s="3" t="inlineStr">
        <is>
          <t>Cái</t>
        </is>
      </c>
      <c r="F1177" s="5" t="n">
        <v>17000</v>
      </c>
      <c r="G1177" s="5" t="n">
        <v>20000</v>
      </c>
      <c r="H1177" s="6" t="n">
        <v>25000</v>
      </c>
      <c r="I1177" s="4" t="inlineStr">
        <is>
          <t>Cái 10C/H 200C/T</t>
        </is>
      </c>
    </row>
    <row r="1178">
      <c r="A1178" s="3" t="n">
        <v>1177</v>
      </c>
      <c r="B1178" s="3" t="n">
        <v>59</v>
      </c>
      <c r="C1178" s="3" t="inlineStr">
        <is>
          <t>15</t>
        </is>
      </c>
      <c r="D1178" s="4" t="inlineStr">
        <is>
          <t>KM17 17</t>
        </is>
      </c>
      <c r="E1178" s="3" t="inlineStr">
        <is>
          <t>Cái</t>
        </is>
      </c>
      <c r="F1178" s="5" t="n">
        <v>18000</v>
      </c>
      <c r="G1178" s="5" t="n">
        <v>21000</v>
      </c>
      <c r="H1178" s="6" t="n">
        <v>26000</v>
      </c>
      <c r="I1178" s="4" t="inlineStr">
        <is>
          <t>Cái 10C/H 200C/T</t>
        </is>
      </c>
    </row>
    <row r="1179">
      <c r="A1179" s="3" t="n">
        <v>1178</v>
      </c>
      <c r="B1179" s="3" t="n">
        <v>59</v>
      </c>
      <c r="C1179" s="3" t="inlineStr">
        <is>
          <t>16</t>
        </is>
      </c>
      <c r="D1179" s="4" t="inlineStr">
        <is>
          <t>KM18 18</t>
        </is>
      </c>
      <c r="E1179" s="3" t="inlineStr">
        <is>
          <t>Cái</t>
        </is>
      </c>
      <c r="F1179" s="5" t="n">
        <v>19000</v>
      </c>
      <c r="G1179" s="5" t="n">
        <v>23000</v>
      </c>
      <c r="H1179" s="6" t="n">
        <v>28000</v>
      </c>
      <c r="I1179" s="4" t="inlineStr">
        <is>
          <t>Cái 10C/H 200C/T</t>
        </is>
      </c>
    </row>
    <row r="1180">
      <c r="A1180" s="3" t="n">
        <v>1179</v>
      </c>
      <c r="B1180" s="3" t="n">
        <v>59</v>
      </c>
      <c r="C1180" s="3" t="inlineStr">
        <is>
          <t>17</t>
        </is>
      </c>
      <c r="D1180" s="4" t="inlineStr">
        <is>
          <t>KM19 19</t>
        </is>
      </c>
      <c r="E1180" s="3" t="inlineStr">
        <is>
          <t>Cái</t>
        </is>
      </c>
      <c r="F1180" s="5" t="n">
        <v>19000</v>
      </c>
      <c r="G1180" s="5" t="n">
        <v>23000</v>
      </c>
      <c r="H1180" s="6" t="n">
        <v>28000</v>
      </c>
      <c r="I1180" s="4" t="inlineStr">
        <is>
          <t>Cái 10C/H 200C/T</t>
        </is>
      </c>
    </row>
    <row r="1181">
      <c r="A1181" s="3" t="n">
        <v>1180</v>
      </c>
      <c r="B1181" s="3" t="n">
        <v>59</v>
      </c>
      <c r="C1181" s="3" t="inlineStr">
        <is>
          <t>18</t>
        </is>
      </c>
      <c r="D1181" s="4" t="inlineStr">
        <is>
          <t>KM21 21</t>
        </is>
      </c>
      <c r="E1181" s="3" t="inlineStr">
        <is>
          <t>Cái</t>
        </is>
      </c>
      <c r="F1181" s="5" t="n">
        <v>23000</v>
      </c>
      <c r="G1181" s="5" t="n">
        <v>27000</v>
      </c>
      <c r="H1181" s="6" t="n">
        <v>33000</v>
      </c>
      <c r="I1181" s="4" t="inlineStr">
        <is>
          <t>Cái 10C/H 200C/T</t>
        </is>
      </c>
    </row>
    <row r="1182">
      <c r="A1182" s="3" t="n">
        <v>1181</v>
      </c>
      <c r="B1182" s="3" t="n">
        <v>59</v>
      </c>
      <c r="C1182" s="3" t="inlineStr">
        <is>
          <t>19</t>
        </is>
      </c>
      <c r="D1182" s="4" t="inlineStr">
        <is>
          <t>KM22 22</t>
        </is>
      </c>
      <c r="E1182" s="3" t="inlineStr">
        <is>
          <t>Cái</t>
        </is>
      </c>
      <c r="F1182" s="5" t="n">
        <v>25000</v>
      </c>
      <c r="G1182" s="5" t="n">
        <v>29000</v>
      </c>
      <c r="H1182" s="6" t="n">
        <v>36000</v>
      </c>
      <c r="I1182" s="4" t="inlineStr">
        <is>
          <t>Cái 10C/H 200C/T</t>
        </is>
      </c>
    </row>
    <row r="1183">
      <c r="A1183" s="3" t="n">
        <v>1182</v>
      </c>
      <c r="B1183" s="3" t="n">
        <v>59</v>
      </c>
      <c r="C1183" s="3" t="inlineStr">
        <is>
          <t>20</t>
        </is>
      </c>
      <c r="D1183" s="4" t="inlineStr">
        <is>
          <t>KM23 23</t>
        </is>
      </c>
      <c r="E1183" s="3" t="inlineStr">
        <is>
          <t>Cái</t>
        </is>
      </c>
      <c r="F1183" s="5" t="n">
        <v>28000</v>
      </c>
      <c r="G1183" s="5" t="n">
        <v>33000</v>
      </c>
      <c r="H1183" s="6" t="n">
        <v>41000</v>
      </c>
      <c r="I1183" s="4" t="inlineStr">
        <is>
          <t>Cái 10C/H 200C/T</t>
        </is>
      </c>
    </row>
    <row r="1184">
      <c r="A1184" s="3" t="n">
        <v>1183</v>
      </c>
      <c r="B1184" s="3" t="n">
        <v>59</v>
      </c>
      <c r="C1184" s="3" t="inlineStr">
        <is>
          <t>21</t>
        </is>
      </c>
      <c r="D1184" s="4" t="inlineStr">
        <is>
          <t>KM24 24</t>
        </is>
      </c>
      <c r="E1184" s="3" t="inlineStr">
        <is>
          <t>Cái</t>
        </is>
      </c>
      <c r="F1184" s="5" t="n">
        <v>28000</v>
      </c>
      <c r="G1184" s="5" t="n">
        <v>33000</v>
      </c>
      <c r="H1184" s="6" t="n">
        <v>41000</v>
      </c>
      <c r="I1184" s="4" t="inlineStr">
        <is>
          <t>Cái 10C/H 100C/T</t>
        </is>
      </c>
    </row>
    <row r="1185">
      <c r="A1185" s="3" t="n">
        <v>1184</v>
      </c>
      <c r="B1185" s="3" t="n">
        <v>59</v>
      </c>
      <c r="C1185" s="3" t="inlineStr">
        <is>
          <t>22</t>
        </is>
      </c>
      <c r="D1185" s="4" t="inlineStr">
        <is>
          <t>KM27 27</t>
        </is>
      </c>
      <c r="E1185" s="3" t="inlineStr">
        <is>
          <t>Cái</t>
        </is>
      </c>
      <c r="F1185" s="5" t="n">
        <v>34000</v>
      </c>
      <c r="G1185" s="5" t="n">
        <v>40000</v>
      </c>
      <c r="H1185" s="6" t="n">
        <v>49000</v>
      </c>
      <c r="I1185" s="4" t="inlineStr">
        <is>
          <t>Cái 10C/H 100C/T</t>
        </is>
      </c>
    </row>
    <row r="1186">
      <c r="A1186" s="3" t="n">
        <v>1185</v>
      </c>
      <c r="B1186" s="3" t="n">
        <v>59</v>
      </c>
      <c r="C1186" s="3" t="inlineStr">
        <is>
          <t>23</t>
        </is>
      </c>
      <c r="D1186" s="4" t="inlineStr">
        <is>
          <t>KM30 30</t>
        </is>
      </c>
      <c r="E1186" s="3" t="inlineStr">
        <is>
          <t>Cái</t>
        </is>
      </c>
      <c r="F1186" s="5" t="n">
        <v>42000</v>
      </c>
      <c r="G1186" s="5" t="n">
        <v>50000</v>
      </c>
      <c r="H1186" s="6" t="n">
        <v>61000</v>
      </c>
      <c r="I1186" s="4" t="inlineStr">
        <is>
          <t>Cái 10C/H 100C/T</t>
        </is>
      </c>
    </row>
    <row r="1187">
      <c r="A1187" s="3" t="n">
        <v>1186</v>
      </c>
      <c r="B1187" s="3" t="n">
        <v>59</v>
      </c>
      <c r="C1187" s="3" t="inlineStr">
        <is>
          <t>24</t>
        </is>
      </c>
      <c r="D1187" s="4" t="inlineStr">
        <is>
          <t>KM32 32</t>
        </is>
      </c>
      <c r="E1187" s="3" t="inlineStr">
        <is>
          <t>Cái</t>
        </is>
      </c>
      <c r="F1187" s="5" t="n">
        <v>44000</v>
      </c>
      <c r="G1187" s="5" t="n">
        <v>52000</v>
      </c>
      <c r="H1187" s="6" t="n">
        <v>64000</v>
      </c>
      <c r="I1187" s="4" t="inlineStr">
        <is>
          <t>Cái 10C/H 80C/T</t>
        </is>
      </c>
    </row>
    <row r="1188">
      <c r="A1188" s="3" t="n">
        <v>1187</v>
      </c>
      <c r="B1188" s="3" t="n">
        <v>59</v>
      </c>
      <c r="C1188" s="3" t="inlineStr">
        <is>
          <t>25</t>
        </is>
      </c>
      <c r="D1188" s="4" t="inlineStr">
        <is>
          <t>KT-08 8</t>
        </is>
      </c>
      <c r="E1188" s="3" t="inlineStr">
        <is>
          <t>Cái</t>
        </is>
      </c>
      <c r="F1188" s="5" t="n">
        <v>42000</v>
      </c>
      <c r="G1188" s="5" t="n">
        <v>50000</v>
      </c>
      <c r="H1188" s="6" t="n">
        <v>61000</v>
      </c>
      <c r="I1188" s="4" t="inlineStr">
        <is>
          <t>Cái 20C/H 80C/T</t>
        </is>
      </c>
    </row>
    <row r="1189">
      <c r="A1189" s="3" t="n">
        <v>1188</v>
      </c>
      <c r="B1189" s="3" t="n">
        <v>59</v>
      </c>
      <c r="C1189" s="3" t="inlineStr">
        <is>
          <t>26</t>
        </is>
      </c>
      <c r="D1189" s="4" t="inlineStr">
        <is>
          <t>KT-10 10</t>
        </is>
      </c>
      <c r="E1189" s="3" t="inlineStr">
        <is>
          <t>Cái</t>
        </is>
      </c>
      <c r="F1189" s="5" t="n">
        <v>42000</v>
      </c>
      <c r="G1189" s="5" t="n">
        <v>50000</v>
      </c>
      <c r="H1189" s="6" t="n">
        <v>61000</v>
      </c>
      <c r="I1189" s="4" t="inlineStr">
        <is>
          <t>Cái 20C/H 80C/T</t>
        </is>
      </c>
    </row>
    <row r="1190">
      <c r="A1190" s="3" t="n">
        <v>1189</v>
      </c>
      <c r="B1190" s="3" t="n">
        <v>59</v>
      </c>
      <c r="C1190" s="3" t="inlineStr">
        <is>
          <t>27</t>
        </is>
      </c>
      <c r="D1190" s="4" t="inlineStr">
        <is>
          <t>KT-12 12</t>
        </is>
      </c>
      <c r="E1190" s="3" t="inlineStr">
        <is>
          <t>Cái</t>
        </is>
      </c>
      <c r="F1190" s="5" t="n">
        <v>43000</v>
      </c>
      <c r="G1190" s="5" t="n">
        <v>51000</v>
      </c>
      <c r="H1190" s="6" t="n">
        <v>62000</v>
      </c>
      <c r="I1190" s="4" t="inlineStr">
        <is>
          <t>Cái 20C/H 80C/T</t>
        </is>
      </c>
    </row>
    <row r="1191">
      <c r="A1191" s="3" t="n">
        <v>1190</v>
      </c>
      <c r="B1191" s="3" t="n">
        <v>59</v>
      </c>
      <c r="C1191" s="3" t="inlineStr">
        <is>
          <t>28</t>
        </is>
      </c>
      <c r="D1191" s="4" t="inlineStr">
        <is>
          <t>KT-13 13</t>
        </is>
      </c>
      <c r="E1191" s="3" t="inlineStr">
        <is>
          <t>Cái</t>
        </is>
      </c>
      <c r="F1191" s="5" t="n">
        <v>43000</v>
      </c>
      <c r="G1191" s="5" t="n">
        <v>51000</v>
      </c>
      <c r="H1191" s="6" t="n">
        <v>62000</v>
      </c>
      <c r="I1191" s="4" t="inlineStr">
        <is>
          <t>Cái 20C/H 80C/T</t>
        </is>
      </c>
    </row>
    <row r="1192">
      <c r="A1192" s="3" t="n">
        <v>1191</v>
      </c>
      <c r="B1192" s="3" t="n">
        <v>59</v>
      </c>
      <c r="C1192" s="3" t="inlineStr">
        <is>
          <t>29</t>
        </is>
      </c>
      <c r="D1192" s="4" t="inlineStr">
        <is>
          <t>KT-14 14</t>
        </is>
      </c>
      <c r="E1192" s="3" t="inlineStr">
        <is>
          <t>Cái</t>
        </is>
      </c>
      <c r="F1192" s="5" t="n">
        <v>43000</v>
      </c>
      <c r="G1192" s="5" t="n">
        <v>51000</v>
      </c>
      <c r="H1192" s="6" t="n">
        <v>62000</v>
      </c>
      <c r="I1192" s="4" t="inlineStr">
        <is>
          <t>Cái 20C/H 80C/T</t>
        </is>
      </c>
    </row>
    <row r="1193">
      <c r="A1193" s="3" t="n">
        <v>1192</v>
      </c>
      <c r="B1193" s="3" t="n">
        <v>59</v>
      </c>
      <c r="C1193" s="3" t="inlineStr">
        <is>
          <t>30</t>
        </is>
      </c>
      <c r="D1193" s="4" t="inlineStr">
        <is>
          <t>KT-17 17</t>
        </is>
      </c>
      <c r="E1193" s="3" t="inlineStr">
        <is>
          <t>Cái</t>
        </is>
      </c>
      <c r="F1193" s="5" t="n">
        <v>59000</v>
      </c>
      <c r="G1193" s="5" t="n">
        <v>70000</v>
      </c>
      <c r="H1193" s="6" t="n">
        <v>86000</v>
      </c>
      <c r="I1193" s="4" t="inlineStr">
        <is>
          <t>Cái 15C/H 80C/T</t>
        </is>
      </c>
    </row>
    <row r="1194">
      <c r="A1194" s="3" t="n">
        <v>1193</v>
      </c>
      <c r="B1194" s="3" t="n">
        <v>59</v>
      </c>
      <c r="C1194" s="3" t="inlineStr">
        <is>
          <t>31</t>
        </is>
      </c>
      <c r="D1194" s="4" t="inlineStr">
        <is>
          <t>KT-19 19</t>
        </is>
      </c>
      <c r="E1194" s="3" t="inlineStr">
        <is>
          <t>Cái</t>
        </is>
      </c>
      <c r="F1194" s="5" t="n">
        <v>65000</v>
      </c>
      <c r="G1194" s="5" t="n">
        <v>77000</v>
      </c>
      <c r="H1194" s="6" t="n">
        <v>94000</v>
      </c>
      <c r="I1194" s="4" t="inlineStr">
        <is>
          <t>Cái 15C/H 80C/T</t>
        </is>
      </c>
    </row>
    <row r="1195">
      <c r="A1195" s="3" t="n">
        <v>1194</v>
      </c>
      <c r="B1195" s="3" t="n">
        <v>59</v>
      </c>
      <c r="C1195" s="3" t="inlineStr">
        <is>
          <t>1</t>
        </is>
      </c>
      <c r="D1195" s="4" t="inlineStr">
        <is>
          <t>LA-35.16 3.5m*16mm</t>
        </is>
      </c>
      <c r="E1195" s="3" t="inlineStr">
        <is>
          <t>Cái</t>
        </is>
      </c>
      <c r="F1195" s="5" t="n">
        <v>20000</v>
      </c>
      <c r="G1195" s="5" t="n">
        <v>24000</v>
      </c>
      <c r="H1195" s="6" t="n">
        <v>29000</v>
      </c>
      <c r="I1195" s="4" t="inlineStr">
        <is>
          <t>Cái 12C/H 168C/T</t>
        </is>
      </c>
    </row>
    <row r="1196">
      <c r="A1196" s="3" t="n">
        <v>1195</v>
      </c>
      <c r="B1196" s="3" t="n">
        <v>59</v>
      </c>
      <c r="C1196" s="3" t="inlineStr">
        <is>
          <t>2</t>
        </is>
      </c>
      <c r="D1196" s="4" t="inlineStr">
        <is>
          <t>LA-50.19 5m*19mm</t>
        </is>
      </c>
      <c r="E1196" s="3" t="inlineStr">
        <is>
          <t>Cái</t>
        </is>
      </c>
      <c r="F1196" s="5" t="n">
        <v>29000</v>
      </c>
      <c r="G1196" s="5" t="n">
        <v>34000</v>
      </c>
      <c r="H1196" s="6" t="n">
        <v>42000</v>
      </c>
      <c r="I1196" s="4" t="inlineStr">
        <is>
          <t>Cái 12C/H 120C/T</t>
        </is>
      </c>
    </row>
    <row r="1197">
      <c r="A1197" s="3" t="n">
        <v>1196</v>
      </c>
      <c r="B1197" s="3" t="n">
        <v>59</v>
      </c>
      <c r="C1197" s="3" t="inlineStr">
        <is>
          <t>3</t>
        </is>
      </c>
      <c r="D1197" s="4" t="inlineStr">
        <is>
          <t>LA-75.25 7.5m*25mm</t>
        </is>
      </c>
      <c r="E1197" s="3" t="inlineStr">
        <is>
          <t>Cái</t>
        </is>
      </c>
      <c r="F1197" s="5" t="n">
        <v>48000</v>
      </c>
      <c r="G1197" s="5" t="n">
        <v>57000</v>
      </c>
      <c r="H1197" s="6" t="n">
        <v>70000</v>
      </c>
      <c r="I1197" s="4" t="inlineStr">
        <is>
          <t>Cái 12C/H 48C/T</t>
        </is>
      </c>
    </row>
    <row r="1198">
      <c r="A1198" s="3" t="n">
        <v>1197</v>
      </c>
      <c r="B1198" s="3" t="n">
        <v>59</v>
      </c>
      <c r="C1198" s="3" t="inlineStr">
        <is>
          <t>4</t>
        </is>
      </c>
      <c r="D1198" s="4" t="inlineStr">
        <is>
          <t>LA-100.25 10m*25mm</t>
        </is>
      </c>
      <c r="E1198" s="3" t="inlineStr">
        <is>
          <t>Cái</t>
        </is>
      </c>
      <c r="F1198" s="5" t="n">
        <v>64000</v>
      </c>
      <c r="G1198" s="5" t="n">
        <v>76000</v>
      </c>
      <c r="H1198" s="6" t="n">
        <v>93000</v>
      </c>
      <c r="I1198" s="4" t="inlineStr">
        <is>
          <t>Cái 6C/H 48C/T</t>
        </is>
      </c>
    </row>
    <row r="1199">
      <c r="A1199" s="3" t="n">
        <v>1198</v>
      </c>
      <c r="B1199" s="3" t="n">
        <v>59</v>
      </c>
      <c r="C1199" s="3" t="inlineStr">
        <is>
          <t>5</t>
        </is>
      </c>
      <c r="D1199" s="4" t="inlineStr">
        <is>
          <t>LA-50.19 (new) 5.0m*19mm</t>
        </is>
      </c>
      <c r="E1199" s="3" t="inlineStr">
        <is>
          <t>Cái</t>
        </is>
      </c>
      <c r="F1199" s="5" t="n">
        <v>33000</v>
      </c>
      <c r="G1199" s="5" t="n">
        <v>39000</v>
      </c>
      <c r="H1199" s="6" t="n">
        <v>48000</v>
      </c>
      <c r="I1199" s="4" t="inlineStr">
        <is>
          <t>Cái 6C/H 60C/T</t>
        </is>
      </c>
    </row>
    <row r="1200">
      <c r="A1200" s="3" t="n">
        <v>1199</v>
      </c>
      <c r="B1200" s="3" t="n">
        <v>59</v>
      </c>
      <c r="C1200" s="3" t="inlineStr">
        <is>
          <t>6</t>
        </is>
      </c>
      <c r="D1200" s="4" t="inlineStr">
        <is>
          <t>LA-50.25 (new) 5.0m*25mm</t>
        </is>
      </c>
      <c r="E1200" s="3" t="inlineStr">
        <is>
          <t>Cái</t>
        </is>
      </c>
      <c r="F1200" s="5" t="n">
        <v>37000</v>
      </c>
      <c r="G1200" s="5" t="n">
        <v>44000</v>
      </c>
      <c r="H1200" s="6" t="n">
        <v>54000</v>
      </c>
      <c r="I1200" s="4" t="inlineStr">
        <is>
          <t>Cái 6C/H 60C/T</t>
        </is>
      </c>
    </row>
    <row r="1201">
      <c r="A1201" s="3" t="n">
        <v>1200</v>
      </c>
      <c r="B1201" s="3" t="n">
        <v>59</v>
      </c>
      <c r="C1201" s="3" t="inlineStr">
        <is>
          <t>7</t>
        </is>
      </c>
      <c r="D1201" s="4" t="inlineStr">
        <is>
          <t>LA-75.25 (new) 7.5m*25mm</t>
        </is>
      </c>
      <c r="E1201" s="3" t="inlineStr">
        <is>
          <t>Cái</t>
        </is>
      </c>
      <c r="F1201" s="5" t="n">
        <v>55000</v>
      </c>
      <c r="G1201" s="5" t="n">
        <v>65000</v>
      </c>
      <c r="H1201" s="6" t="n">
        <v>80000</v>
      </c>
      <c r="I1201" s="4" t="inlineStr">
        <is>
          <t>Cái 6C/H 48C/T</t>
        </is>
      </c>
    </row>
    <row r="1202">
      <c r="A1202" s="3" t="n">
        <v>1201</v>
      </c>
      <c r="B1202" s="3" t="n">
        <v>59</v>
      </c>
      <c r="C1202" s="3" t="inlineStr">
        <is>
          <t>8</t>
        </is>
      </c>
      <c r="D1202" s="4" t="inlineStr">
        <is>
          <t>LA-100.25 (new) 10m*25mm</t>
        </is>
      </c>
      <c r="E1202" s="3" t="inlineStr">
        <is>
          <t>Cái</t>
        </is>
      </c>
      <c r="F1202" s="5" t="n">
        <v>75000</v>
      </c>
      <c r="G1202" s="5" t="n">
        <v>89000</v>
      </c>
      <c r="H1202" s="6" t="n">
        <v>109000</v>
      </c>
      <c r="I1202" s="4" t="inlineStr">
        <is>
          <t>Cái 6C/H 36C/T màu trắng</t>
        </is>
      </c>
    </row>
    <row r="1203">
      <c r="A1203" s="3" t="n">
        <v>1202</v>
      </c>
      <c r="B1203" s="3" t="n">
        <v>59</v>
      </c>
      <c r="C1203" s="3" t="inlineStr">
        <is>
          <t>9</t>
        </is>
      </c>
      <c r="D1203" s="4" t="inlineStr">
        <is>
          <t>LB-35.16 3.5m*16mm</t>
        </is>
      </c>
      <c r="E1203" s="3" t="inlineStr">
        <is>
          <t>Cái</t>
        </is>
      </c>
      <c r="F1203" s="5" t="n">
        <v>22000</v>
      </c>
      <c r="G1203" s="5" t="n">
        <v>26000</v>
      </c>
      <c r="H1203" s="6" t="n">
        <v>32000</v>
      </c>
      <c r="I1203" s="4" t="inlineStr">
        <is>
          <t>Cái 12/H 168C/T</t>
        </is>
      </c>
    </row>
    <row r="1204">
      <c r="A1204" s="3" t="n">
        <v>1203</v>
      </c>
      <c r="B1204" s="3" t="n">
        <v>59</v>
      </c>
      <c r="C1204" s="3" t="inlineStr">
        <is>
          <t>10</t>
        </is>
      </c>
      <c r="D1204" s="4" t="inlineStr">
        <is>
          <t>LB-50.19 5m*19mm</t>
        </is>
      </c>
      <c r="E1204" s="3" t="inlineStr">
        <is>
          <t>Cái</t>
        </is>
      </c>
      <c r="F1204" s="5" t="n">
        <v>36000</v>
      </c>
      <c r="G1204" s="5" t="n">
        <v>42000</v>
      </c>
      <c r="H1204" s="6" t="n">
        <v>52000</v>
      </c>
      <c r="I1204" s="4" t="inlineStr">
        <is>
          <t>Cái 12/H 120C/T</t>
        </is>
      </c>
    </row>
    <row r="1205">
      <c r="A1205" s="3" t="n">
        <v>1204</v>
      </c>
      <c r="B1205" s="3" t="n">
        <v>59</v>
      </c>
      <c r="C1205" s="3" t="inlineStr">
        <is>
          <t>11</t>
        </is>
      </c>
      <c r="D1205" s="4" t="inlineStr">
        <is>
          <t>LB-100.25 10m*25mm</t>
        </is>
      </c>
      <c r="E1205" s="3" t="inlineStr">
        <is>
          <t>Cái</t>
        </is>
      </c>
      <c r="F1205" s="5" t="n">
        <v>75000</v>
      </c>
      <c r="G1205" s="5" t="n">
        <v>89000</v>
      </c>
      <c r="H1205" s="6" t="n">
        <v>109000</v>
      </c>
      <c r="I1205" s="4" t="inlineStr">
        <is>
          <t>Cái 6C/H 48C/T</t>
        </is>
      </c>
    </row>
    <row r="1206">
      <c r="A1206" s="3" t="n">
        <v>1205</v>
      </c>
      <c r="B1206" s="3" t="n">
        <v>59</v>
      </c>
      <c r="C1206" s="3" t="inlineStr">
        <is>
          <t>12</t>
        </is>
      </c>
      <c r="D1206" s="4" t="inlineStr">
        <is>
          <t>LC-20.13 2m*13mm</t>
        </is>
      </c>
      <c r="E1206" s="3" t="inlineStr">
        <is>
          <t>Cái</t>
        </is>
      </c>
      <c r="F1206" s="5" t="n">
        <v>25000</v>
      </c>
      <c r="G1206" s="5" t="n">
        <v>29000</v>
      </c>
      <c r="H1206" s="6" t="n">
        <v>36000</v>
      </c>
      <c r="I1206" s="4" t="inlineStr">
        <is>
          <t>Cái 50C/H 200C/T Thước kéo bọc cao su cao cấpmàu vàng</t>
        </is>
      </c>
    </row>
    <row r="1207">
      <c r="A1207" s="3" t="n">
        <v>1206</v>
      </c>
      <c r="B1207" s="3" t="n">
        <v>59</v>
      </c>
      <c r="C1207" s="3" t="inlineStr">
        <is>
          <t>13</t>
        </is>
      </c>
      <c r="D1207" s="4" t="inlineStr">
        <is>
          <t>LC-50.19 5m*19mm</t>
        </is>
      </c>
      <c r="E1207" s="3" t="inlineStr">
        <is>
          <t>Cái</t>
        </is>
      </c>
      <c r="F1207" s="5" t="n">
        <v>50000</v>
      </c>
      <c r="G1207" s="5" t="n">
        <v>59000</v>
      </c>
      <c r="H1207" s="6" t="n">
        <v>73000</v>
      </c>
      <c r="I1207" s="4" t="inlineStr">
        <is>
          <t>Cái 12C/H 120C/T</t>
        </is>
      </c>
    </row>
    <row r="1208">
      <c r="A1208" s="3" t="n">
        <v>1207</v>
      </c>
      <c r="B1208" s="3" t="n">
        <v>59</v>
      </c>
      <c r="C1208" s="3" t="inlineStr">
        <is>
          <t>14</t>
        </is>
      </c>
      <c r="D1208" s="4" t="inlineStr">
        <is>
          <t>LC-75.25 7.5m*25mm</t>
        </is>
      </c>
      <c r="E1208" s="3" t="inlineStr">
        <is>
          <t>Cái</t>
        </is>
      </c>
      <c r="F1208" s="5" t="n">
        <v>90000</v>
      </c>
      <c r="G1208" s="5" t="n">
        <v>106000</v>
      </c>
      <c r="H1208" s="6" t="n">
        <v>131000</v>
      </c>
      <c r="I1208" s="4" t="inlineStr">
        <is>
          <t>Cái 12C/H 48C/T</t>
        </is>
      </c>
    </row>
    <row r="1209">
      <c r="A1209" s="3" t="n">
        <v>1208</v>
      </c>
      <c r="B1209" s="3" t="n">
        <v>59</v>
      </c>
      <c r="C1209" s="3" t="inlineStr">
        <is>
          <t>15</t>
        </is>
      </c>
      <c r="D1209" s="4" t="inlineStr">
        <is>
          <t>MB-50.19 5m*19mm</t>
        </is>
      </c>
      <c r="E1209" s="3" t="inlineStr">
        <is>
          <t>Cái</t>
        </is>
      </c>
      <c r="F1209" s="5" t="n">
        <v>48000</v>
      </c>
      <c r="G1209" s="5" t="n">
        <v>57000</v>
      </c>
      <c r="H1209" s="6" t="n">
        <v>70000</v>
      </c>
      <c r="I1209" s="4" t="inlineStr">
        <is>
          <t>Cái 12C/H 120C/T</t>
        </is>
      </c>
    </row>
    <row r="1210">
      <c r="A1210" s="3" t="n">
        <v>1209</v>
      </c>
      <c r="B1210" s="3" t="n">
        <v>59</v>
      </c>
      <c r="C1210" s="3" t="inlineStr">
        <is>
          <t>16</t>
        </is>
      </c>
      <c r="D1210" s="4" t="inlineStr">
        <is>
          <t>MB-50.25 5m*25mm</t>
        </is>
      </c>
      <c r="E1210" s="3" t="inlineStr">
        <is>
          <t>Cái</t>
        </is>
      </c>
      <c r="F1210" s="5" t="n">
        <v>64000</v>
      </c>
      <c r="G1210" s="5" t="n">
        <v>76000</v>
      </c>
      <c r="H1210" s="6" t="n">
        <v>93000</v>
      </c>
      <c r="I1210" s="4" t="inlineStr">
        <is>
          <t>Cái 12C/H 96C/T</t>
        </is>
      </c>
    </row>
    <row r="1211">
      <c r="A1211" s="3" t="n">
        <v>1210</v>
      </c>
      <c r="B1211" s="3" t="n">
        <v>59</v>
      </c>
      <c r="C1211" s="3" t="inlineStr">
        <is>
          <t>17</t>
        </is>
      </c>
      <c r="D1211" s="4" t="inlineStr">
        <is>
          <t>MB-75.25 7.5m*25mm</t>
        </is>
      </c>
      <c r="E1211" s="3" t="inlineStr">
        <is>
          <t>Cái</t>
        </is>
      </c>
      <c r="F1211" s="5" t="n">
        <v>79000</v>
      </c>
      <c r="G1211" s="5" t="n">
        <v>93000</v>
      </c>
      <c r="H1211" s="6" t="n">
        <v>115000</v>
      </c>
      <c r="I1211" s="4" t="inlineStr">
        <is>
          <t>Cái 12C/H 48C/T</t>
        </is>
      </c>
    </row>
    <row r="1212">
      <c r="A1212" s="3" t="n">
        <v>1211</v>
      </c>
      <c r="B1212" s="3" t="n">
        <v>60</v>
      </c>
      <c r="C1212" s="3" t="inlineStr">
        <is>
          <t>18</t>
        </is>
      </c>
      <c r="D1212" s="4" t="inlineStr">
        <is>
          <t>MA-50.19 5m*19mm</t>
        </is>
      </c>
      <c r="E1212" s="3" t="inlineStr">
        <is>
          <t>Cái</t>
        </is>
      </c>
      <c r="F1212" s="5" t="n">
        <v>33000</v>
      </c>
      <c r="G1212" s="5" t="n">
        <v>39000</v>
      </c>
      <c r="H1212" s="6" t="n">
        <v>48000</v>
      </c>
      <c r="I1212" s="4" t="inlineStr">
        <is>
          <t>Cái 12C/H 120C/T</t>
        </is>
      </c>
    </row>
    <row r="1213">
      <c r="A1213" s="3" t="n">
        <v>1212</v>
      </c>
      <c r="B1213" s="3" t="n">
        <v>60</v>
      </c>
      <c r="C1213" s="3" t="inlineStr">
        <is>
          <t>19</t>
        </is>
      </c>
      <c r="D1213" s="4" t="inlineStr">
        <is>
          <t>MA-50.25 5m*25mm</t>
        </is>
      </c>
      <c r="E1213" s="3" t="inlineStr">
        <is>
          <t>Cái</t>
        </is>
      </c>
      <c r="F1213" s="5" t="n">
        <v>40000</v>
      </c>
      <c r="G1213" s="5" t="n">
        <v>47000</v>
      </c>
      <c r="H1213" s="6" t="n">
        <v>58000</v>
      </c>
      <c r="I1213" s="4" t="inlineStr">
        <is>
          <t>Cái 12C/H 120C/T</t>
        </is>
      </c>
    </row>
    <row r="1214">
      <c r="A1214" s="3" t="n">
        <v>1213</v>
      </c>
      <c r="B1214" s="3" t="n">
        <v>60</v>
      </c>
      <c r="C1214" s="3" t="inlineStr">
        <is>
          <t>20</t>
        </is>
      </c>
      <c r="D1214" s="4" t="inlineStr">
        <is>
          <t>MA-75.25 7.5m*25mm</t>
        </is>
      </c>
      <c r="E1214" s="3" t="inlineStr">
        <is>
          <t>Cái</t>
        </is>
      </c>
      <c r="F1214" s="5" t="n">
        <v>54000</v>
      </c>
      <c r="G1214" s="5" t="n">
        <v>64000</v>
      </c>
      <c r="H1214" s="6" t="n">
        <v>78000</v>
      </c>
      <c r="I1214" s="4" t="inlineStr">
        <is>
          <t>Cái 6C/H 72C/T</t>
        </is>
      </c>
    </row>
    <row r="1215">
      <c r="A1215" s="3" t="n">
        <v>1214</v>
      </c>
      <c r="B1215" s="3" t="n">
        <v>60</v>
      </c>
      <c r="C1215" s="3" t="inlineStr">
        <is>
          <t>21</t>
        </is>
      </c>
      <c r="D1215" s="4" t="inlineStr">
        <is>
          <t>MC-30.16 3m*16mm</t>
        </is>
      </c>
      <c r="E1215" s="3" t="inlineStr">
        <is>
          <t>Cái</t>
        </is>
      </c>
      <c r="F1215" s="5" t="n">
        <v>37000</v>
      </c>
      <c r="G1215" s="5" t="n">
        <v>44000</v>
      </c>
      <c r="H1215" s="6" t="n">
        <v>54000</v>
      </c>
      <c r="I1215" s="4" t="inlineStr">
        <is>
          <t>Cái 12C/H 144C/T</t>
        </is>
      </c>
    </row>
    <row r="1216">
      <c r="A1216" s="3" t="n">
        <v>1215</v>
      </c>
      <c r="B1216" s="3" t="n">
        <v>60</v>
      </c>
      <c r="C1216" s="3" t="inlineStr">
        <is>
          <t>22</t>
        </is>
      </c>
      <c r="D1216" s="4" t="inlineStr">
        <is>
          <t>MC-50.25 5m*25mm</t>
        </is>
      </c>
      <c r="E1216" s="3" t="inlineStr">
        <is>
          <t>Cái</t>
        </is>
      </c>
      <c r="F1216" s="5" t="n">
        <v>59000</v>
      </c>
      <c r="G1216" s="5" t="n">
        <v>70000</v>
      </c>
      <c r="H1216" s="6" t="n">
        <v>86000</v>
      </c>
      <c r="I1216" s="4" t="inlineStr">
        <is>
          <t>Cái 12C/H 72C/T</t>
        </is>
      </c>
    </row>
    <row r="1217">
      <c r="A1217" s="3" t="n">
        <v>1216</v>
      </c>
      <c r="B1217" s="3" t="n">
        <v>60</v>
      </c>
      <c r="C1217" s="3" t="inlineStr">
        <is>
          <t>23</t>
        </is>
      </c>
      <c r="D1217" s="4" t="inlineStr">
        <is>
          <t>MC-80.25 8m*25mm</t>
        </is>
      </c>
      <c r="E1217" s="3" t="inlineStr">
        <is>
          <t>Cái</t>
        </is>
      </c>
      <c r="F1217" s="5" t="n">
        <v>79000</v>
      </c>
      <c r="G1217" s="5" t="n">
        <v>93000</v>
      </c>
      <c r="H1217" s="6" t="n">
        <v>115000</v>
      </c>
      <c r="I1217" s="4" t="inlineStr">
        <is>
          <t>Cái 12C/H 48C/T</t>
        </is>
      </c>
    </row>
    <row r="1218">
      <c r="A1218" s="3" t="n">
        <v>1217</v>
      </c>
      <c r="B1218" s="3" t="n">
        <v>60</v>
      </c>
      <c r="C1218" s="3" t="inlineStr">
        <is>
          <t>24</t>
        </is>
      </c>
      <c r="D1218" s="4" t="inlineStr">
        <is>
          <t>MD-50.25 5m*25mm</t>
        </is>
      </c>
      <c r="E1218" s="3" t="inlineStr">
        <is>
          <t>Cái</t>
        </is>
      </c>
      <c r="F1218" s="5" t="n">
        <v>64000</v>
      </c>
      <c r="G1218" s="5" t="n">
        <v>76000</v>
      </c>
      <c r="H1218" s="6" t="n">
        <v>93000</v>
      </c>
      <c r="I1218" s="4" t="inlineStr">
        <is>
          <t>Cái 12C/H 72C/T</t>
        </is>
      </c>
    </row>
    <row r="1219">
      <c r="A1219" s="3" t="n">
        <v>1218</v>
      </c>
      <c r="B1219" s="3" t="n">
        <v>60</v>
      </c>
      <c r="C1219" s="3" t="inlineStr">
        <is>
          <t>25</t>
        </is>
      </c>
      <c r="D1219" s="4" t="inlineStr">
        <is>
          <t>MD-80.25 8m*25mm</t>
        </is>
      </c>
      <c r="E1219" s="3" t="inlineStr">
        <is>
          <t>Cái</t>
        </is>
      </c>
      <c r="F1219" s="5" t="n">
        <v>81000</v>
      </c>
      <c r="G1219" s="5" t="n">
        <v>96000</v>
      </c>
      <c r="H1219" s="6" t="n">
        <v>118000</v>
      </c>
      <c r="I1219" s="4" t="inlineStr">
        <is>
          <t>Cái 12C/H 48C/T</t>
        </is>
      </c>
    </row>
    <row r="1220">
      <c r="A1220" s="3" t="n">
        <v>1219</v>
      </c>
      <c r="B1220" s="3" t="n">
        <v>60</v>
      </c>
      <c r="C1220" s="3" t="inlineStr">
        <is>
          <t>26</t>
        </is>
      </c>
      <c r="D1220" s="4" t="inlineStr">
        <is>
          <t>KTT-25A 225mm</t>
        </is>
      </c>
      <c r="E1220" s="3" t="inlineStr">
        <is>
          <t>Cái</t>
        </is>
      </c>
      <c r="F1220" s="5" t="n">
        <v>35000</v>
      </c>
      <c r="G1220" s="5" t="n">
        <v>41000</v>
      </c>
      <c r="H1220" s="6" t="n">
        <v>51000</v>
      </c>
      <c r="I1220" s="4" t="inlineStr">
        <is>
          <t>Cái 100C/T Thước công nghiệp mini 3 bọt thuỷ</t>
        </is>
      </c>
    </row>
    <row r="1221">
      <c r="A1221" s="3" t="n">
        <v>1220</v>
      </c>
      <c r="B1221" s="3" t="n">
        <v>60</v>
      </c>
      <c r="C1221" s="3" t="inlineStr">
        <is>
          <t>27</t>
        </is>
      </c>
      <c r="D1221" s="4" t="inlineStr">
        <is>
          <t>KTT-30A 300mm</t>
        </is>
      </c>
      <c r="E1221" s="3" t="inlineStr">
        <is>
          <t>Cái</t>
        </is>
      </c>
      <c r="F1221" s="5" t="n">
        <v>79000</v>
      </c>
      <c r="G1221" s="5" t="n">
        <v>93000</v>
      </c>
      <c r="H1221" s="6" t="n">
        <v>115000</v>
      </c>
      <c r="I1221" s="4" t="inlineStr">
        <is>
          <t>Cái 60C/T</t>
        </is>
      </c>
    </row>
    <row r="1222">
      <c r="A1222" s="3" t="n">
        <v>1221</v>
      </c>
      <c r="B1222" s="3" t="n">
        <v>60</v>
      </c>
      <c r="C1222" s="3" t="inlineStr">
        <is>
          <t>28</t>
        </is>
      </c>
      <c r="D1222" s="4" t="inlineStr">
        <is>
          <t>KTT-45A 450mm</t>
        </is>
      </c>
      <c r="E1222" s="3" t="inlineStr">
        <is>
          <t>Cái</t>
        </is>
      </c>
      <c r="F1222" s="5" t="n">
        <v>101000</v>
      </c>
      <c r="G1222" s="5" t="n">
        <v>119000</v>
      </c>
      <c r="H1222" s="6" t="n">
        <v>147000</v>
      </c>
      <c r="I1222" s="4" t="inlineStr">
        <is>
          <t>Cái 60C/T</t>
        </is>
      </c>
    </row>
    <row r="1223">
      <c r="A1223" s="3" t="n">
        <v>1222</v>
      </c>
      <c r="B1223" s="3" t="n">
        <v>60</v>
      </c>
      <c r="C1223" s="3" t="inlineStr">
        <is>
          <t>29</t>
        </is>
      </c>
      <c r="D1223" s="4" t="inlineStr">
        <is>
          <t>KTT-60A 600mm</t>
        </is>
      </c>
      <c r="E1223" s="3" t="inlineStr">
        <is>
          <t>Cái</t>
        </is>
      </c>
      <c r="F1223" s="5" t="n">
        <v>128000</v>
      </c>
      <c r="G1223" s="5" t="n">
        <v>151000</v>
      </c>
      <c r="H1223" s="6" t="n">
        <v>186000</v>
      </c>
      <c r="I1223" s="4" t="inlineStr">
        <is>
          <t>Cái 60C/T</t>
        </is>
      </c>
    </row>
    <row r="1224">
      <c r="A1224" s="3" t="n">
        <v>1223</v>
      </c>
      <c r="B1224" s="3" t="n">
        <v>60</v>
      </c>
      <c r="C1224" s="3" t="inlineStr">
        <is>
          <t>30</t>
        </is>
      </c>
      <c r="D1224" s="4" t="inlineStr">
        <is>
          <t>KTT-80A 800mm</t>
        </is>
      </c>
      <c r="E1224" s="3" t="inlineStr">
        <is>
          <t>Cái</t>
        </is>
      </c>
      <c r="F1224" s="5" t="n">
        <v>163000</v>
      </c>
      <c r="G1224" s="5" t="n">
        <v>192000</v>
      </c>
      <c r="H1224" s="6" t="n">
        <v>236000</v>
      </c>
      <c r="I1224" s="4" t="inlineStr">
        <is>
          <t>Cái 30C/T</t>
        </is>
      </c>
    </row>
    <row r="1225">
      <c r="A1225" s="3" t="n">
        <v>1224</v>
      </c>
      <c r="B1225" s="3" t="n">
        <v>60</v>
      </c>
      <c r="C1225" s="3" t="inlineStr">
        <is>
          <t>32</t>
        </is>
      </c>
      <c r="D1225" s="4" t="inlineStr">
        <is>
          <t>KTT-30B 300mm</t>
        </is>
      </c>
      <c r="E1225" s="3" t="inlineStr">
        <is>
          <t>Cái</t>
        </is>
      </c>
      <c r="F1225" s="5" t="n">
        <v>108000</v>
      </c>
      <c r="G1225" s="5" t="n">
        <v>128000</v>
      </c>
      <c r="H1225" s="6" t="n">
        <v>157000</v>
      </c>
      <c r="I1225" s="4" t="inlineStr">
        <is>
          <t>Cái 40C/T</t>
        </is>
      </c>
    </row>
    <row r="1226">
      <c r="A1226" s="3" t="n">
        <v>1225</v>
      </c>
      <c r="B1226" s="3" t="n">
        <v>60</v>
      </c>
      <c r="C1226" s="3" t="inlineStr">
        <is>
          <t>33</t>
        </is>
      </c>
      <c r="D1226" s="4" t="inlineStr">
        <is>
          <t>KTT-40B 400mm</t>
        </is>
      </c>
      <c r="E1226" s="3" t="inlineStr">
        <is>
          <t>Cái</t>
        </is>
      </c>
      <c r="F1226" s="5" t="n">
        <v>132000</v>
      </c>
      <c r="G1226" s="5" t="n">
        <v>156000</v>
      </c>
      <c r="H1226" s="6" t="n">
        <v>191000</v>
      </c>
      <c r="I1226" s="4" t="inlineStr">
        <is>
          <t>Cái 40C/T</t>
        </is>
      </c>
    </row>
    <row r="1227">
      <c r="A1227" s="3" t="n">
        <v>1226</v>
      </c>
      <c r="B1227" s="3" t="n">
        <v>60</v>
      </c>
      <c r="C1227" s="3" t="inlineStr">
        <is>
          <t>34</t>
        </is>
      </c>
      <c r="D1227" s="4" t="inlineStr">
        <is>
          <t>KTT-50B 500mm</t>
        </is>
      </c>
      <c r="E1227" s="3" t="inlineStr">
        <is>
          <t>Cái</t>
        </is>
      </c>
      <c r="F1227" s="5" t="n">
        <v>150000</v>
      </c>
      <c r="G1227" s="5" t="n">
        <v>177000</v>
      </c>
      <c r="H1227" s="6" t="n">
        <v>218000</v>
      </c>
      <c r="I1227" s="4" t="inlineStr">
        <is>
          <t>Cái 40C/T</t>
        </is>
      </c>
    </row>
    <row r="1228">
      <c r="A1228" s="3" t="n">
        <v>1227</v>
      </c>
      <c r="B1228" s="3" t="n">
        <v>60</v>
      </c>
      <c r="C1228" s="3" t="inlineStr">
        <is>
          <t>35</t>
        </is>
      </c>
      <c r="D1228" s="4" t="inlineStr">
        <is>
          <t>KTT-60B 600mm</t>
        </is>
      </c>
      <c r="E1228" s="3" t="inlineStr">
        <is>
          <t>Cái</t>
        </is>
      </c>
      <c r="F1228" s="5" t="n">
        <v>182000</v>
      </c>
      <c r="G1228" s="5" t="n">
        <v>215000</v>
      </c>
      <c r="H1228" s="6" t="n">
        <v>264000</v>
      </c>
      <c r="I1228" s="4" t="inlineStr">
        <is>
          <t>Cái 40C/T</t>
        </is>
      </c>
    </row>
    <row r="1229">
      <c r="A1229" s="3" t="n">
        <v>1228</v>
      </c>
      <c r="B1229" s="3" t="n">
        <v>60</v>
      </c>
      <c r="C1229" s="3" t="inlineStr">
        <is>
          <t>36</t>
        </is>
      </c>
      <c r="D1229" s="4" t="inlineStr">
        <is>
          <t>KTT-80B 800mm</t>
        </is>
      </c>
      <c r="E1229" s="3" t="inlineStr">
        <is>
          <t>Cái</t>
        </is>
      </c>
      <c r="F1229" s="5" t="n">
        <v>231000</v>
      </c>
      <c r="G1229" s="5" t="n">
        <v>273000</v>
      </c>
      <c r="H1229" s="6" t="n">
        <v>335000</v>
      </c>
      <c r="I1229" s="4" t="inlineStr">
        <is>
          <t>Cái 40C/T</t>
        </is>
      </c>
    </row>
    <row r="1230">
      <c r="A1230" s="3" t="n">
        <v>1229</v>
      </c>
      <c r="B1230" s="3" t="n">
        <v>60</v>
      </c>
      <c r="C1230" s="3" t="inlineStr">
        <is>
          <t>37</t>
        </is>
      </c>
      <c r="D1230" s="4" t="inlineStr">
        <is>
          <t>KTT-100B 1000mm</t>
        </is>
      </c>
      <c r="E1230" s="3" t="inlineStr">
        <is>
          <t>Cái</t>
        </is>
      </c>
      <c r="F1230" s="5" t="n">
        <v>262000</v>
      </c>
      <c r="G1230" s="5" t="n">
        <v>309000</v>
      </c>
      <c r="H1230" s="6" t="n">
        <v>380000</v>
      </c>
      <c r="I1230" s="4" t="inlineStr">
        <is>
          <t>Cái 40C/T</t>
        </is>
      </c>
    </row>
    <row r="1231">
      <c r="A1231" s="3" t="n">
        <v>1230</v>
      </c>
      <c r="B1231" s="3" t="n">
        <v>60</v>
      </c>
      <c r="C1231" s="3" t="inlineStr">
        <is>
          <t>38</t>
        </is>
      </c>
      <c r="D1231" s="4" t="inlineStr">
        <is>
          <t>KTT-25C 250mm</t>
        </is>
      </c>
      <c r="E1231" s="3" t="inlineStr">
        <is>
          <t>Cái</t>
        </is>
      </c>
      <c r="F1231" s="5" t="n">
        <v>149000</v>
      </c>
      <c r="G1231" s="5" t="n">
        <v>176000</v>
      </c>
      <c r="H1231" s="6" t="n">
        <v>216000</v>
      </c>
      <c r="I1231" s="4" t="inlineStr">
        <is>
          <t>Cái 60C/T Khung nhôm đúc nguyên khối , 3 bọt thuỷĐộ chính xác 0.5mm/1m</t>
        </is>
      </c>
    </row>
    <row r="1232">
      <c r="A1232" s="3" t="n">
        <v>1231</v>
      </c>
      <c r="B1232" s="3" t="n">
        <v>60</v>
      </c>
      <c r="C1232" s="3" t="inlineStr">
        <is>
          <t>39</t>
        </is>
      </c>
      <c r="D1232" s="4" t="inlineStr">
        <is>
          <t>KTT-40C 400mm</t>
        </is>
      </c>
      <c r="E1232" s="3" t="inlineStr">
        <is>
          <t>Cái</t>
        </is>
      </c>
      <c r="F1232" s="5" t="n">
        <v>149000</v>
      </c>
      <c r="G1232" s="5" t="n">
        <v>176000</v>
      </c>
      <c r="H1232" s="6" t="n">
        <v>216000</v>
      </c>
      <c r="I1232" s="4" t="inlineStr">
        <is>
          <t>Cái 60C/T</t>
        </is>
      </c>
    </row>
    <row r="1233">
      <c r="A1233" s="3" t="n">
        <v>1232</v>
      </c>
      <c r="B1233" s="3" t="n">
        <v>60</v>
      </c>
      <c r="C1233" s="3" t="inlineStr">
        <is>
          <t>40</t>
        </is>
      </c>
      <c r="D1233" s="4" t="inlineStr">
        <is>
          <t>KTT-50C 500mm</t>
        </is>
      </c>
      <c r="E1233" s="3" t="inlineStr">
        <is>
          <t>Cái</t>
        </is>
      </c>
      <c r="F1233" s="5" t="n">
        <v>152000</v>
      </c>
      <c r="G1233" s="5" t="n">
        <v>179000</v>
      </c>
      <c r="H1233" s="6" t="n">
        <v>220000</v>
      </c>
      <c r="I1233" s="4" t="inlineStr">
        <is>
          <t>Cái 60C/T</t>
        </is>
      </c>
    </row>
    <row r="1234">
      <c r="A1234" s="3" t="n">
        <v>1233</v>
      </c>
      <c r="B1234" s="3" t="n">
        <v>60</v>
      </c>
      <c r="C1234" s="3" t="inlineStr">
        <is>
          <t>41</t>
        </is>
      </c>
      <c r="D1234" s="4" t="inlineStr">
        <is>
          <t>KTT-60C 600mm</t>
        </is>
      </c>
      <c r="E1234" s="3" t="inlineStr">
        <is>
          <t>Cái</t>
        </is>
      </c>
      <c r="F1234" s="5" t="n">
        <v>163000</v>
      </c>
      <c r="G1234" s="5" t="n">
        <v>192000</v>
      </c>
      <c r="H1234" s="6" t="n">
        <v>236000</v>
      </c>
      <c r="I1234" s="4" t="inlineStr">
        <is>
          <t>Cái 60C/T</t>
        </is>
      </c>
    </row>
    <row r="1235">
      <c r="A1235" s="3" t="n">
        <v>1234</v>
      </c>
      <c r="B1235" s="3" t="n">
        <v>60</v>
      </c>
      <c r="C1235" s="3" t="inlineStr">
        <is>
          <t>42</t>
        </is>
      </c>
      <c r="D1235" s="4" t="inlineStr">
        <is>
          <t>KMC-30 30m</t>
        </is>
      </c>
      <c r="E1235" s="3" t="inlineStr">
        <is>
          <t>Cái</t>
        </is>
      </c>
      <c r="F1235" s="5" t="n">
        <v>193000</v>
      </c>
      <c r="G1235" s="5" t="n">
        <v>228000</v>
      </c>
      <c r="H1235" s="6" t="n">
        <v>280000</v>
      </c>
      <c r="I1235" s="4" t="inlineStr">
        <is>
          <t>Cái 1C/H 20C/T</t>
        </is>
      </c>
    </row>
    <row r="1236">
      <c r="A1236" s="3" t="n">
        <v>1235</v>
      </c>
      <c r="B1236" s="3" t="n">
        <v>60</v>
      </c>
      <c r="C1236" s="3" t="inlineStr">
        <is>
          <t>43</t>
        </is>
      </c>
      <c r="D1236" s="4" t="inlineStr">
        <is>
          <t>KMC-50 50m</t>
        </is>
      </c>
      <c r="E1236" s="3" t="inlineStr">
        <is>
          <t>Cái</t>
        </is>
      </c>
      <c r="F1236" s="5" t="n">
        <v>256000</v>
      </c>
      <c r="G1236" s="5" t="n">
        <v>302000</v>
      </c>
      <c r="H1236" s="6" t="n">
        <v>371000</v>
      </c>
      <c r="I1236" s="4" t="inlineStr">
        <is>
          <t>Cái 1C/H 20C/T</t>
        </is>
      </c>
    </row>
    <row r="1237">
      <c r="A1237" s="3" t="n">
        <v>1236</v>
      </c>
      <c r="B1237" s="3" t="n">
        <v>60</v>
      </c>
      <c r="C1237" s="3" t="inlineStr">
        <is>
          <t>44</t>
        </is>
      </c>
      <c r="D1237" s="4" t="inlineStr">
        <is>
          <t>TK-150 0-150mm</t>
        </is>
      </c>
      <c r="E1237" s="3" t="inlineStr">
        <is>
          <t>Cái</t>
        </is>
      </c>
      <c r="F1237" s="5" t="n">
        <v>182000</v>
      </c>
      <c r="G1237" s="5" t="n">
        <v>215000</v>
      </c>
      <c r="H1237" s="6" t="n">
        <v>264000</v>
      </c>
      <c r="I1237" s="4" t="inlineStr">
        <is>
          <t>Cái 1C/H 50C/T Dải đo: 0-150mm/ 0-6inch</t>
        </is>
      </c>
    </row>
    <row r="1238">
      <c r="A1238" s="3" t="n">
        <v>1237</v>
      </c>
      <c r="B1238" s="3" t="n">
        <v>60</v>
      </c>
      <c r="C1238" s="3" t="inlineStr">
        <is>
          <t>45</t>
        </is>
      </c>
      <c r="D1238" s="4" t="inlineStr">
        <is>
          <t>TK-200 0-200mm</t>
        </is>
      </c>
      <c r="E1238" s="3" t="inlineStr">
        <is>
          <t>Cái</t>
        </is>
      </c>
      <c r="F1238" s="5" t="n">
        <v>286000</v>
      </c>
      <c r="G1238" s="5" t="n">
        <v>338000</v>
      </c>
      <c r="H1238" s="6" t="n">
        <v>415000</v>
      </c>
      <c r="I1238" s="4" t="inlineStr">
        <is>
          <t>Cái 1C/H 50C/T Dải đo: 0-200mm/ 0-8inch</t>
        </is>
      </c>
    </row>
    <row r="1239">
      <c r="A1239" s="3" t="n">
        <v>1238</v>
      </c>
      <c r="B1239" s="3" t="n">
        <v>60</v>
      </c>
      <c r="C1239" s="3" t="inlineStr">
        <is>
          <t>46</t>
        </is>
      </c>
      <c r="D1239" s="4" t="inlineStr">
        <is>
          <t>Thước kẹp điện tử TKE-150 0-150mm</t>
        </is>
      </c>
      <c r="E1239" s="3" t="inlineStr">
        <is>
          <t>Cái</t>
        </is>
      </c>
      <c r="F1239" s="5" t="n">
        <v>539000</v>
      </c>
      <c r="G1239" s="5" t="n">
        <v>636000</v>
      </c>
      <c r="H1239" s="6" t="n">
        <v>782000</v>
      </c>
      <c r="I1239" s="4" t="inlineStr">
        <is>
          <t>Cái 1C/H 50C/T</t>
        </is>
      </c>
    </row>
    <row r="1240">
      <c r="A1240" s="3" t="n">
        <v>1239</v>
      </c>
      <c r="B1240" s="3" t="n">
        <v>60</v>
      </c>
      <c r="C1240" s="3" t="inlineStr">
        <is>
          <t>47</t>
        </is>
      </c>
      <c r="D1240" s="4" t="inlineStr">
        <is>
          <t>Thước Panme TK-025 0-25mm</t>
        </is>
      </c>
      <c r="E1240" s="3" t="inlineStr">
        <is>
          <t>Cái</t>
        </is>
      </c>
      <c r="F1240" s="5" t="n">
        <v>396000</v>
      </c>
      <c r="G1240" s="5" t="n">
        <v>467000</v>
      </c>
      <c r="H1240" s="6" t="n">
        <v>574000</v>
      </c>
      <c r="I1240" s="4" t="inlineStr">
        <is>
          <t>Cái 1C/H 50C/T</t>
        </is>
      </c>
    </row>
    <row r="1241">
      <c r="A1241" s="3" t="n">
        <v>1240</v>
      </c>
      <c r="B1241" s="3" t="n">
        <v>60</v>
      </c>
      <c r="C1241" s="3" t="inlineStr"/>
      <c r="D1241" s="4" t="inlineStr">
        <is>
          <t>KHD4212 NEW 420*340*120mmTL:</t>
        </is>
      </c>
      <c r="E1241" s="3" t="inlineStr">
        <is>
          <t>Cái</t>
        </is>
      </c>
      <c r="F1241" s="5" t="n">
        <v>1996</v>
      </c>
      <c r="G1241" s="5" t="n">
        <v>539000</v>
      </c>
      <c r="H1241" s="6" t="n">
        <v>615000</v>
      </c>
      <c r="I1241" s="4" t="inlineStr">
        <is>
          <t>Cái</t>
        </is>
      </c>
    </row>
    <row r="1242">
      <c r="A1242" s="3" t="n">
        <v>1241</v>
      </c>
      <c r="B1242" s="3" t="n">
        <v>60</v>
      </c>
      <c r="C1242" s="3" t="inlineStr"/>
      <c r="D1242" s="4" t="inlineStr">
        <is>
          <t>KHD4216 420*340*160mmTL:</t>
        </is>
      </c>
      <c r="E1242" s="3" t="inlineStr">
        <is>
          <t>Cái</t>
        </is>
      </c>
      <c r="F1242" s="5" t="n">
        <v>2065</v>
      </c>
      <c r="G1242" s="5" t="n">
        <v>484000</v>
      </c>
      <c r="H1242" s="6" t="n">
        <v>552000</v>
      </c>
      <c r="I1242" s="4" t="inlineStr">
        <is>
          <t>Cái Vật liệu: nhựa ABSChống nước, chống va đập</t>
        </is>
      </c>
    </row>
    <row r="1243">
      <c r="A1243" s="3" t="n">
        <v>1242</v>
      </c>
      <c r="B1243" s="3" t="n">
        <v>60</v>
      </c>
      <c r="C1243" s="3" t="inlineStr"/>
      <c r="D1243" s="4" t="inlineStr"/>
      <c r="E1243" s="3" t="inlineStr">
        <is>
          <t>Cái</t>
        </is>
      </c>
      <c r="F1243" s="5" t="n">
        <v>825000</v>
      </c>
      <c r="G1243" s="5" t="n">
        <v>941000</v>
      </c>
      <c r="H1243" s="6" t="n">
        <v>1114000</v>
      </c>
      <c r="I1243" s="4" t="inlineStr">
        <is>
          <t>Cái Vật liệu: nhựa nguyên sinh ABS độ bền caoChống nước, chống va đập</t>
        </is>
      </c>
    </row>
    <row r="1244">
      <c r="A1244" s="3" t="n">
        <v>1243</v>
      </c>
      <c r="B1244" s="3" t="n">
        <v>60</v>
      </c>
      <c r="C1244" s="3" t="inlineStr"/>
      <c r="D1244" s="4" t="inlineStr">
        <is>
          <t>KHD20 460*260*200mmTL: 2.9kg</t>
        </is>
      </c>
      <c r="E1244" s="3" t="inlineStr">
        <is>
          <t>Cái</t>
        </is>
      </c>
      <c r="F1244" s="5" t="n">
        <v>396000</v>
      </c>
      <c r="G1244" s="5" t="n">
        <v>452000</v>
      </c>
      <c r="H1244" s="6" t="n">
        <v>535000</v>
      </c>
      <c r="I1244" s="4" t="inlineStr">
        <is>
          <t>Cái</t>
        </is>
      </c>
    </row>
    <row r="1245">
      <c r="A1245" s="3" t="n">
        <v>1244</v>
      </c>
      <c r="B1245" s="3" t="n">
        <v>61</v>
      </c>
      <c r="C1245" s="3" t="inlineStr"/>
      <c r="D1245" s="4" t="inlineStr">
        <is>
          <t>LED7000 190*145*440mmTL: 2850g</t>
        </is>
      </c>
      <c r="E1245" s="3" t="inlineStr">
        <is>
          <t>Cái</t>
        </is>
      </c>
      <c r="F1245" s="5" t="n">
        <v>3200000</v>
      </c>
      <c r="G1245" s="5" t="n">
        <v>3648000</v>
      </c>
      <c r="H1245" s="6" t="n">
        <v>4320000</v>
      </c>
      <c r="I1245" s="4" t="inlineStr">
        <is>
          <t>Cái 1C/H 2C/T</t>
        </is>
      </c>
    </row>
    <row r="1246">
      <c r="A1246" s="3" t="n">
        <v>1245</v>
      </c>
      <c r="B1246" s="3" t="n">
        <v>61</v>
      </c>
      <c r="C1246" s="3" t="inlineStr"/>
      <c r="D1246" s="4" t="inlineStr">
        <is>
          <t>LED6500 250*145*300mmTL: 2400g</t>
        </is>
      </c>
      <c r="E1246" s="3" t="inlineStr">
        <is>
          <t>Cái</t>
        </is>
      </c>
      <c r="F1246" s="5" t="n">
        <v>1800000</v>
      </c>
      <c r="G1246" s="5" t="n">
        <v>2052000</v>
      </c>
      <c r="H1246" s="6" t="n">
        <v>2430000</v>
      </c>
      <c r="I1246" s="4" t="inlineStr">
        <is>
          <t>Cái 1C/H 4C/T</t>
        </is>
      </c>
    </row>
    <row r="1247">
      <c r="A1247" s="3" t="n">
        <v>1246</v>
      </c>
      <c r="B1247" s="3" t="n">
        <v>61</v>
      </c>
      <c r="C1247" s="3" t="inlineStr"/>
      <c r="D1247" s="4" t="inlineStr">
        <is>
          <t>LED600 186*53.5*36mm TL: 245g</t>
        </is>
      </c>
      <c r="E1247" s="3" t="inlineStr">
        <is>
          <t>Cái</t>
        </is>
      </c>
      <c r="F1247" s="5" t="n">
        <v>650000</v>
      </c>
      <c r="G1247" s="5" t="n">
        <v>741000</v>
      </c>
      <c r="H1247" s="6" t="n">
        <v>878000</v>
      </c>
      <c r="I1247" s="4" t="inlineStr">
        <is>
          <t>Cái 1C/H 10C/T</t>
        </is>
      </c>
    </row>
    <row r="1248">
      <c r="A1248" s="3" t="n">
        <v>1247</v>
      </c>
      <c r="B1248" s="3" t="n">
        <v>61</v>
      </c>
      <c r="C1248" s="3" t="inlineStr"/>
      <c r="D1248" s="4" t="inlineStr"/>
      <c r="E1248" s="3" t="inlineStr">
        <is>
          <t>Cái</t>
        </is>
      </c>
      <c r="F1248" s="5" t="n">
        <v>490000</v>
      </c>
      <c r="G1248" s="5" t="n">
        <v>559000</v>
      </c>
      <c r="H1248" s="6" t="n">
        <v>662000</v>
      </c>
      <c r="I1248" s="4" t="inlineStr">
        <is>
          <t>Cái 1C/H 24C/T</t>
        </is>
      </c>
    </row>
    <row r="1249">
      <c r="A1249" s="3" t="n">
        <v>1248</v>
      </c>
      <c r="B1249" s="3" t="n">
        <v>62</v>
      </c>
      <c r="C1249" s="3" t="inlineStr"/>
      <c r="D1249" s="4" t="inlineStr">
        <is>
          <t>LED500 68*39*40 mmTL: 113g</t>
        </is>
      </c>
      <c r="E1249" s="3" t="inlineStr">
        <is>
          <t>Cái</t>
        </is>
      </c>
      <c r="F1249" s="5" t="n">
        <v>440000</v>
      </c>
      <c r="G1249" s="5" t="n">
        <v>502000</v>
      </c>
      <c r="H1249" s="6" t="n">
        <v>594000</v>
      </c>
      <c r="I1249" s="4" t="inlineStr">
        <is>
          <t>Cái 1c/H 24c/T</t>
        </is>
      </c>
    </row>
    <row r="1250">
      <c r="A1250" s="3" t="n">
        <v>1249</v>
      </c>
      <c r="B1250" s="3" t="n">
        <v>62</v>
      </c>
      <c r="C1250" s="3" t="inlineStr"/>
      <c r="D1250" s="4" t="inlineStr">
        <is>
          <t>LED800 81,5*43*45mmTL: 105 g</t>
        </is>
      </c>
      <c r="E1250" s="3" t="inlineStr">
        <is>
          <t>Cái</t>
        </is>
      </c>
      <c r="F1250" s="5" t="n">
        <v>430000</v>
      </c>
      <c r="G1250" s="5" t="n">
        <v>490000</v>
      </c>
      <c r="H1250" s="6" t="n">
        <v>581000</v>
      </c>
      <c r="I1250" s="4" t="inlineStr">
        <is>
          <t>Cái 1c/H 50c/T</t>
        </is>
      </c>
    </row>
    <row r="1251">
      <c r="A1251" s="3" t="n">
        <v>1250</v>
      </c>
      <c r="B1251" s="3" t="n">
        <v>62</v>
      </c>
      <c r="C1251" s="3" t="inlineStr"/>
      <c r="D1251" s="4" t="inlineStr"/>
      <c r="E1251" s="3" t="inlineStr">
        <is>
          <t>Cái</t>
        </is>
      </c>
      <c r="F1251" s="5" t="n">
        <v>620000</v>
      </c>
      <c r="G1251" s="5" t="n">
        <v>707000</v>
      </c>
      <c r="H1251" s="6" t="n">
        <v>837000</v>
      </c>
      <c r="I1251" s="4" t="inlineStr">
        <is>
          <t>Cái 1C/H 50C/T</t>
        </is>
      </c>
    </row>
    <row r="1252">
      <c r="A1252" s="3" t="n">
        <v>1251</v>
      </c>
      <c r="B1252" s="3" t="n">
        <v>62</v>
      </c>
      <c r="C1252" s="3" t="inlineStr"/>
      <c r="D1252" s="4" t="inlineStr">
        <is>
          <t>LED2000 180*155*59mmTL: 706g</t>
        </is>
      </c>
      <c r="E1252" s="3" t="inlineStr">
        <is>
          <t>Cái</t>
        </is>
      </c>
      <c r="F1252" s="5" t="n">
        <v>920000</v>
      </c>
      <c r="G1252" s="5" t="n">
        <v>1049000</v>
      </c>
      <c r="H1252" s="6" t="n">
        <v>1242000</v>
      </c>
      <c r="I1252" s="4" t="inlineStr">
        <is>
          <t>Cái 1C/H 10C/T</t>
        </is>
      </c>
    </row>
    <row r="1253">
      <c r="A1253" s="3" t="n">
        <v>1252</v>
      </c>
      <c r="B1253" s="3" t="n">
        <v>63</v>
      </c>
      <c r="C1253" s="3" t="inlineStr"/>
      <c r="D1253" s="4" t="inlineStr">
        <is>
          <t>LED1500 128*99.5*46mm</t>
        </is>
      </c>
      <c r="E1253" s="3" t="inlineStr">
        <is>
          <t>Cái</t>
        </is>
      </c>
      <c r="F1253" s="5" t="n">
        <v>1060000</v>
      </c>
      <c r="G1253" s="5" t="n">
        <v>1208000</v>
      </c>
      <c r="H1253" s="6" t="n">
        <v>1431000</v>
      </c>
      <c r="I1253" s="4" t="inlineStr">
        <is>
          <t>Cái 1C/H 20C/T</t>
        </is>
      </c>
    </row>
    <row r="1254">
      <c r="A1254" s="3" t="n">
        <v>1253</v>
      </c>
      <c r="B1254" s="3" t="n">
        <v>63</v>
      </c>
      <c r="C1254" s="3" t="inlineStr"/>
      <c r="D1254" s="4" t="inlineStr"/>
      <c r="E1254" s="3" t="inlineStr">
        <is>
          <t>Cái</t>
        </is>
      </c>
      <c r="F1254" s="5" t="n">
        <v>730000</v>
      </c>
      <c r="G1254" s="5" t="n">
        <v>832000</v>
      </c>
      <c r="H1254" s="6" t="n">
        <v>986000</v>
      </c>
      <c r="I1254" s="4" t="inlineStr">
        <is>
          <t>Cái 1C/H</t>
        </is>
      </c>
    </row>
    <row r="1255">
      <c r="A1255" s="3" t="n">
        <v>1254</v>
      </c>
      <c r="B1255" s="3" t="n">
        <v>64</v>
      </c>
      <c r="C1255" s="3" t="inlineStr">
        <is>
          <t>1</t>
        </is>
      </c>
      <c r="D1255" s="4" t="inlineStr">
        <is>
          <t>KBA-U1200 TL/KT:5.5/5.0 kg</t>
        </is>
      </c>
      <c r="E1255" s="3" t="inlineStr">
        <is>
          <t>Cái</t>
        </is>
      </c>
      <c r="F1255" s="5" t="n">
        <v>1100000</v>
      </c>
      <c r="G1255" s="5" t="n">
        <v>1230000</v>
      </c>
      <c r="H1255" s="6" t="n">
        <v>1430000</v>
      </c>
      <c r="I1255" s="4" t="inlineStr">
        <is>
          <t>Cái</t>
        </is>
      </c>
    </row>
    <row r="1256">
      <c r="A1256" s="3" t="n">
        <v>1255</v>
      </c>
      <c r="B1256" s="3" t="n">
        <v>64</v>
      </c>
      <c r="C1256" s="3" t="inlineStr">
        <is>
          <t>2</t>
        </is>
      </c>
      <c r="D1256" s="4" t="inlineStr">
        <is>
          <t>KBA-UL1200 TL/KT:5.5/5.0 kg</t>
        </is>
      </c>
      <c r="E1256" s="3" t="inlineStr">
        <is>
          <t>Cái</t>
        </is>
      </c>
      <c r="F1256" s="5" t="n">
        <v>1290000</v>
      </c>
      <c r="G1256" s="5" t="n">
        <v>1450000</v>
      </c>
      <c r="H1256" s="6" t="n">
        <v>1680000</v>
      </c>
      <c r="I1256" s="4" t="inlineStr">
        <is>
          <t>Cái</t>
        </is>
      </c>
    </row>
    <row r="1257">
      <c r="A1257" s="3" t="n">
        <v>1256</v>
      </c>
      <c r="B1257" s="3" t="n">
        <v>64</v>
      </c>
      <c r="C1257" s="3" t="inlineStr">
        <is>
          <t>3</t>
        </is>
      </c>
      <c r="D1257" s="4" t="inlineStr">
        <is>
          <t>KBA-I1500 TL/KT: 11.4/10.6kg</t>
        </is>
      </c>
      <c r="E1257" s="3" t="inlineStr">
        <is>
          <t>Cái</t>
        </is>
      </c>
      <c r="F1257" s="5" t="n">
        <v>2050000</v>
      </c>
      <c r="G1257" s="5" t="n">
        <v>2300000</v>
      </c>
      <c r="H1257" s="6" t="n">
        <v>2670000</v>
      </c>
      <c r="I1257" s="4" t="inlineStr">
        <is>
          <t>Cái</t>
        </is>
      </c>
    </row>
    <row r="1258">
      <c r="A1258" s="3" t="n">
        <v>1257</v>
      </c>
      <c r="B1258" s="3" t="n">
        <v>64</v>
      </c>
      <c r="C1258" s="3" t="inlineStr">
        <is>
          <t>4</t>
        </is>
      </c>
      <c r="D1258" s="4" t="inlineStr">
        <is>
          <t>KBA-US1500 TL: 8.4kg</t>
        </is>
      </c>
      <c r="E1258" s="3" t="inlineStr">
        <is>
          <t>Cái</t>
        </is>
      </c>
      <c r="F1258" s="5" t="n">
        <v>1900000</v>
      </c>
      <c r="G1258" s="5" t="n">
        <v>2130000</v>
      </c>
      <c r="H1258" s="6" t="n">
        <v>2470000</v>
      </c>
      <c r="I1258" s="4" t="inlineStr">
        <is>
          <t>Cái</t>
        </is>
      </c>
    </row>
    <row r="1259">
      <c r="A1259" s="3" t="n">
        <v>1258</v>
      </c>
      <c r="B1259" s="3" t="n">
        <v>64</v>
      </c>
      <c r="C1259" s="3" t="inlineStr">
        <is>
          <t>5</t>
        </is>
      </c>
      <c r="D1259" s="4" t="inlineStr">
        <is>
          <t>KBC-I1800 TL/KT: 17/15.5kg</t>
        </is>
      </c>
      <c r="E1259" s="3" t="inlineStr">
        <is>
          <t>Cái</t>
        </is>
      </c>
      <c r="F1259" s="5" t="n">
        <v>3120000</v>
      </c>
      <c r="G1259" s="5" t="n">
        <v>3490000</v>
      </c>
      <c r="H1259" s="6" t="n">
        <v>4060000</v>
      </c>
      <c r="I1259" s="4" t="inlineStr">
        <is>
          <t>Cái</t>
        </is>
      </c>
    </row>
    <row r="1260">
      <c r="A1260" s="3" t="n">
        <v>1259</v>
      </c>
      <c r="B1260" s="3" t="n">
        <v>64</v>
      </c>
      <c r="C1260" s="3" t="inlineStr">
        <is>
          <t>6</t>
        </is>
      </c>
      <c r="D1260" s="4" t="inlineStr">
        <is>
          <t>Máy rửa xeKing Blue KBC-I2400 TL/KT: 34.5/30.5kg</t>
        </is>
      </c>
      <c r="E1260" s="3" t="inlineStr">
        <is>
          <t>Cái</t>
        </is>
      </c>
      <c r="F1260" s="5" t="n">
        <v>7900000</v>
      </c>
      <c r="G1260" s="5" t="n">
        <v>8850000</v>
      </c>
      <c r="H1260" s="6" t="n">
        <v>10270000</v>
      </c>
      <c r="I1260" s="4" t="inlineStr">
        <is>
          <t>Cái</t>
        </is>
      </c>
    </row>
    <row r="1261">
      <c r="A1261" s="3" t="n">
        <v>1260</v>
      </c>
      <c r="B1261" s="3" t="n">
        <v>65</v>
      </c>
      <c r="C1261" s="3" t="inlineStr">
        <is>
          <t>1</t>
        </is>
      </c>
      <c r="D1261" s="4" t="inlineStr">
        <is>
          <t>Súng bắn đinh hơi KBO- FG30 KBO-FG30 255*55*168mmTL: 1.1 kg</t>
        </is>
      </c>
      <c r="E1261" s="3" t="inlineStr">
        <is>
          <t>Cái</t>
        </is>
      </c>
      <c r="F1261" s="5" t="n">
        <v>426000</v>
      </c>
      <c r="G1261" s="5" t="n">
        <v>494000</v>
      </c>
      <c r="H1261" s="6" t="n">
        <v>596000</v>
      </c>
      <c r="I1261" s="4" t="inlineStr">
        <is>
          <t>Cái 1C/H 30C/T Thân nhôm hợp kim, đinh F30, đầu chống kẹt đinhSản phẩm được bảo hành 6 tháng</t>
        </is>
      </c>
    </row>
    <row r="1262">
      <c r="A1262" s="3" t="n">
        <v>1261</v>
      </c>
      <c r="B1262" s="3" t="n">
        <v>65</v>
      </c>
      <c r="C1262" s="3" t="inlineStr">
        <is>
          <t>2</t>
        </is>
      </c>
      <c r="D1262" s="4" t="inlineStr">
        <is>
          <t>Súng Bắn Đinh KBO-F3050 KBO-F3050 TL: 1.4 kg</t>
        </is>
      </c>
      <c r="E1262" s="3" t="inlineStr">
        <is>
          <t>Cái</t>
        </is>
      </c>
      <c r="F1262" s="5" t="n">
        <v>935000</v>
      </c>
      <c r="G1262" s="5" t="n">
        <v>1085000</v>
      </c>
      <c r="H1262" s="6" t="n">
        <v>1309000</v>
      </c>
      <c r="I1262" s="4" t="inlineStr">
        <is>
          <t>Cái 1C/H 10C/T</t>
        </is>
      </c>
    </row>
    <row r="1263">
      <c r="A1263" s="3" t="n">
        <v>1262</v>
      </c>
      <c r="B1263" s="3" t="n">
        <v>65</v>
      </c>
      <c r="C1263" s="3" t="inlineStr"/>
      <c r="D1263" s="4" t="inlineStr">
        <is>
          <t>KBO-ST64 320*85*260 mmTL: 3.2 kg</t>
        </is>
      </c>
      <c r="E1263" s="3" t="inlineStr">
        <is>
          <t>Cái</t>
        </is>
      </c>
      <c r="F1263" s="5" t="n">
        <v>946000</v>
      </c>
      <c r="G1263" s="5" t="n">
        <v>1097000</v>
      </c>
      <c r="H1263" s="6" t="n">
        <v>1324000</v>
      </c>
      <c r="I1263" s="4" t="inlineStr">
        <is>
          <t>Cái 1C/H 6C/T</t>
        </is>
      </c>
    </row>
    <row r="1264">
      <c r="A1264" s="3" t="n">
        <v>1263</v>
      </c>
      <c r="B1264" s="3" t="n">
        <v>65</v>
      </c>
      <c r="C1264" s="3" t="inlineStr">
        <is>
          <t>4</t>
        </is>
      </c>
      <c r="D1264" s="4" t="inlineStr">
        <is>
          <t>Súng phun sơn KBO-W71 KBO-W71</t>
        </is>
      </c>
      <c r="E1264" s="3" t="inlineStr">
        <is>
          <t>Cái</t>
        </is>
      </c>
      <c r="F1264" s="5" t="n">
        <v>317000</v>
      </c>
      <c r="G1264" s="5" t="n">
        <v>374000</v>
      </c>
      <c r="H1264" s="6" t="n">
        <v>460000</v>
      </c>
      <c r="I1264" s="4" t="inlineStr">
        <is>
          <t>Cái 1C/H 20C/T Đầu phun tiêu chuẩn: 1.5mmThể tích bình sơn: 400ccSản phẩm được bảo hành 3 tháng</t>
        </is>
      </c>
    </row>
    <row r="1265">
      <c r="A1265" s="3" t="n">
        <v>1264</v>
      </c>
      <c r="B1265" s="3" t="n">
        <v>65</v>
      </c>
      <c r="C1265" s="3" t="inlineStr">
        <is>
          <t>5</t>
        </is>
      </c>
      <c r="D1265" s="4" t="inlineStr">
        <is>
          <t>Súng Phun Sơn KBO-R500 KBO-R500 TL: 0.35 kg</t>
        </is>
      </c>
      <c r="E1265" s="3" t="inlineStr">
        <is>
          <t>Cái</t>
        </is>
      </c>
      <c r="F1265" s="5" t="n">
        <v>889000</v>
      </c>
      <c r="G1265" s="5" t="n">
        <v>1049000</v>
      </c>
      <c r="H1265" s="6" t="n">
        <v>1289000</v>
      </c>
      <c r="I1265" s="4" t="inlineStr">
        <is>
          <t>Cái 1C/H 10C/T</t>
        </is>
      </c>
    </row>
    <row r="1266">
      <c r="A1266" s="3" t="n">
        <v>1265</v>
      </c>
      <c r="B1266" s="3" t="n">
        <v>65</v>
      </c>
      <c r="C1266" s="3" t="inlineStr">
        <is>
          <t>6</t>
        </is>
      </c>
      <c r="D1266" s="4" t="inlineStr">
        <is>
          <t>Súng Xịt Hơi KBO-X0215 KBO-X0215</t>
        </is>
      </c>
      <c r="E1266" s="3" t="inlineStr">
        <is>
          <t>Cái</t>
        </is>
      </c>
      <c r="F1266" s="5" t="n">
        <v>97000</v>
      </c>
      <c r="G1266" s="5" t="n">
        <v>115000</v>
      </c>
      <c r="H1266" s="6" t="n">
        <v>141000</v>
      </c>
      <c r="I1266" s="4" t="inlineStr">
        <is>
          <t>Cái 1C/H 30C/T Thép carbon</t>
        </is>
      </c>
    </row>
    <row r="1267">
      <c r="A1267" s="3" t="n">
        <v>1266</v>
      </c>
      <c r="B1267" s="3" t="n">
        <v>66</v>
      </c>
      <c r="C1267" s="3" t="inlineStr">
        <is>
          <t>1</t>
        </is>
      </c>
      <c r="D1267" s="4" t="inlineStr">
        <is>
          <t>KB-02X 6.5*7.2*8cm</t>
        </is>
      </c>
      <c r="E1267" s="3" t="inlineStr">
        <is>
          <t>Cái</t>
        </is>
      </c>
      <c r="F1267" s="5" t="n">
        <v>700000</v>
      </c>
      <c r="G1267" s="5" t="n">
        <v>780000</v>
      </c>
      <c r="H1267" s="6" t="n">
        <v>910000</v>
      </c>
      <c r="I1267" s="4" t="inlineStr">
        <is>
          <t>Cái 1C/H 40C/T</t>
        </is>
      </c>
    </row>
    <row r="1268">
      <c r="A1268" s="3" t="n">
        <v>1267</v>
      </c>
      <c r="B1268" s="3" t="n">
        <v>66</v>
      </c>
      <c r="C1268" s="3" t="inlineStr"/>
      <c r="D1268" s="4" t="inlineStr"/>
      <c r="E1268" s="3" t="inlineStr">
        <is>
          <t>Cái</t>
        </is>
      </c>
      <c r="F1268" s="5" t="n">
        <v>890000</v>
      </c>
      <c r="G1268" s="5" t="n">
        <v>1000000</v>
      </c>
      <c r="H1268" s="6" t="n">
        <v>1160000</v>
      </c>
      <c r="I1268" s="4" t="inlineStr">
        <is>
          <t>Cái 1C/H 4C/T</t>
        </is>
      </c>
    </row>
    <row r="1269">
      <c r="A1269" s="3" t="n">
        <v>1268</v>
      </c>
      <c r="B1269" s="3" t="n">
        <v>66</v>
      </c>
      <c r="C1269" s="3" t="inlineStr">
        <is>
          <t>3</t>
        </is>
      </c>
      <c r="D1269" s="4" t="inlineStr">
        <is>
          <t>KB-05X (NEW) 20*13*13cm</t>
        </is>
      </c>
      <c r="E1269" s="3" t="inlineStr">
        <is>
          <t>Cái</t>
        </is>
      </c>
      <c r="F1269" s="5" t="n">
        <v>1350000</v>
      </c>
      <c r="G1269" s="5" t="n">
        <v>1510000</v>
      </c>
      <c r="H1269" s="6" t="n">
        <v>1760000</v>
      </c>
      <c r="I1269" s="4" t="inlineStr">
        <is>
          <t>Cái 1C/H 8C/T</t>
        </is>
      </c>
    </row>
    <row r="1270">
      <c r="A1270" s="3" t="n">
        <v>1269</v>
      </c>
      <c r="B1270" s="3" t="n">
        <v>66</v>
      </c>
      <c r="C1270" s="3" t="inlineStr">
        <is>
          <t>4</t>
        </is>
      </c>
      <c r="D1270" s="4" t="inlineStr">
        <is>
          <t>KB-05XS 20*13*13cm</t>
        </is>
      </c>
      <c r="E1270" s="3" t="inlineStr">
        <is>
          <t>Cái</t>
        </is>
      </c>
      <c r="F1270" s="5" t="n">
        <v>2090000</v>
      </c>
      <c r="G1270" s="5" t="n">
        <v>2340000</v>
      </c>
      <c r="H1270" s="6" t="n">
        <v>2720000</v>
      </c>
      <c r="I1270" s="4" t="inlineStr">
        <is>
          <t>Cái 1C/H 6C/T</t>
        </is>
      </c>
    </row>
    <row r="1271">
      <c r="A1271" s="3" t="n">
        <v>1270</v>
      </c>
      <c r="B1271" s="3" t="n">
        <v>66</v>
      </c>
      <c r="C1271" s="3" t="inlineStr">
        <is>
          <t>6</t>
        </is>
      </c>
      <c r="D1271" s="4" t="inlineStr">
        <is>
          <t>Máy cân bằng12 tia KB-12XV TL: 800g ± 10g</t>
        </is>
      </c>
      <c r="E1271" s="3" t="inlineStr">
        <is>
          <t>Cái</t>
        </is>
      </c>
      <c r="F1271" s="5" t="n">
        <v>2300000</v>
      </c>
      <c r="G1271" s="5" t="n">
        <v>2580000</v>
      </c>
      <c r="H1271" s="6" t="n">
        <v>2990000</v>
      </c>
      <c r="I1271" s="4" t="inlineStr">
        <is>
          <t>Cái 1C/H 6C/T</t>
        </is>
      </c>
    </row>
    <row r="1272">
      <c r="A1272" s="3" t="n">
        <v>1271</v>
      </c>
      <c r="B1272" s="3" t="n">
        <v>67</v>
      </c>
      <c r="C1272" s="3" t="inlineStr">
        <is>
          <t>7</t>
        </is>
      </c>
      <c r="D1272" s="4" t="inlineStr">
        <is>
          <t>Máy cân bằng 16 tia  KB-16XV TL: 800g ± 10g</t>
        </is>
      </c>
      <c r="E1272" s="3" t="inlineStr">
        <is>
          <t>Cái</t>
        </is>
      </c>
      <c r="F1272" s="5" t="n">
        <v>2560000</v>
      </c>
      <c r="G1272" s="5" t="n">
        <v>2870000</v>
      </c>
      <c r="H1272" s="6" t="n">
        <v>3330000</v>
      </c>
      <c r="I1272" s="4" t="inlineStr">
        <is>
          <t>Cái 1C/H 6C/T</t>
        </is>
      </c>
    </row>
    <row r="1273">
      <c r="A1273" s="3" t="n">
        <v>1272</v>
      </c>
      <c r="B1273" s="3" t="n">
        <v>67</v>
      </c>
      <c r="C1273" s="3" t="inlineStr">
        <is>
          <t>8</t>
        </is>
      </c>
      <c r="D1273" s="4" t="inlineStr">
        <is>
          <t>Pin máy cân bằng PIN</t>
        </is>
      </c>
      <c r="E1273" s="3" t="inlineStr">
        <is>
          <t>Cái</t>
        </is>
      </c>
      <c r="F1273" s="5" t="n">
        <v>190000</v>
      </c>
      <c r="G1273" s="5" t="n">
        <v>220000</v>
      </c>
      <c r="H1273" s="6" t="n">
        <v>270000</v>
      </c>
      <c r="I1273" s="4" t="inlineStr">
        <is>
          <t>Cái 1C/H Phụ kiện dành cho khách mua Máy cân bằng khi cần mua thêm pin</t>
        </is>
      </c>
    </row>
    <row r="1274">
      <c r="A1274" s="3" t="n">
        <v>1273</v>
      </c>
      <c r="B1274" s="3" t="n">
        <v>67</v>
      </c>
      <c r="C1274" s="3" t="inlineStr">
        <is>
          <t>9</t>
        </is>
      </c>
      <c r="D1274" s="4" t="inlineStr">
        <is>
          <t>Thước đo khoảng cách laser KNZ-50X 120*50*25mmTL: 92g</t>
        </is>
      </c>
      <c r="E1274" s="3" t="inlineStr">
        <is>
          <t>Cái</t>
        </is>
      </c>
      <c r="F1274" s="5" t="n">
        <v>560000</v>
      </c>
      <c r="G1274" s="5" t="n">
        <v>620000</v>
      </c>
      <c r="H1274" s="6" t="n">
        <v>720000</v>
      </c>
      <c r="I1274" s="4" t="inlineStr">
        <is>
          <t>Cái 1C/H 40C/T</t>
        </is>
      </c>
    </row>
    <row r="1275">
      <c r="A1275" s="3" t="n">
        <v>1274</v>
      </c>
      <c r="B1275" s="3" t="n">
        <v>67</v>
      </c>
      <c r="C1275" s="3" t="inlineStr">
        <is>
          <t>10</t>
        </is>
      </c>
      <c r="D1275" s="4" t="inlineStr">
        <is>
          <t>Thước đo khoảng cách laser KNZ-100X 120*50*25mmTL: 92g</t>
        </is>
      </c>
      <c r="E1275" s="3" t="inlineStr">
        <is>
          <t>Cái</t>
        </is>
      </c>
      <c r="F1275" s="5" t="n">
        <v>730000</v>
      </c>
      <c r="G1275" s="5" t="n">
        <v>810000</v>
      </c>
      <c r="H1275" s="6" t="n">
        <v>940000</v>
      </c>
      <c r="I1275" s="4" t="inlineStr">
        <is>
          <t>Cái 1C/H 40C/T</t>
        </is>
      </c>
    </row>
    <row r="1276">
      <c r="A1276" s="3" t="n">
        <v>1275</v>
      </c>
      <c r="B1276" s="3" t="n">
        <v>67</v>
      </c>
      <c r="C1276" s="3" t="inlineStr"/>
      <c r="D1276" s="4" t="inlineStr"/>
      <c r="E1276" s="3" t="inlineStr">
        <is>
          <t>Cái</t>
        </is>
      </c>
      <c r="F1276" s="5" t="n">
        <v>1080000</v>
      </c>
      <c r="G1276" s="5" t="n">
        <v>1210000</v>
      </c>
      <c r="H1276" s="6" t="n">
        <v>1400000</v>
      </c>
      <c r="I1276" s="4" t="inlineStr">
        <is>
          <t>Cái 1C/H 40C/T</t>
        </is>
      </c>
    </row>
    <row r="1277">
      <c r="A1277" s="3" t="n">
        <v>1276</v>
      </c>
      <c r="B1277" s="3" t="n">
        <v>68</v>
      </c>
      <c r="C1277" s="3" t="inlineStr">
        <is>
          <t>1</t>
        </is>
      </c>
      <c r="D1277" s="4" t="inlineStr">
        <is>
          <t>KYX40 40mm</t>
        </is>
      </c>
      <c r="E1277" s="3" t="inlineStr">
        <is>
          <t>Cái</t>
        </is>
      </c>
      <c r="F1277" s="5" t="n">
        <v>90000</v>
      </c>
      <c r="G1277" s="5" t="n">
        <v>104000</v>
      </c>
      <c r="H1277" s="6" t="n">
        <v>126000</v>
      </c>
      <c r="I1277" s="4" t="inlineStr">
        <is>
          <t>Cái 6c/H 72c/T Chất liệu khoá đồng 100%</t>
        </is>
      </c>
    </row>
    <row r="1278">
      <c r="A1278" s="3" t="n">
        <v>1277</v>
      </c>
      <c r="B1278" s="3" t="n">
        <v>68</v>
      </c>
      <c r="C1278" s="3" t="inlineStr">
        <is>
          <t>2</t>
        </is>
      </c>
      <c r="D1278" s="4" t="inlineStr">
        <is>
          <t>KYX50 50mm</t>
        </is>
      </c>
      <c r="E1278" s="3" t="inlineStr">
        <is>
          <t>Cái</t>
        </is>
      </c>
      <c r="F1278" s="5" t="n">
        <v>130000</v>
      </c>
      <c r="G1278" s="5" t="n">
        <v>151000</v>
      </c>
      <c r="H1278" s="6" t="n">
        <v>182000</v>
      </c>
      <c r="I1278" s="4" t="inlineStr">
        <is>
          <t>Cái 6c/H 72c/T Chất liệu khoá đồng 100%</t>
        </is>
      </c>
    </row>
    <row r="1279">
      <c r="A1279" s="3" t="n">
        <v>1278</v>
      </c>
      <c r="B1279" s="3" t="n">
        <v>68</v>
      </c>
      <c r="C1279" s="3" t="inlineStr">
        <is>
          <t>3</t>
        </is>
      </c>
      <c r="D1279" s="4" t="inlineStr">
        <is>
          <t>KYX60 60mm</t>
        </is>
      </c>
      <c r="E1279" s="3" t="inlineStr">
        <is>
          <t>Cái</t>
        </is>
      </c>
      <c r="F1279" s="5" t="n">
        <v>176000</v>
      </c>
      <c r="G1279" s="5" t="n">
        <v>204000</v>
      </c>
      <c r="H1279" s="6" t="n">
        <v>246000</v>
      </c>
      <c r="I1279" s="4" t="inlineStr">
        <is>
          <t>Cái 6c/H 48c/T Chất liệu khoá đồng 100%</t>
        </is>
      </c>
    </row>
    <row r="1280">
      <c r="A1280" s="3" t="n">
        <v>1279</v>
      </c>
      <c r="B1280" s="3" t="n">
        <v>68</v>
      </c>
      <c r="C1280" s="3" t="inlineStr">
        <is>
          <t>4</t>
        </is>
      </c>
      <c r="D1280" s="4" t="inlineStr">
        <is>
          <t>KYG70 70mm</t>
        </is>
      </c>
      <c r="E1280" s="3" t="inlineStr">
        <is>
          <t>Cái</t>
        </is>
      </c>
      <c r="F1280" s="5" t="n">
        <v>198000</v>
      </c>
      <c r="G1280" s="5" t="n">
        <v>230000</v>
      </c>
      <c r="H1280" s="6" t="n">
        <v>277000</v>
      </c>
      <c r="I1280" s="4" t="inlineStr">
        <is>
          <t>Cái 6c/H 48c/T</t>
        </is>
      </c>
    </row>
    <row r="1281">
      <c r="A1281" s="3" t="n">
        <v>1280</v>
      </c>
      <c r="B1281" s="3" t="n">
        <v>68</v>
      </c>
      <c r="C1281" s="3" t="inlineStr">
        <is>
          <t>5</t>
        </is>
      </c>
      <c r="D1281" s="4" t="inlineStr">
        <is>
          <t>KYG80 80mm</t>
        </is>
      </c>
      <c r="E1281" s="3" t="inlineStr">
        <is>
          <t>Cái</t>
        </is>
      </c>
      <c r="F1281" s="5" t="n">
        <v>218000</v>
      </c>
      <c r="G1281" s="5" t="n">
        <v>253000</v>
      </c>
      <c r="H1281" s="6" t="n">
        <v>305000</v>
      </c>
      <c r="I1281" s="4" t="inlineStr">
        <is>
          <t>Cái 6c/H 36c/T</t>
        </is>
      </c>
    </row>
    <row r="1282">
      <c r="A1282" s="3" t="n">
        <v>1281</v>
      </c>
      <c r="B1282" s="3" t="n">
        <v>68</v>
      </c>
      <c r="C1282" s="3" t="inlineStr"/>
      <c r="D1282" s="4" t="inlineStr">
        <is>
          <t>KYS60 60mm</t>
        </is>
      </c>
      <c r="E1282" s="3" t="inlineStr">
        <is>
          <t>Cái</t>
        </is>
      </c>
      <c r="F1282" s="5" t="n">
        <v>109000</v>
      </c>
      <c r="G1282" s="5" t="n">
        <v>127000</v>
      </c>
      <c r="H1282" s="6" t="n">
        <v>153000</v>
      </c>
      <c r="I1282" s="4" t="inlineStr">
        <is>
          <t>Cái 6c/H 48c/T</t>
        </is>
      </c>
    </row>
    <row r="1283">
      <c r="A1283" s="3" t="n">
        <v>1282</v>
      </c>
      <c r="B1283" s="3" t="n">
        <v>68</v>
      </c>
      <c r="C1283" s="3" t="inlineStr"/>
      <c r="D1283" s="4" t="inlineStr">
        <is>
          <t>KYZ50 50mm</t>
        </is>
      </c>
      <c r="E1283" s="3" t="inlineStr">
        <is>
          <t>Cái</t>
        </is>
      </c>
      <c r="F1283" s="5" t="n">
        <v>152000</v>
      </c>
      <c r="G1283" s="5" t="n">
        <v>176000</v>
      </c>
      <c r="H1283" s="6" t="n">
        <v>213000</v>
      </c>
      <c r="I1283" s="4" t="inlineStr">
        <is>
          <t>Cái 6c/H 48c/T</t>
        </is>
      </c>
    </row>
    <row r="1284">
      <c r="A1284" s="3" t="n">
        <v>1283</v>
      </c>
      <c r="B1284" s="3" t="n">
        <v>68</v>
      </c>
      <c r="C1284" s="3" t="inlineStr"/>
      <c r="D1284" s="4" t="inlineStr">
        <is>
          <t>KYZ60 60mm</t>
        </is>
      </c>
      <c r="E1284" s="3" t="inlineStr">
        <is>
          <t>Cái</t>
        </is>
      </c>
      <c r="F1284" s="5" t="n">
        <v>209000</v>
      </c>
      <c r="G1284" s="5" t="n">
        <v>243000</v>
      </c>
      <c r="H1284" s="6" t="n">
        <v>293000</v>
      </c>
      <c r="I1284" s="4" t="inlineStr">
        <is>
          <t>Cái 6c/H 36c/T</t>
        </is>
      </c>
    </row>
    <row r="1285">
      <c r="A1285" s="3" t="n">
        <v>1284</v>
      </c>
      <c r="B1285" s="3" t="n">
        <v>68</v>
      </c>
      <c r="C1285" s="3" t="inlineStr">
        <is>
          <t>9</t>
        </is>
      </c>
      <c r="D1285" s="4" t="inlineStr">
        <is>
          <t>KYV40 40mm</t>
        </is>
      </c>
      <c r="E1285" s="3" t="inlineStr">
        <is>
          <t>Cái</t>
        </is>
      </c>
      <c r="F1285" s="5" t="n">
        <v>62000</v>
      </c>
      <c r="G1285" s="5" t="n">
        <v>72000</v>
      </c>
      <c r="H1285" s="6" t="n">
        <v>87000</v>
      </c>
      <c r="I1285" s="4" t="inlineStr">
        <is>
          <t>Cái 6c/H 96c/T chất liệu khoá đồng 100%</t>
        </is>
      </c>
    </row>
    <row r="1286">
      <c r="A1286" s="3" t="n">
        <v>1285</v>
      </c>
      <c r="B1286" s="3" t="n">
        <v>68</v>
      </c>
      <c r="C1286" s="3" t="inlineStr">
        <is>
          <t>10</t>
        </is>
      </c>
      <c r="D1286" s="4" t="inlineStr">
        <is>
          <t>KYV50 50mm</t>
        </is>
      </c>
      <c r="E1286" s="3" t="inlineStr">
        <is>
          <t>Cái</t>
        </is>
      </c>
      <c r="F1286" s="5" t="n">
        <v>73000</v>
      </c>
      <c r="G1286" s="5" t="n">
        <v>85000</v>
      </c>
      <c r="H1286" s="6" t="n">
        <v>102000</v>
      </c>
      <c r="I1286" s="4" t="inlineStr">
        <is>
          <t>Cái 6c/H 72c/T chất liệu khoá đồng 100%</t>
        </is>
      </c>
    </row>
    <row r="1287">
      <c r="A1287" s="3" t="n">
        <v>1286</v>
      </c>
      <c r="B1287" s="3" t="n">
        <v>68</v>
      </c>
      <c r="C1287" s="3" t="inlineStr">
        <is>
          <t>11</t>
        </is>
      </c>
      <c r="D1287" s="4" t="inlineStr">
        <is>
          <t>KYV60 60mm</t>
        </is>
      </c>
      <c r="E1287" s="3" t="inlineStr">
        <is>
          <t>Cái</t>
        </is>
      </c>
      <c r="F1287" s="5" t="n">
        <v>83000</v>
      </c>
      <c r="G1287" s="5" t="n">
        <v>96000</v>
      </c>
      <c r="H1287" s="6" t="n">
        <v>116000</v>
      </c>
      <c r="I1287" s="4" t="inlineStr">
        <is>
          <t>Cái 6c/H 48c/T chất liệu khoá đồng 100%</t>
        </is>
      </c>
    </row>
    <row r="1288">
      <c r="A1288" s="3" t="n">
        <v>1287</v>
      </c>
      <c r="B1288" s="3" t="n">
        <v>68</v>
      </c>
      <c r="C1288" s="3" t="inlineStr">
        <is>
          <t>12</t>
        </is>
      </c>
      <c r="D1288" s="4" t="inlineStr">
        <is>
          <t>KYT40 40mm</t>
        </is>
      </c>
      <c r="E1288" s="3" t="inlineStr">
        <is>
          <t>Cái</t>
        </is>
      </c>
      <c r="F1288" s="5" t="n">
        <v>108000</v>
      </c>
      <c r="G1288" s="5" t="n">
        <v>125000</v>
      </c>
      <c r="H1288" s="6" t="n">
        <v>151000</v>
      </c>
      <c r="I1288" s="4" t="inlineStr">
        <is>
          <t>Cái 6c/H 72c/T</t>
        </is>
      </c>
    </row>
    <row r="1289">
      <c r="A1289" s="3" t="n">
        <v>1288</v>
      </c>
      <c r="B1289" s="3" t="n">
        <v>68</v>
      </c>
      <c r="C1289" s="3" t="inlineStr">
        <is>
          <t>13</t>
        </is>
      </c>
      <c r="D1289" s="4" t="inlineStr">
        <is>
          <t>KYT50 50mm</t>
        </is>
      </c>
      <c r="E1289" s="3" t="inlineStr">
        <is>
          <t>Cái</t>
        </is>
      </c>
      <c r="F1289" s="5" t="n">
        <v>141000</v>
      </c>
      <c r="G1289" s="5" t="n">
        <v>163000</v>
      </c>
      <c r="H1289" s="6" t="n">
        <v>197000</v>
      </c>
      <c r="I1289" s="4" t="inlineStr">
        <is>
          <t>Cái 6c/H 48c/T</t>
        </is>
      </c>
    </row>
    <row r="1290">
      <c r="A1290" s="3" t="n">
        <v>1289</v>
      </c>
      <c r="B1290" s="3" t="n">
        <v>68</v>
      </c>
      <c r="C1290" s="3" t="inlineStr">
        <is>
          <t>14</t>
        </is>
      </c>
      <c r="D1290" s="4" t="inlineStr">
        <is>
          <t>KYT60 60mm</t>
        </is>
      </c>
      <c r="E1290" s="3" t="inlineStr">
        <is>
          <t>Cái</t>
        </is>
      </c>
      <c r="F1290" s="5" t="n">
        <v>182000</v>
      </c>
      <c r="G1290" s="5" t="n">
        <v>211000</v>
      </c>
      <c r="H1290" s="6" t="n">
        <v>255000</v>
      </c>
      <c r="I1290" s="4" t="inlineStr">
        <is>
          <t>Cái 6c/H 36c/T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9" customWidth="1" min="6" max="6"/>
    <col width="21" customWidth="1" min="7" max="7"/>
    <col width="44" customWidth="1" min="8" max="8"/>
  </cols>
  <sheetData>
    <row r="1">
      <c r="A1" s="9" t="inlineStr">
        <is>
          <t>STT</t>
        </is>
      </c>
      <c r="B1" s="9" t="inlineStr">
        <is>
          <t>Mã Đại Lý</t>
        </is>
      </c>
      <c r="C1" s="9" t="inlineStr">
        <is>
          <t>Tên Khách Hàng / NPP / Đại Lý</t>
        </is>
      </c>
      <c r="D1" s="9" t="inlineStr">
        <is>
          <t>Tỉnh Thành</t>
        </is>
      </c>
      <c r="E1" s="9" t="inlineStr">
        <is>
          <t>Nhân Viên Phụ Trách</t>
        </is>
      </c>
      <c r="F1" s="9" t="inlineStr">
        <is>
          <t>Kênh Bán</t>
        </is>
      </c>
      <c r="G1" s="9" t="inlineStr">
        <is>
          <t>Số Mã Hàng Đã Nhập</t>
        </is>
      </c>
      <c r="H1" s="9" t="inlineStr">
        <is>
          <t>Trạng Thái Khảo Sát Giá Sàn</t>
        </is>
      </c>
    </row>
    <row r="2">
      <c r="A2" s="3" t="n">
        <v>1</v>
      </c>
      <c r="B2" s="3" t="inlineStr">
        <is>
          <t>KH001</t>
        </is>
      </c>
      <c r="C2" s="4" t="inlineStr">
        <is>
          <t>Điện nước Nhật (Shop) HCM</t>
        </is>
      </c>
      <c r="D2" s="3" t="inlineStr">
        <is>
          <t>HCM</t>
        </is>
      </c>
      <c r="E2" s="3" t="inlineStr">
        <is>
          <t>BẢO TRÂM</t>
        </is>
      </c>
      <c r="F2" s="3" t="inlineStr">
        <is>
          <t>Shopee</t>
        </is>
      </c>
      <c r="G2" s="10" t="n">
        <v>257</v>
      </c>
      <c r="H2" s="3" t="inlineStr">
        <is>
          <t>Sẵn sàng nhập giá sàn thực tế để đối soát</t>
        </is>
      </c>
    </row>
    <row r="3">
      <c r="A3" s="3" t="n">
        <v>2</v>
      </c>
      <c r="B3" s="3" t="inlineStr">
        <is>
          <t>KH002</t>
        </is>
      </c>
      <c r="C3" s="4" t="inlineStr">
        <is>
          <t>Nguyễn Hoàng Phú</t>
        </is>
      </c>
      <c r="D3" s="3" t="inlineStr">
        <is>
          <t>HCM</t>
        </is>
      </c>
      <c r="E3" s="3" t="inlineStr">
        <is>
          <t>BẢO TRÂM</t>
        </is>
      </c>
      <c r="F3" s="3" t="inlineStr">
        <is>
          <t>Shopee</t>
        </is>
      </c>
      <c r="G3" s="10" t="n">
        <v>261</v>
      </c>
      <c r="H3" s="3" t="inlineStr">
        <is>
          <t>Sẵn sàng nhập giá sàn thực tế để đối soát</t>
        </is>
      </c>
    </row>
    <row r="4">
      <c r="A4" s="3" t="n">
        <v>3</v>
      </c>
      <c r="B4" s="3" t="inlineStr">
        <is>
          <t>KH003</t>
        </is>
      </c>
      <c r="C4" s="4" t="inlineStr">
        <is>
          <t>CÔNG TY TNHH ĐỒ NGHỀ CẦM TAY PHƯƠNG MY</t>
        </is>
      </c>
      <c r="D4" s="3" t="inlineStr">
        <is>
          <t>HCM</t>
        </is>
      </c>
      <c r="E4" s="3" t="inlineStr">
        <is>
          <t>BẢO TRÂM</t>
        </is>
      </c>
      <c r="F4" s="3" t="inlineStr">
        <is>
          <t>Shopee</t>
        </is>
      </c>
      <c r="G4" s="10" t="n">
        <v>165</v>
      </c>
      <c r="H4" s="3" t="inlineStr">
        <is>
          <t>Sẵn sàng nhập giá sàn thực tế để đối soát</t>
        </is>
      </c>
    </row>
    <row r="5">
      <c r="A5" s="3" t="n">
        <v>4</v>
      </c>
      <c r="B5" s="3" t="inlineStr">
        <is>
          <t>KH004</t>
        </is>
      </c>
      <c r="C5" s="4" t="inlineStr">
        <is>
          <t>HCM-BIGSHOP</t>
        </is>
      </c>
      <c r="D5" s="3" t="inlineStr">
        <is>
          <t>HCM</t>
        </is>
      </c>
      <c r="E5" s="3" t="inlineStr">
        <is>
          <t>XUÂN TRANG</t>
        </is>
      </c>
      <c r="F5" s="3" t="inlineStr">
        <is>
          <t>Website bán hàng</t>
        </is>
      </c>
      <c r="G5" s="10" t="n">
        <v>87</v>
      </c>
      <c r="H5" s="3" t="inlineStr">
        <is>
          <t>Sẵn sàng nhập giá sàn thực tế để đối soát</t>
        </is>
      </c>
    </row>
    <row r="6">
      <c r="A6" s="3" t="n">
        <v>5</v>
      </c>
      <c r="B6" s="3" t="inlineStr">
        <is>
          <t>KH005</t>
        </is>
      </c>
      <c r="C6" s="4" t="inlineStr">
        <is>
          <t>ThinkSafe HCM</t>
        </is>
      </c>
      <c r="D6" s="3" t="inlineStr">
        <is>
          <t>HCM</t>
        </is>
      </c>
      <c r="E6" s="3" t="inlineStr">
        <is>
          <t>XUÂN TRANG</t>
        </is>
      </c>
      <c r="F6" s="3" t="inlineStr">
        <is>
          <t>Shopee</t>
        </is>
      </c>
      <c r="G6" s="10" t="n">
        <v>285</v>
      </c>
      <c r="H6" s="3" t="inlineStr">
        <is>
          <t>Sẵn sàng nhập giá sàn thực tế để đối soát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2026-10-15T07:26:29Z</dcterms:created>
  <dcterms:modified xmlns:dcterms="http://purl.org/dc/terms/" xmlns:xsi="http://www.w3.org/2001/XMLSchema-instance" xsi:type="dcterms:W3CDTF">2026-10-15T07:26:29Z</dcterms:modified>
</cp:coreProperties>
</file>
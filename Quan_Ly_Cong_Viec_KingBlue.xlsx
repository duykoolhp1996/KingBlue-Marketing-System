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S CONG VIEC" sheetId="2" state="visible" r:id="rId2"/>
    <sheet xmlns:r="http://schemas.openxmlformats.org/officeDocument/2006/relationships" name="CAU H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A5568"/>
      <sz val="9"/>
    </font>
    <font>
      <name val="Calibri"/>
      <b val="1"/>
      <color rgb="001A365D"/>
      <sz val="18"/>
    </font>
    <font>
      <name val="Calibri"/>
      <b val="1"/>
      <color rgb="001A365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718096"/>
      <sz val="9"/>
    </font>
    <font>
      <name val="Calibri"/>
      <b val="1"/>
      <color rgb="009B2C2C"/>
      <sz val="11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BF8FF"/>
        <bgColor rgb="00EBF8FF"/>
      </patternFill>
    </fill>
    <fill>
      <patternFill patternType="solid">
        <fgColor rgb="002B6CB0"/>
        <bgColor rgb="002B6CB0"/>
      </patternFill>
    </fill>
    <fill>
      <patternFill patternType="solid">
        <fgColor rgb="00BEE3F8"/>
        <bgColor rgb="00BEE3F8"/>
      </patternFill>
    </fill>
    <fill>
      <patternFill patternType="solid">
        <fgColor rgb="00C6F6D5"/>
        <bgColor rgb="00C6F6D5"/>
      </patternFill>
    </fill>
    <fill>
      <patternFill patternType="solid">
        <fgColor rgb="00FEFCBF"/>
        <bgColor rgb="00FEFCB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4" customWidth="1" min="4" max="4"/>
    <col width="16" customWidth="1" min="5" max="5"/>
    <col width="2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BẢNG ĐIỀU KHIỂN &amp; TIẾN ĐỘ CÔNG VIỆC - KING BLUE MARKETING</t>
        </is>
      </c>
    </row>
    <row r="2"/>
    <row r="4">
      <c r="B4" s="2" t="inlineStr">
        <is>
          <t>TỔNG SỐ CÔNG VIỆC</t>
        </is>
      </c>
      <c r="C4" s="3" t="n"/>
      <c r="D4" s="2" t="inlineStr">
        <is>
          <t>HOÀN THÀNH</t>
        </is>
      </c>
      <c r="E4" s="2" t="inlineStr">
        <is>
          <t>ĐANG THỰC HIỆN</t>
        </is>
      </c>
      <c r="F4" s="2" t="inlineStr">
        <is>
          <t>ĐANG DUYỆT</t>
        </is>
      </c>
      <c r="G4" s="2" t="inlineStr">
        <is>
          <t>QUÁ HẠN</t>
        </is>
      </c>
      <c r="H4" s="2" t="inlineStr">
        <is>
          <t>TỶ LỆ HOÀN THÀNH</t>
        </is>
      </c>
      <c r="I4" s="3" t="n"/>
    </row>
    <row r="5">
      <c r="B5" s="4">
        <f>COUNTA('DS CONG VIEC'!B5:B100)</f>
        <v/>
      </c>
      <c r="C5" s="3" t="n"/>
      <c r="D5" s="4">
        <f>COUNTIF('DS CONG VIEC'!I5:I100, "Hoàn thành")</f>
        <v/>
      </c>
      <c r="E5" s="4">
        <f>COUNTIF('DS CONG VIEC'!I5:I100, "Đang làm")</f>
        <v/>
      </c>
      <c r="F5" s="4">
        <f>COUNTIF('DS CONG VIEC'!I5:I100, "Đang duyệt")</f>
        <v/>
      </c>
      <c r="G5" s="4">
        <f>COUNTIF('DS CONG VIEC'!K5:K100, "Quá hạn")</f>
        <v/>
      </c>
      <c r="H5" s="5">
        <f>IF(B5&gt;0, D5/B5, 0)</f>
        <v/>
      </c>
      <c r="I5" s="3" t="n"/>
    </row>
    <row r="7">
      <c r="B7" s="6" t="inlineStr">
        <is>
          <t>1. PHÂN BỔ THEO TRẠNG THÁI</t>
        </is>
      </c>
      <c r="F7" s="6" t="inlineStr">
        <is>
          <t>2. PHÂN BỔ THEO ĐỘ ƯU TIÊN</t>
        </is>
      </c>
    </row>
    <row r="8">
      <c r="B8" s="7" t="inlineStr">
        <is>
          <t>Trạng Thái</t>
        </is>
      </c>
      <c r="C8" s="7" t="inlineStr">
        <is>
          <t>Số lượng</t>
        </is>
      </c>
      <c r="D8" s="7" t="inlineStr">
        <is>
          <t>Tỷ lệ</t>
        </is>
      </c>
      <c r="F8" s="7" t="inlineStr">
        <is>
          <t>Mức độ</t>
        </is>
      </c>
      <c r="G8" s="7" t="inlineStr">
        <is>
          <t>Số lượng</t>
        </is>
      </c>
      <c r="H8" s="7" t="inlineStr">
        <is>
          <t>Tỷ lệ</t>
        </is>
      </c>
    </row>
    <row r="9">
      <c r="B9" s="8" t="inlineStr">
        <is>
          <t>Chưa bắt đầu</t>
        </is>
      </c>
      <c r="C9" s="9">
        <f>COUNTIF('DS CONG VIEC'!I$5:I$100, B9)</f>
        <v/>
      </c>
      <c r="D9" s="10">
        <f>IF($B$5&gt;0, C9/$B$5, 0)</f>
        <v/>
      </c>
      <c r="F9" s="8" t="inlineStr">
        <is>
          <t>Khẩn cấp</t>
        </is>
      </c>
      <c r="G9" s="9">
        <f>COUNTIF('DS CONG VIEC'!L$5:L$100, F9)</f>
        <v/>
      </c>
      <c r="H9" s="10">
        <f>IF($B$5&gt;0, G9/$B$5, 0)</f>
        <v/>
      </c>
    </row>
    <row r="10">
      <c r="B10" s="8" t="inlineStr">
        <is>
          <t>Đang làm</t>
        </is>
      </c>
      <c r="C10" s="9">
        <f>COUNTIF('DS CONG VIEC'!I$5:I$100, B10)</f>
        <v/>
      </c>
      <c r="D10" s="10">
        <f>IF($B$5&gt;0, C10/$B$5, 0)</f>
        <v/>
      </c>
      <c r="F10" s="8" t="inlineStr">
        <is>
          <t>Cao</t>
        </is>
      </c>
      <c r="G10" s="9">
        <f>COUNTIF('DS CONG VIEC'!L$5:L$100, F10)</f>
        <v/>
      </c>
      <c r="H10" s="10">
        <f>IF($B$5&gt;0, G10/$B$5, 0)</f>
        <v/>
      </c>
    </row>
    <row r="11">
      <c r="B11" s="8" t="inlineStr">
        <is>
          <t>Đang duyệt</t>
        </is>
      </c>
      <c r="C11" s="9">
        <f>COUNTIF('DS CONG VIEC'!I$5:I$100, B11)</f>
        <v/>
      </c>
      <c r="D11" s="10">
        <f>IF($B$5&gt;0, C11/$B$5, 0)</f>
        <v/>
      </c>
      <c r="F11" s="8" t="inlineStr">
        <is>
          <t>Trung bình</t>
        </is>
      </c>
      <c r="G11" s="9">
        <f>COUNTIF('DS CONG VIEC'!L$5:L$100, F11)</f>
        <v/>
      </c>
      <c r="H11" s="10">
        <f>IF($B$5&gt;0, G11/$B$5, 0)</f>
        <v/>
      </c>
    </row>
    <row r="12">
      <c r="B12" s="8" t="inlineStr">
        <is>
          <t>Hoàn thành</t>
        </is>
      </c>
      <c r="C12" s="9">
        <f>COUNTIF('DS CONG VIEC'!I$5:I$100, B12)</f>
        <v/>
      </c>
      <c r="D12" s="10">
        <f>IF($B$5&gt;0, C12/$B$5, 0)</f>
        <v/>
      </c>
      <c r="F12" s="8" t="inlineStr">
        <is>
          <t>Thấp</t>
        </is>
      </c>
      <c r="G12" s="9">
        <f>COUNTIF('DS CONG VIEC'!L$5:L$100, F12)</f>
        <v/>
      </c>
      <c r="H12" s="10">
        <f>IF($B$5&gt;0, G12/$B$5, 0)</f>
        <v/>
      </c>
    </row>
    <row r="13">
      <c r="B13" s="8" t="inlineStr">
        <is>
          <t>Tạm hoãn</t>
        </is>
      </c>
      <c r="C13" s="9">
        <f>COUNTIF('DS CONG VIEC'!I$5:I$100, B13)</f>
        <v/>
      </c>
      <c r="D13" s="10">
        <f>IF($B$5&gt;0, C13/$B$5, 0)</f>
        <v/>
      </c>
    </row>
    <row r="15">
      <c r="B15" s="6" t="inlineStr">
        <is>
          <t>3. THEO HẠNG MỤC MARKETING</t>
        </is>
      </c>
      <c r="F15" s="6" t="inlineStr">
        <is>
          <t>4. TIẾN ĐỘ THEO NHÂN SỰ</t>
        </is>
      </c>
    </row>
    <row r="16">
      <c r="B16" s="7" t="inlineStr">
        <is>
          <t>Hạng mục / Kênh</t>
        </is>
      </c>
      <c r="C16" s="7" t="inlineStr">
        <is>
          <t>Số việc</t>
        </is>
      </c>
      <c r="D16" s="7" t="inlineStr">
        <is>
          <t>Hoàn thành</t>
        </is>
      </c>
      <c r="F16" s="7" t="inlineStr">
        <is>
          <t>Nhân sự</t>
        </is>
      </c>
      <c r="G16" s="7" t="inlineStr">
        <is>
          <t>Tổng task</t>
        </is>
      </c>
      <c r="H16" s="7" t="inlineStr">
        <is>
          <t>Đã xong</t>
        </is>
      </c>
    </row>
    <row r="17">
      <c r="B17" s="8" t="inlineStr">
        <is>
          <t>Website &amp; SEO</t>
        </is>
      </c>
      <c r="C17" s="9">
        <f>COUNTIF('DS CONG VIEC'!D$5:D$100, B17)</f>
        <v/>
      </c>
      <c r="D17" s="11">
        <f>COUNTIFS('DS CONG VIEC'!D$5:D$100, B17, 'DS CONG VIEC'!I$5:I$100, "Hoàn thành")</f>
        <v/>
      </c>
      <c r="F17" s="8" t="inlineStr">
        <is>
          <t>Hoài Thương</t>
        </is>
      </c>
      <c r="G17" s="9">
        <f>COUNTIF('DS CONG VIEC'!E$5:E$100, F17)</f>
        <v/>
      </c>
      <c r="H17" s="11">
        <f>COUNTIFS('DS CONG VIEC'!E$5:E$100, F17, 'DS CONG VIEC'!I$5:I$100, "Hoàn thành")</f>
        <v/>
      </c>
    </row>
    <row r="18">
      <c r="B18" s="8" t="inlineStr">
        <is>
          <t>Facebook Fanpage</t>
        </is>
      </c>
      <c r="C18" s="9">
        <f>COUNTIF('DS CONG VIEC'!D$5:D$100, B18)</f>
        <v/>
      </c>
      <c r="D18" s="11">
        <f>COUNTIFS('DS CONG VIEC'!D$5:D$100, B18, 'DS CONG VIEC'!I$5:I$100, "Hoàn thành")</f>
        <v/>
      </c>
      <c r="F18" s="8" t="inlineStr">
        <is>
          <t>Kiều Thương</t>
        </is>
      </c>
      <c r="G18" s="9">
        <f>COUNTIF('DS CONG VIEC'!E$5:E$100, F18)</f>
        <v/>
      </c>
      <c r="H18" s="11">
        <f>COUNTIFS('DS CONG VIEC'!E$5:E$100, F18, 'DS CONG VIEC'!I$5:I$100, "Hoàn thành")</f>
        <v/>
      </c>
    </row>
    <row r="19">
      <c r="B19" s="8" t="inlineStr">
        <is>
          <t>YouTube / Video</t>
        </is>
      </c>
      <c r="C19" s="9">
        <f>COUNTIF('DS CONG VIEC'!D$5:D$100, B19)</f>
        <v/>
      </c>
      <c r="D19" s="11">
        <f>COUNTIFS('DS CONG VIEC'!D$5:D$100, B19, 'DS CONG VIEC'!I$5:I$100, "Hoàn thành")</f>
        <v/>
      </c>
      <c r="F19" s="8" t="inlineStr">
        <is>
          <t>Thụy Thương</t>
        </is>
      </c>
      <c r="G19" s="9">
        <f>COUNTIF('DS CONG VIEC'!E$5:E$100, F19)</f>
        <v/>
      </c>
      <c r="H19" s="11">
        <f>COUNTIFS('DS CONG VIEC'!E$5:E$100, F19, 'DS CONG VIEC'!I$5:I$100, "Hoàn thành")</f>
        <v/>
      </c>
    </row>
    <row r="20">
      <c r="B20" s="8" t="inlineStr">
        <is>
          <t>TikTok &amp; KOC</t>
        </is>
      </c>
      <c r="C20" s="9">
        <f>COUNTIF('DS CONG VIEC'!D$5:D$100, B20)</f>
        <v/>
      </c>
      <c r="D20" s="11">
        <f>COUNTIFS('DS CONG VIEC'!D$5:D$100, B20, 'DS CONG VIEC'!I$5:I$100, "Hoàn thành")</f>
        <v/>
      </c>
      <c r="F20" s="8" t="inlineStr">
        <is>
          <t>Thiện</t>
        </is>
      </c>
      <c r="G20" s="9">
        <f>COUNTIF('DS CONG VIEC'!E$5:E$100, F20)</f>
        <v/>
      </c>
      <c r="H20" s="11">
        <f>COUNTIFS('DS CONG VIEC'!E$5:E$100, F20, 'DS CONG VIEC'!I$5:I$100, "Hoàn thành")</f>
        <v/>
      </c>
    </row>
    <row r="21">
      <c r="B21" s="8" t="inlineStr">
        <is>
          <t>Trade &amp; POSM Đại lý</t>
        </is>
      </c>
      <c r="C21" s="9">
        <f>COUNTIF('DS CONG VIEC'!D$5:D$100, B21)</f>
        <v/>
      </c>
      <c r="D21" s="11">
        <f>COUNTIFS('DS CONG VIEC'!D$5:D$100, B21, 'DS CONG VIEC'!I$5:I$100, "Hoàn thành")</f>
        <v/>
      </c>
      <c r="F21" s="8" t="inlineStr">
        <is>
          <t>Tứ</t>
        </is>
      </c>
      <c r="G21" s="9">
        <f>COUNTIF('DS CONG VIEC'!E$5:E$100, F21)</f>
        <v/>
      </c>
      <c r="H21" s="11">
        <f>COUNTIFS('DS CONG VIEC'!E$5:E$100, F21, 'DS CONG VIEC'!I$5:I$100, "Hoàn thành")</f>
        <v/>
      </c>
    </row>
    <row r="22">
      <c r="B22" s="8" t="inlineStr">
        <is>
          <t>Sàn TMĐT (Shopee/Lazada)</t>
        </is>
      </c>
      <c r="C22" s="9">
        <f>COUNTIF('DS CONG VIEC'!D$5:D$100, B22)</f>
        <v/>
      </c>
      <c r="D22" s="11">
        <f>COUNTIFS('DS CONG VIEC'!D$5:D$100, B22, 'DS CONG VIEC'!I$5:I$100, "Hoàn thành")</f>
        <v/>
      </c>
      <c r="F22" s="8" t="inlineStr">
        <is>
          <t>Thức</t>
        </is>
      </c>
      <c r="G22" s="9">
        <f>COUNTIF('DS CONG VIEC'!E$5:E$100, F22)</f>
        <v/>
      </c>
      <c r="H22" s="11">
        <f>COUNTIFS('DS CONG VIEC'!E$5:E$100, F22, 'DS CONG VIEC'!I$5:I$100, "Hoàn thành")</f>
        <v/>
      </c>
    </row>
    <row r="23">
      <c r="B23" s="8" t="inlineStr">
        <is>
          <t>Thiết kế &amp; Media</t>
        </is>
      </c>
      <c r="C23" s="9">
        <f>COUNTIF('DS CONG VIEC'!D$5:D$100, B23)</f>
        <v/>
      </c>
      <c r="D23" s="11">
        <f>COUNTIFS('DS CONG VIEC'!D$5:D$100, B23, 'DS CONG VIEC'!I$5:I$100, "Hoàn thành")</f>
        <v/>
      </c>
      <c r="F23" s="8" t="inlineStr">
        <is>
          <t>Ngân</t>
        </is>
      </c>
      <c r="G23" s="9">
        <f>COUNTIF('DS CONG VIEC'!E$5:E$100, F23)</f>
        <v/>
      </c>
      <c r="H23" s="11">
        <f>COUNTIFS('DS CONG VIEC'!E$5:E$100, F23, 'DS CONG VIEC'!I$5:I$100, "Hoàn thành")</f>
        <v/>
      </c>
    </row>
    <row r="24">
      <c r="F24" s="8" t="inlineStr">
        <is>
          <t>Hùng</t>
        </is>
      </c>
      <c r="G24" s="9">
        <f>COUNTIF('DS CONG VIEC'!E$5:E$100, F24)</f>
        <v/>
      </c>
      <c r="H24" s="11">
        <f>COUNTIFS('DS CONG VIEC'!E$5:E$100, F24, 'DS CONG VIEC'!I$5:I$100, "Hoàn thành")</f>
        <v/>
      </c>
    </row>
    <row r="25">
      <c r="F25" s="8" t="inlineStr">
        <is>
          <t>Hùng Miền Bắc</t>
        </is>
      </c>
      <c r="G25" s="9">
        <f>COUNTIF('DS CONG VIEC'!E$5:E$100, F25)</f>
        <v/>
      </c>
      <c r="H25" s="11">
        <f>COUNTIFS('DS CONG VIEC'!E$5:E$100, F25, 'DS CONG VIEC'!I$5:I$100, "Hoàn thành")</f>
        <v/>
      </c>
    </row>
  </sheetData>
  <mergeCells count="17">
    <mergeCell ref="D4"/>
    <mergeCell ref="B4:C4"/>
    <mergeCell ref="E4"/>
    <mergeCell ref="F4"/>
    <mergeCell ref="B5:C5"/>
    <mergeCell ref="G4"/>
    <mergeCell ref="A1:I2"/>
    <mergeCell ref="H5:I5"/>
    <mergeCell ref="H4:I4"/>
    <mergeCell ref="F7:H7"/>
    <mergeCell ref="B15:D15"/>
    <mergeCell ref="B7:D7"/>
    <mergeCell ref="F15:H15"/>
    <mergeCell ref="F5"/>
    <mergeCell ref="D5"/>
    <mergeCell ref="G5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5" customWidth="1" min="3" max="3"/>
    <col width="20" customWidth="1" min="4" max="4"/>
    <col width="18" customWidth="1" min="5" max="5"/>
    <col width="18" customWidth="1" min="6" max="6"/>
    <col width="14" customWidth="1" min="7" max="7"/>
    <col width="14" customWidth="1" min="8" max="8"/>
    <col width="15" customWidth="1" min="9" max="9"/>
    <col width="12" customWidth="1" min="10" max="10"/>
    <col width="15" customWidth="1" min="11" max="11"/>
    <col width="15" customWidth="1" min="12" max="12"/>
    <col width="30" customWidth="1" min="13" max="13"/>
    <col width="30" customWidth="1" min="14" max="14"/>
  </cols>
  <sheetData>
    <row r="1">
      <c r="A1" s="1" t="inlineStr">
        <is>
          <t>DANH SÁCH CHI TIẾT CÔNG VIỆC MARKETING - KING BLUE</t>
        </is>
      </c>
    </row>
    <row r="2"/>
    <row r="3">
      <c r="A3" s="12" t="inlineStr">
        <is>
          <t>💡 Hướng dẫn: Cập nhật Trạng thái và Tiến độ thường xuyên. Cột 'Tình trạng hạn' sẽ tự động cảnh báo theo Deadline.</t>
        </is>
      </c>
    </row>
    <row r="4">
      <c r="A4" s="7" t="inlineStr">
        <is>
          <t>STT</t>
        </is>
      </c>
      <c r="B4" s="7" t="inlineStr">
        <is>
          <t>Mã Task</t>
        </is>
      </c>
      <c r="C4" s="7" t="inlineStr">
        <is>
          <t>Tên Công Việc</t>
        </is>
      </c>
      <c r="D4" s="7" t="inlineStr">
        <is>
          <t>Hạng Mục / Kênh</t>
        </is>
      </c>
      <c r="E4" s="7" t="inlineStr">
        <is>
          <t>Phụ Trách (Assignee)</t>
        </is>
      </c>
      <c r="F4" s="7" t="inlineStr">
        <is>
          <t>Người Phối Hợp</t>
        </is>
      </c>
      <c r="G4" s="7" t="inlineStr">
        <is>
          <t>Ngày Bắt Đầu</t>
        </is>
      </c>
      <c r="H4" s="7" t="inlineStr">
        <is>
          <t>Deadline</t>
        </is>
      </c>
      <c r="I4" s="7" t="inlineStr">
        <is>
          <t>Trạng Thái</t>
        </is>
      </c>
      <c r="J4" s="7" t="inlineStr">
        <is>
          <t>Tiến Độ (%)</t>
        </is>
      </c>
      <c r="K4" s="7" t="inlineStr">
        <is>
          <t>Tình Trạng Hạn</t>
        </is>
      </c>
      <c r="L4" s="7" t="inlineStr">
        <is>
          <t>Mức Độ Ưu Tiên</t>
        </is>
      </c>
      <c r="M4" s="7" t="inlineStr">
        <is>
          <t>Link Tài Liệu / Sản Phẩm</t>
        </is>
      </c>
      <c r="N4" s="7" t="inlineStr">
        <is>
          <t>Ghi Chú / Trở Ngại</t>
        </is>
      </c>
    </row>
    <row r="5">
      <c r="A5" s="11" t="n">
        <v>1</v>
      </c>
      <c r="B5" s="11" t="inlineStr">
        <is>
          <t>KB-MKT-01</t>
        </is>
      </c>
      <c r="C5" s="8" t="inlineStr">
        <is>
          <t>Quay video test tải máy khoan pin KM18QE</t>
        </is>
      </c>
      <c r="D5" s="8" t="inlineStr">
        <is>
          <t>YouTube / Video</t>
        </is>
      </c>
      <c r="E5" s="8" t="inlineStr">
        <is>
          <t>Tứ</t>
        </is>
      </c>
      <c r="F5" s="8" t="inlineStr">
        <is>
          <t>Kiều Thương</t>
        </is>
      </c>
      <c r="G5" s="11" t="inlineStr">
        <is>
          <t>2026-10-02</t>
        </is>
      </c>
      <c r="H5" s="11" t="inlineStr">
        <is>
          <t>2026-10-07</t>
        </is>
      </c>
      <c r="I5" s="13" t="inlineStr">
        <is>
          <t>Đang làm</t>
        </is>
      </c>
      <c r="J5" s="14" t="n">
        <v>0.6</v>
      </c>
      <c r="K5" s="9">
        <f>IF(I5="Hoàn thành", "Đã xong", IF(ISBLANK(H5), "", IF(H5&lt;TODAY(), "Quá hạn", IF(H5-TODAY()&lt;=2, "Sắp đến hạn", "Đúng hạn"))))</f>
        <v/>
      </c>
      <c r="L5" s="15" t="inlineStr">
        <is>
          <t>Cao</t>
        </is>
      </c>
      <c r="M5" s="8" t="inlineStr">
        <is>
          <t>https://drive.google.com/...</t>
        </is>
      </c>
      <c r="N5" s="8" t="inlineStr">
        <is>
          <t>Chuẩn bị mẫu bê tông và đá mài</t>
        </is>
      </c>
    </row>
    <row r="6">
      <c r="A6" s="11" t="n">
        <v>2</v>
      </c>
      <c r="B6" s="11" t="inlineStr">
        <is>
          <t>KB-MKT-02</t>
        </is>
      </c>
      <c r="C6" s="8" t="inlineStr">
        <is>
          <t>Chụp ảnh sản phẩm thùng đồ nghề KHD4233</t>
        </is>
      </c>
      <c r="D6" s="8" t="inlineStr">
        <is>
          <t>Thiết kế &amp; Media</t>
        </is>
      </c>
      <c r="E6" s="8" t="inlineStr">
        <is>
          <t>Tứ</t>
        </is>
      </c>
      <c r="F6" s="8" t="inlineStr">
        <is>
          <t>Thiện</t>
        </is>
      </c>
      <c r="G6" s="11" t="inlineStr">
        <is>
          <t>2026-09-30</t>
        </is>
      </c>
      <c r="H6" s="11" t="inlineStr">
        <is>
          <t>2026-10-04</t>
        </is>
      </c>
      <c r="I6" s="16" t="inlineStr">
        <is>
          <t>Hoàn thành</t>
        </is>
      </c>
      <c r="J6" s="14" t="n">
        <v>1</v>
      </c>
      <c r="K6" s="9">
        <f>IF(I6="Hoàn thành", "Đã xong", IF(ISBLANK(H6), "", IF(H6&lt;TODAY(), "Quá hạn", IF(H6-TODAY()&lt;=2, "Sắp đến hạn", "Đúng hạn"))))</f>
        <v/>
      </c>
      <c r="L6" s="15" t="inlineStr">
        <is>
          <t>Trung bình</t>
        </is>
      </c>
      <c r="M6" s="8" t="inlineStr">
        <is>
          <t>https://drive.google.com/...</t>
        </is>
      </c>
      <c r="N6" s="8" t="inlineStr">
        <is>
          <t>Đã retouched xong 8 góc ảnh</t>
        </is>
      </c>
    </row>
    <row r="7">
      <c r="A7" s="11" t="n">
        <v>3</v>
      </c>
      <c r="B7" s="11" t="inlineStr">
        <is>
          <t>KB-MKT-03</t>
        </is>
      </c>
      <c r="C7" s="8" t="inlineStr">
        <is>
          <t>Thiết kế banner &amp; poster sự kiện triển lãm Vietbuild</t>
        </is>
      </c>
      <c r="D7" s="8" t="inlineStr">
        <is>
          <t>Trade &amp; POSM Đại lý</t>
        </is>
      </c>
      <c r="E7" s="8" t="inlineStr">
        <is>
          <t>Thiện</t>
        </is>
      </c>
      <c r="F7" s="8" t="inlineStr">
        <is>
          <t>Thụy Thương</t>
        </is>
      </c>
      <c r="G7" s="11" t="inlineStr">
        <is>
          <t>2026-10-03</t>
        </is>
      </c>
      <c r="H7" s="11" t="inlineStr">
        <is>
          <t>2026-10-09</t>
        </is>
      </c>
      <c r="I7" s="13" t="inlineStr">
        <is>
          <t>Đang làm</t>
        </is>
      </c>
      <c r="J7" s="14" t="n">
        <v>0.4</v>
      </c>
      <c r="K7" s="9">
        <f>IF(I7="Hoàn thành", "Đã xong", IF(ISBLANK(H7), "", IF(H7&lt;TODAY(), "Quá hạn", IF(H7-TODAY()&lt;=2, "Sắp đến hạn", "Đúng hạn"))))</f>
        <v/>
      </c>
      <c r="L7" s="17" t="inlineStr">
        <is>
          <t>Khẩn cấp</t>
        </is>
      </c>
      <c r="M7" s="8" t="inlineStr">
        <is>
          <t>file:///Users/Admin/Documents/...</t>
        </is>
      </c>
      <c r="N7" s="8" t="inlineStr">
        <is>
          <t>Đang duyệt layout 3 phương án</t>
        </is>
      </c>
    </row>
    <row r="8">
      <c r="A8" s="11" t="n">
        <v>4</v>
      </c>
      <c r="B8" s="11" t="inlineStr">
        <is>
          <t>KB-MKT-04</t>
        </is>
      </c>
      <c r="C8" s="8" t="inlineStr">
        <is>
          <t>Viết bài chuẩn SEO giới thiệu công nghệ Brushless Motor</t>
        </is>
      </c>
      <c r="D8" s="8" t="inlineStr">
        <is>
          <t>Website &amp; SEO</t>
        </is>
      </c>
      <c r="E8" s="8" t="inlineStr">
        <is>
          <t>Hoài Thương</t>
        </is>
      </c>
      <c r="F8" s="8" t="inlineStr">
        <is>
          <t>Admin</t>
        </is>
      </c>
      <c r="G8" s="11" t="inlineStr">
        <is>
          <t>2026-10-01</t>
        </is>
      </c>
      <c r="H8" s="11" t="inlineStr">
        <is>
          <t>2026-10-03</t>
        </is>
      </c>
      <c r="I8" s="16" t="inlineStr">
        <is>
          <t>Hoàn thành</t>
        </is>
      </c>
      <c r="J8" s="14" t="n">
        <v>1</v>
      </c>
      <c r="K8" s="9">
        <f>IF(I8="Hoàn thành", "Đã xong", IF(ISBLANK(H8), "", IF(H8&lt;TODAY(), "Quá hạn", IF(H8-TODAY()&lt;=2, "Sắp đến hạn", "Đúng hạn"))))</f>
        <v/>
      </c>
      <c r="L8" s="15" t="inlineStr">
        <is>
          <t>Trung bình</t>
        </is>
      </c>
      <c r="M8" s="8" t="inlineStr">
        <is>
          <t>https://kingblue.vn/tin-tuc</t>
        </is>
      </c>
      <c r="N8" s="8" t="inlineStr">
        <is>
          <t>Đã index Google</t>
        </is>
      </c>
    </row>
    <row r="9">
      <c r="A9" s="11" t="n">
        <v>5</v>
      </c>
      <c r="B9" s="11" t="inlineStr">
        <is>
          <t>KB-MKT-05</t>
        </is>
      </c>
      <c r="C9" s="8" t="inlineStr">
        <is>
          <t>Lên kịch bản &amp; liên hệ KOC test cờ lê lực King Blue</t>
        </is>
      </c>
      <c r="D9" s="8" t="inlineStr">
        <is>
          <t>TikTok &amp; KOC</t>
        </is>
      </c>
      <c r="E9" s="8" t="inlineStr">
        <is>
          <t>Kiều Thương</t>
        </is>
      </c>
      <c r="F9" s="8" t="inlineStr">
        <is>
          <t>Tứ</t>
        </is>
      </c>
      <c r="G9" s="11" t="inlineStr">
        <is>
          <t>2026-10-04</t>
        </is>
      </c>
      <c r="H9" s="11" t="inlineStr">
        <is>
          <t>2026-10-10</t>
        </is>
      </c>
      <c r="I9" s="13" t="inlineStr">
        <is>
          <t>Đang làm</t>
        </is>
      </c>
      <c r="J9" s="14" t="n">
        <v>0.3</v>
      </c>
      <c r="K9" s="9">
        <f>IF(I9="Hoàn thành", "Đã xong", IF(ISBLANK(H9), "", IF(H9&lt;TODAY(), "Quá hạn", IF(H9-TODAY()&lt;=2, "Sắp đến hạn", "Đúng hạn"))))</f>
        <v/>
      </c>
      <c r="L9" s="15" t="inlineStr">
        <is>
          <t>Cao</t>
        </is>
      </c>
      <c r="M9" s="8" t="inlineStr">
        <is>
          <t>https://docs.google.com/...</t>
        </is>
      </c>
      <c r="N9" s="8" t="inlineStr">
        <is>
          <t>Đã gửi tin nhắn cho 3 KOC ngành cơ khí</t>
        </is>
      </c>
    </row>
    <row r="10">
      <c r="A10" s="11" t="n">
        <v>6</v>
      </c>
      <c r="B10" s="11" t="inlineStr">
        <is>
          <t>KB-MKT-06</t>
        </is>
      </c>
      <c r="C10" s="8" t="inlineStr">
        <is>
          <t>Cập nhật giá niêm yết và khuyến mãi đại lý lên kingtools.vn</t>
        </is>
      </c>
      <c r="D10" s="8" t="inlineStr">
        <is>
          <t>Sàn TMĐT (Shopee/Lazada)</t>
        </is>
      </c>
      <c r="E10" s="8" t="inlineStr">
        <is>
          <t>Thức</t>
        </is>
      </c>
      <c r="F10" s="8" t="inlineStr">
        <is>
          <t>Ngân</t>
        </is>
      </c>
      <c r="G10" s="11" t="inlineStr">
        <is>
          <t>2026-10-04</t>
        </is>
      </c>
      <c r="H10" s="11" t="inlineStr">
        <is>
          <t>2026-10-06</t>
        </is>
      </c>
      <c r="I10" s="18" t="inlineStr">
        <is>
          <t>Đang duyệt</t>
        </is>
      </c>
      <c r="J10" s="14" t="n">
        <v>0.9</v>
      </c>
      <c r="K10" s="9">
        <f>IF(I10="Hoàn thành", "Đã xong", IF(ISBLANK(H10), "", IF(H10&lt;TODAY(), "Quá hạn", IF(H10-TODAY()&lt;=2, "Sắp đến hạn", "Đúng hạn"))))</f>
        <v/>
      </c>
      <c r="L10" s="15" t="inlineStr">
        <is>
          <t>Cao</t>
        </is>
      </c>
      <c r="M10" s="8" t="inlineStr">
        <is>
          <t>https://kingtools.vn/...</t>
        </is>
      </c>
      <c r="N10" s="8" t="inlineStr">
        <is>
          <t>Chờ Giám đốc ký duyệt chính sách</t>
        </is>
      </c>
    </row>
    <row r="11">
      <c r="A11" s="11" t="n">
        <v>7</v>
      </c>
      <c r="B11" s="11" t="inlineStr">
        <is>
          <t>KB-MKT-07</t>
        </is>
      </c>
      <c r="C11" s="8" t="inlineStr">
        <is>
          <t>Thiết kế quầy kệ trưng bày POSM nhận diện cho Đại lý Cấp 1</t>
        </is>
      </c>
      <c r="D11" s="8" t="inlineStr">
        <is>
          <t>Trade &amp; POSM Đại lý</t>
        </is>
      </c>
      <c r="E11" s="8" t="inlineStr">
        <is>
          <t>Thiện</t>
        </is>
      </c>
      <c r="F11" s="8" t="inlineStr">
        <is>
          <t>Thức</t>
        </is>
      </c>
      <c r="G11" s="11" t="inlineStr">
        <is>
          <t>2026-09-28</t>
        </is>
      </c>
      <c r="H11" s="11" t="inlineStr">
        <is>
          <t>2026-10-12</t>
        </is>
      </c>
      <c r="I11" s="13" t="inlineStr">
        <is>
          <t>Đang làm</t>
        </is>
      </c>
      <c r="J11" s="14" t="n">
        <v>0.5</v>
      </c>
      <c r="K11" s="9">
        <f>IF(I11="Hoàn thành", "Đã xong", IF(ISBLANK(H11), "", IF(H11&lt;TODAY(), "Quá hạn", IF(H11-TODAY()&lt;=2, "Sắp đến hạn", "Đúng hạn"))))</f>
        <v/>
      </c>
      <c r="L11" s="17" t="inlineStr">
        <is>
          <t>Khẩn cấp</t>
        </is>
      </c>
      <c r="M11" s="8" t="inlineStr">
        <is>
          <t>file:///Users/Admin/Documents/...</t>
        </is>
      </c>
      <c r="N11" s="8" t="inlineStr">
        <is>
          <t>Xưởng đang gửi báo giá đóng kệ</t>
        </is>
      </c>
    </row>
    <row r="12">
      <c r="A12" s="11" t="n">
        <v>8</v>
      </c>
      <c r="B12" s="11" t="inlineStr">
        <is>
          <t>KB-MKT-08</t>
        </is>
      </c>
      <c r="C12" s="8" t="inlineStr">
        <is>
          <t>Đăng bài Fanpage: Mẹo sử dụng đá cắt an toàn &amp; tặng mã voucher</t>
        </is>
      </c>
      <c r="D12" s="8" t="inlineStr">
        <is>
          <t>Facebook Fanpage</t>
        </is>
      </c>
      <c r="E12" s="8" t="inlineStr">
        <is>
          <t>Hoài Thương</t>
        </is>
      </c>
      <c r="F12" s="8" t="inlineStr">
        <is>
          <t>Thiện</t>
        </is>
      </c>
      <c r="G12" s="11" t="inlineStr">
        <is>
          <t>2026-10-05</t>
        </is>
      </c>
      <c r="H12" s="11" t="inlineStr">
        <is>
          <t>2026-10-06</t>
        </is>
      </c>
      <c r="I12" s="13" t="inlineStr">
        <is>
          <t>Đang làm</t>
        </is>
      </c>
      <c r="J12" s="14" t="n">
        <v>0.5</v>
      </c>
      <c r="K12" s="9">
        <f>IF(I12="Hoàn thành", "Đã xong", IF(ISBLANK(H12), "", IF(H12&lt;TODAY(), "Quá hạn", IF(H12-TODAY()&lt;=2, "Sắp đến hạn", "Đúng hạn"))))</f>
        <v/>
      </c>
      <c r="L12" s="15" t="inlineStr">
        <is>
          <t>Trung bình</t>
        </is>
      </c>
      <c r="M12" s="8" t="inlineStr">
        <is>
          <t>https://facebook.com/KingBlue-tools...</t>
        </is>
      </c>
      <c r="N12" s="8" t="inlineStr">
        <is>
          <t>Đã xong visual, chờ giờ vàng lên bài</t>
        </is>
      </c>
    </row>
    <row r="13">
      <c r="A13" s="11" t="n">
        <v>9</v>
      </c>
      <c r="B13" s="11" t="inlineStr">
        <is>
          <t>KB-MKT-09</t>
        </is>
      </c>
      <c r="C13" s="8" t="inlineStr">
        <is>
          <t>Trực chat sàn &amp; tối ưu giỏ hàng TikTok Shop</t>
        </is>
      </c>
      <c r="D13" s="8" t="inlineStr">
        <is>
          <t>Sàn TMĐT (Shopee/Lazada)</t>
        </is>
      </c>
      <c r="E13" s="8" t="inlineStr">
        <is>
          <t>Ngân</t>
        </is>
      </c>
      <c r="F13" s="8" t="inlineStr">
        <is>
          <t>Thức</t>
        </is>
      </c>
      <c r="G13" s="11" t="inlineStr">
        <is>
          <t>2026-09-29</t>
        </is>
      </c>
      <c r="H13" s="11" t="inlineStr">
        <is>
          <t>2026-10-04</t>
        </is>
      </c>
      <c r="I13" s="16" t="inlineStr">
        <is>
          <t>Hoàn thành</t>
        </is>
      </c>
      <c r="J13" s="14" t="n">
        <v>1</v>
      </c>
      <c r="K13" s="9">
        <f>IF(I13="Hoàn thành", "Đã xong", IF(ISBLANK(H13), "", IF(H13&lt;TODAY(), "Quá hạn", IF(H13-TODAY()&lt;=2, "Sắp đến hạn", "Đúng hạn"))))</f>
        <v/>
      </c>
      <c r="L13" s="15" t="inlineStr">
        <is>
          <t>Trung bình</t>
        </is>
      </c>
      <c r="M13" s="8" t="inlineStr">
        <is>
          <t>https://shopee.vn/...</t>
        </is>
      </c>
      <c r="N13" s="8" t="inlineStr">
        <is>
          <t>Tỷ lệ phản hồi chat đạt 98%</t>
        </is>
      </c>
    </row>
    <row r="14">
      <c r="A14" s="11" t="n">
        <v>10</v>
      </c>
      <c r="B14" s="11" t="inlineStr">
        <is>
          <t>KB-MKT-10</t>
        </is>
      </c>
      <c r="C14" s="8" t="inlineStr">
        <is>
          <t>Soạn nội dung cẩm nang sản phẩm &amp; chính sách đại lý</t>
        </is>
      </c>
      <c r="D14" s="8" t="inlineStr">
        <is>
          <t>Trade &amp; POSM Đại lý</t>
        </is>
      </c>
      <c r="E14" s="8" t="inlineStr">
        <is>
          <t>Thụy Thương</t>
        </is>
      </c>
      <c r="F14" s="8" t="inlineStr">
        <is>
          <t>Hoài Thương</t>
        </is>
      </c>
      <c r="G14" s="11" t="inlineStr">
        <is>
          <t>2026-10-03</t>
        </is>
      </c>
      <c r="H14" s="11" t="inlineStr">
        <is>
          <t>2026-10-08</t>
        </is>
      </c>
      <c r="I14" s="13" t="inlineStr">
        <is>
          <t>Đang làm</t>
        </is>
      </c>
      <c r="J14" s="14" t="n">
        <v>0.7</v>
      </c>
      <c r="K14" s="9">
        <f>IF(I14="Hoàn thành", "Đã xong", IF(ISBLANK(H14), "", IF(H14&lt;TODAY(), "Quá hạn", IF(H14-TODAY()&lt;=2, "Sắp đến hạn", "Đúng hạn"))))</f>
        <v/>
      </c>
      <c r="L14" s="15" t="inlineStr">
        <is>
          <t>Cao</t>
        </is>
      </c>
      <c r="M14" s="8" t="inlineStr">
        <is>
          <t>https://docs.google.com/...</t>
        </is>
      </c>
      <c r="N14" s="8" t="inlineStr">
        <is>
          <t>Đang rà soát danh mục máy pin</t>
        </is>
      </c>
    </row>
    <row r="15">
      <c r="A15" s="11" t="n">
        <v>11</v>
      </c>
      <c r="B15" s="11" t="inlineStr">
        <is>
          <t>KB-MKT-11</t>
        </is>
      </c>
      <c r="C15" s="8" t="inlineStr">
        <is>
          <t>Đóng gói 50 đơn hàng combo máy pin ra mắt (Kho Nam)</t>
        </is>
      </c>
      <c r="D15" s="8" t="inlineStr">
        <is>
          <t>Sàn TMĐT (Shopee/Lazada)</t>
        </is>
      </c>
      <c r="E15" s="8" t="inlineStr">
        <is>
          <t>Hùng</t>
        </is>
      </c>
      <c r="F15" s="8" t="inlineStr">
        <is>
          <t>Thức</t>
        </is>
      </c>
      <c r="G15" s="11" t="inlineStr">
        <is>
          <t>2026-10-05</t>
        </is>
      </c>
      <c r="H15" s="11" t="inlineStr">
        <is>
          <t>2026-10-06</t>
        </is>
      </c>
      <c r="I15" s="13" t="inlineStr">
        <is>
          <t>Đang làm</t>
        </is>
      </c>
      <c r="J15" s="14" t="n">
        <v>0.4</v>
      </c>
      <c r="K15" s="9">
        <f>IF(I15="Hoàn thành", "Đã xong", IF(ISBLANK(H15), "", IF(H15&lt;TODAY(), "Quá hạn", IF(H15-TODAY()&lt;=2, "Sắp đến hạn", "Đúng hạn"))))</f>
        <v/>
      </c>
      <c r="L15" s="15" t="inlineStr">
        <is>
          <t>Cao</t>
        </is>
      </c>
      <c r="M15" s="8" t="inlineStr">
        <is>
          <t>file:///Users/Admin/Documents/...</t>
        </is>
      </c>
      <c r="N15" s="8" t="inlineStr">
        <is>
          <t>Đã dán tem bảo hành và đóng thùng</t>
        </is>
      </c>
    </row>
    <row r="16">
      <c r="A16" s="11" t="n">
        <v>12</v>
      </c>
      <c r="B16" s="11" t="inlineStr">
        <is>
          <t>KB-MKT-12</t>
        </is>
      </c>
      <c r="C16" s="8" t="inlineStr">
        <is>
          <t>Kiểm kê vật tư bao bì &amp; đóng gói hàng kho Miền Bắc</t>
        </is>
      </c>
      <c r="D16" s="8" t="inlineStr">
        <is>
          <t>Sàn TMĐT (Shopee/Lazada)</t>
        </is>
      </c>
      <c r="E16" s="8" t="inlineStr">
        <is>
          <t>Hùng Miền Bắc</t>
        </is>
      </c>
      <c r="F16" s="8" t="inlineStr">
        <is>
          <t>Ngân</t>
        </is>
      </c>
      <c r="G16" s="11" t="inlineStr">
        <is>
          <t>2026-10-04</t>
        </is>
      </c>
      <c r="H16" s="11" t="inlineStr">
        <is>
          <t>2026-10-07</t>
        </is>
      </c>
      <c r="I16" s="13" t="inlineStr">
        <is>
          <t>Đang làm</t>
        </is>
      </c>
      <c r="J16" s="14" t="n">
        <v>0.5</v>
      </c>
      <c r="K16" s="9">
        <f>IF(I16="Hoàn thành", "Đã xong", IF(ISBLANK(H16), "", IF(H16&lt;TODAY(), "Quá hạn", IF(H16-TODAY()&lt;=2, "Sắp đến hạn", "Đúng hạn"))))</f>
        <v/>
      </c>
      <c r="L16" s="15" t="inlineStr">
        <is>
          <t>Trung bình</t>
        </is>
      </c>
      <c r="M16" s="8" t="inlineStr">
        <is>
          <t>file:///Users/Admin/Documents/...</t>
        </is>
      </c>
      <c r="N16" s="8" t="inlineStr">
        <is>
          <t>Bổ sung thùng carton cỡ M &amp; màng co</t>
        </is>
      </c>
    </row>
  </sheetData>
  <mergeCells count="1">
    <mergeCell ref="A1:N2"/>
  </mergeCells>
  <dataValidations count="4">
    <dataValidation sqref="I5:I100" showDropDown="0" showInputMessage="0" showErrorMessage="0" allowBlank="1" type="list">
      <formula1>='CAU HINH'!$A$4:$A$8</formula1>
    </dataValidation>
    <dataValidation sqref="L5:L100" showDropDown="0" showInputMessage="0" showErrorMessage="0" allowBlank="1" type="list">
      <formula1>='CAU HINH'!$B$4:$B$7</formula1>
    </dataValidation>
    <dataValidation sqref="D5:D100" showDropDown="0" showInputMessage="0" showErrorMessage="0" allowBlank="1" type="list">
      <formula1>='CAU HINH'!$C$4:$C$10</formula1>
    </dataValidation>
    <dataValidation sqref="E5:F100" showDropDown="0" showInputMessage="0" showErrorMessage="0" allowBlank="1" type="list">
      <formula1>='CAU HINH'!$D$4:$D$12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6" t="inlineStr">
        <is>
          <t>DANH MỤC CẤU HÌNH HỆ THỐNG</t>
        </is>
      </c>
    </row>
    <row r="3">
      <c r="A3" s="7" t="inlineStr">
        <is>
          <t>Trạng Thái</t>
        </is>
      </c>
      <c r="B3" s="7" t="inlineStr">
        <is>
          <t>Độ Ưu Tiên</t>
        </is>
      </c>
      <c r="C3" s="7" t="inlineStr">
        <is>
          <t>Hạng Mục / Kênh</t>
        </is>
      </c>
      <c r="D3" s="7" t="inlineStr">
        <is>
          <t>Nhân Sự</t>
        </is>
      </c>
    </row>
    <row r="4">
      <c r="A4" s="19" t="inlineStr">
        <is>
          <t>Chưa bắt đầu</t>
        </is>
      </c>
      <c r="B4" s="19" t="inlineStr">
        <is>
          <t>Khẩn cấp</t>
        </is>
      </c>
      <c r="C4" s="19" t="inlineStr">
        <is>
          <t>Website &amp; SEO</t>
        </is>
      </c>
      <c r="D4" s="19" t="inlineStr">
        <is>
          <t>Hoài Thương</t>
        </is>
      </c>
    </row>
    <row r="5">
      <c r="A5" s="19" t="inlineStr">
        <is>
          <t>Đang làm</t>
        </is>
      </c>
      <c r="B5" s="19" t="inlineStr">
        <is>
          <t>Cao</t>
        </is>
      </c>
      <c r="C5" s="19" t="inlineStr">
        <is>
          <t>Facebook Fanpage</t>
        </is>
      </c>
      <c r="D5" s="19" t="inlineStr">
        <is>
          <t>Kiều Thương</t>
        </is>
      </c>
    </row>
    <row r="6">
      <c r="A6" s="19" t="inlineStr">
        <is>
          <t>Đang duyệt</t>
        </is>
      </c>
      <c r="B6" s="19" t="inlineStr">
        <is>
          <t>Trung bình</t>
        </is>
      </c>
      <c r="C6" s="19" t="inlineStr">
        <is>
          <t>YouTube / Video</t>
        </is>
      </c>
      <c r="D6" s="19" t="inlineStr">
        <is>
          <t>Thụy Thương</t>
        </is>
      </c>
    </row>
    <row r="7">
      <c r="A7" s="19" t="inlineStr">
        <is>
          <t>Hoàn thành</t>
        </is>
      </c>
      <c r="B7" s="19" t="inlineStr">
        <is>
          <t>Thấp</t>
        </is>
      </c>
      <c r="C7" s="19" t="inlineStr">
        <is>
          <t>TikTok &amp; KOC</t>
        </is>
      </c>
      <c r="D7" s="19" t="inlineStr">
        <is>
          <t>Thiện</t>
        </is>
      </c>
    </row>
    <row r="8">
      <c r="A8" s="19" t="inlineStr">
        <is>
          <t>Tạm hoãn</t>
        </is>
      </c>
      <c r="C8" s="19" t="inlineStr">
        <is>
          <t>Trade &amp; POSM Đại lý</t>
        </is>
      </c>
      <c r="D8" s="19" t="inlineStr">
        <is>
          <t>Tứ</t>
        </is>
      </c>
    </row>
    <row r="9">
      <c r="C9" s="19" t="inlineStr">
        <is>
          <t>Sàn TMĐT (Shopee/Lazada)</t>
        </is>
      </c>
      <c r="D9" s="19" t="inlineStr">
        <is>
          <t>Thức</t>
        </is>
      </c>
    </row>
    <row r="10">
      <c r="C10" s="19" t="inlineStr">
        <is>
          <t>Thiết kế &amp; Media</t>
        </is>
      </c>
      <c r="D10" s="19" t="inlineStr">
        <is>
          <t>Ngân</t>
        </is>
      </c>
    </row>
    <row r="11">
      <c r="D11" s="19" t="inlineStr">
        <is>
          <t>Hùng</t>
        </is>
      </c>
    </row>
    <row r="12">
      <c r="D12" s="19" t="inlineStr">
        <is>
          <t>Hùng Miền Bắc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2026-10-05T02:36:15Z</dcterms:created>
  <dcterms:modified xmlns:dcterms="http://purl.org/dc/terms/" xmlns:xsi="http://www.w3.org/2001/XMLSchema-instance" xsi:type="dcterms:W3CDTF">2026-10-05T02:36:15Z</dcterms:modified>
</cp:coreProperties>
</file>
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SỐ TIKTOK CKO" sheetId="1" r:id="rId5"/>
    <sheet state="visible" name="BÁO CÁO TỔNG HỢP" sheetId="2" r:id="rId6"/>
  </sheets>
  <definedNames>
    <definedName hidden="1" localSheetId="0" name="_xlnm._FilterDatabase">'CHỈ SỐ TIKTOK CKO'!$A$58:$H$82</definedName>
  </definedNames>
  <calcPr/>
</workbook>
</file>

<file path=xl/sharedStrings.xml><?xml version="1.0" encoding="utf-8"?>
<sst xmlns="http://schemas.openxmlformats.org/spreadsheetml/2006/main" count="414" uniqueCount="218">
  <si>
    <t>THÁNG 7</t>
  </si>
  <si>
    <t>Ngày đăng</t>
  </si>
  <si>
    <t>Link video</t>
  </si>
  <si>
    <t>Tên/chủ đề video</t>
  </si>
  <si>
    <t>Nhóm nội dung</t>
  </si>
  <si>
    <t>Thời lượng (giây)</t>
  </si>
  <si>
    <t>Lượt xem</t>
  </si>
  <si>
    <t>Lượt thích</t>
  </si>
  <si>
    <t>Bình luận</t>
  </si>
  <si>
    <t>1/7/2026</t>
  </si>
  <si>
    <t>Link</t>
  </si>
  <si>
    <t>Đầu siết tôn tích hợp bi giữ</t>
  </si>
  <si>
    <t>Giới thiệu sản phẩm</t>
  </si>
  <si>
    <t>37 giây</t>
  </si>
  <si>
    <t>2/7/2026</t>
  </si>
  <si>
    <t>34 giây</t>
  </si>
  <si>
    <t>3/7/2026</t>
  </si>
  <si>
    <t>Bộ sưu tập quạt cầm tay</t>
  </si>
  <si>
    <t>44 giây</t>
  </si>
  <si>
    <t>4/7/2026</t>
  </si>
  <si>
    <t>Đầu siết tôn ST08X42V</t>
  </si>
  <si>
    <t>36 giây</t>
  </si>
  <si>
    <t>6/7/2026</t>
  </si>
  <si>
    <t>Kéo cắt góc nẹp điên KPQ-032</t>
  </si>
  <si>
    <t>25 giây</t>
  </si>
  <si>
    <t>7/7/2026</t>
  </si>
  <si>
    <t>Quạt tích điện KB-CF01</t>
  </si>
  <si>
    <t>38 giây</t>
  </si>
  <si>
    <t>9/7/2026</t>
  </si>
  <si>
    <t>Top 3 mẫu khò ga đáng mua</t>
  </si>
  <si>
    <t>1 phút 13 giây</t>
  </si>
  <si>
    <t>10/7/2026</t>
  </si>
  <si>
    <t>Quạt cầm tay tích hợp sò lạnh</t>
  </si>
  <si>
    <t>42 giây</t>
  </si>
  <si>
    <t>11/7/2026</t>
  </si>
  <si>
    <t>Review / trải nghiệm thực tế</t>
  </si>
  <si>
    <t>43 giây</t>
  </si>
  <si>
    <t>13/7/2026</t>
  </si>
  <si>
    <t>41 giây</t>
  </si>
  <si>
    <t>14/7/2026</t>
  </si>
  <si>
    <t>15/7/2026</t>
  </si>
  <si>
    <t>Quạt mini KB-HS</t>
  </si>
  <si>
    <t>16/7/2026</t>
  </si>
  <si>
    <t>Máy rung ốp lát gạch KM18-HR1</t>
  </si>
  <si>
    <t>17/7/2026</t>
  </si>
  <si>
    <t>Bộ loe ống đồng</t>
  </si>
  <si>
    <t>Hướng dẫn sử dụng</t>
  </si>
  <si>
    <t>29 giây</t>
  </si>
  <si>
    <t>18/7/2026</t>
  </si>
  <si>
    <t>21/7/2026</t>
  </si>
  <si>
    <t>Công cụ hỗ trợ lắp ráp ống đồng</t>
  </si>
  <si>
    <t>55 giây</t>
  </si>
  <si>
    <t>22/7/2026</t>
  </si>
  <si>
    <t>Quạt cầm tay sò lạnh</t>
  </si>
  <si>
    <t>40 giây</t>
  </si>
  <si>
    <t>23/7/2026</t>
  </si>
  <si>
    <t>Máy mài góc K18MGS</t>
  </si>
  <si>
    <t>24/7/2026</t>
  </si>
  <si>
    <t>28 giây</t>
  </si>
  <si>
    <t>25/7/2026</t>
  </si>
  <si>
    <t>Top những máy khoan đáng mua</t>
  </si>
  <si>
    <t>1 phút 7 giây</t>
  </si>
  <si>
    <t>27/7/2026</t>
  </si>
  <si>
    <t>Máy cân bằng KB-05XS</t>
  </si>
  <si>
    <t>33 giây</t>
  </si>
  <si>
    <t>28/7/2026</t>
  </si>
  <si>
    <t>Tính năng máy mài góc</t>
  </si>
  <si>
    <t>29/7/2026</t>
  </si>
  <si>
    <t xml:space="preserve">Bộ mũi khoan đa năng </t>
  </si>
  <si>
    <t>30/7/2026</t>
  </si>
  <si>
    <t>Tuốt nơ vít 2 đầu</t>
  </si>
  <si>
    <t>31/7/2026</t>
  </si>
  <si>
    <t>Quạt cầm tay mini KB-HS</t>
  </si>
  <si>
    <t>19 giây</t>
  </si>
  <si>
    <t>TỔNG</t>
  </si>
  <si>
    <t>THÁNG 8</t>
  </si>
  <si>
    <t>1/8/2026</t>
  </si>
  <si>
    <t>Ảnh banner máy cân bằng KB-05XS</t>
  </si>
  <si>
    <t>Banner sản phẩm</t>
  </si>
  <si>
    <t>4/8/2026</t>
  </si>
  <si>
    <t>Kìm tuốt dây điện KND205</t>
  </si>
  <si>
    <t>34s</t>
  </si>
  <si>
    <t>6/8/2026</t>
  </si>
  <si>
    <t>Máy bắn vít K18VFS</t>
  </si>
  <si>
    <t>29s</t>
  </si>
  <si>
    <t>7/8/2026</t>
  </si>
  <si>
    <t>Bộ mũi khoan đa năng KLJ-015</t>
  </si>
  <si>
    <t>27s</t>
  </si>
  <si>
    <t>8/8/2026</t>
  </si>
  <si>
    <t>Dao cắt trái cây QC1</t>
  </si>
  <si>
    <t>26s</t>
  </si>
  <si>
    <t>10/8/2026</t>
  </si>
  <si>
    <t>Dao cắt ống KPC-032</t>
  </si>
  <si>
    <t>11/8/2026</t>
  </si>
  <si>
    <t xml:space="preserve">Các loại kéo cắt cành </t>
  </si>
  <si>
    <t>48s</t>
  </si>
  <si>
    <t>12/8/2026</t>
  </si>
  <si>
    <t>Kéo cắt cành QC4</t>
  </si>
  <si>
    <t>13/8/2026</t>
  </si>
  <si>
    <t>Kéo cắt cành QC2</t>
  </si>
  <si>
    <t>23s</t>
  </si>
  <si>
    <t>14/8/2026</t>
  </si>
  <si>
    <t>Máy hút chân không về hàng</t>
  </si>
  <si>
    <t>37s</t>
  </si>
  <si>
    <t>15/8/2026</t>
  </si>
  <si>
    <t>Máy bắn vít cấp trượt KB16VA2</t>
  </si>
  <si>
    <t>17/8/2026</t>
  </si>
  <si>
    <t xml:space="preserve">Hít kính điện tử </t>
  </si>
  <si>
    <t>33s</t>
  </si>
  <si>
    <t>18/8/2026</t>
  </si>
  <si>
    <t>42s</t>
  </si>
  <si>
    <t>19/8/2026</t>
  </si>
  <si>
    <t>Đèn pin siêu sáng</t>
  </si>
  <si>
    <t>22/8/2026</t>
  </si>
  <si>
    <t>Kéo cắt cành QC1</t>
  </si>
  <si>
    <t>32s</t>
  </si>
  <si>
    <t>24/8/2026</t>
  </si>
  <si>
    <t>1 phút 14 giây</t>
  </si>
  <si>
    <t>25/8/2026</t>
  </si>
  <si>
    <t>Tổng hợp các mẫu hít kính hot</t>
  </si>
  <si>
    <t>1 phút 20 giây</t>
  </si>
  <si>
    <t>26/8/2026</t>
  </si>
  <si>
    <t xml:space="preserve">Máy thổi phản lực </t>
  </si>
  <si>
    <t>17s</t>
  </si>
  <si>
    <t>27/8/2026</t>
  </si>
  <si>
    <t>Máy khoan bê tông</t>
  </si>
  <si>
    <t>35s</t>
  </si>
  <si>
    <t>28/8/2026</t>
  </si>
  <si>
    <t>Trọn bộ hàng hot</t>
  </si>
  <si>
    <t>29/8/2026</t>
  </si>
  <si>
    <t>47s</t>
  </si>
  <si>
    <t>31/8/2026</t>
  </si>
  <si>
    <t>Video KOL/KOC</t>
  </si>
  <si>
    <t>1 phút 9 giây</t>
  </si>
  <si>
    <t>Chỉ số so với tháng trước</t>
  </si>
  <si>
    <t>Tăng 10,31%</t>
  </si>
  <si>
    <t>Giảm 20,65%</t>
  </si>
  <si>
    <t>Giảm 60%</t>
  </si>
  <si>
    <t>3/9/2026</t>
  </si>
  <si>
    <t>Test Máy thổi phản lực</t>
  </si>
  <si>
    <t>Collab KOL/KOC</t>
  </si>
  <si>
    <t>1 phút 37 giây</t>
  </si>
  <si>
    <t>4/9/2026</t>
  </si>
  <si>
    <t xml:space="preserve">Test Máy khoan bê tông </t>
  </si>
  <si>
    <t>1 phút 30 giây</t>
  </si>
  <si>
    <t>5/9/2026</t>
  </si>
  <si>
    <t>Test máy siết bulon</t>
  </si>
  <si>
    <t>1 phút 59 giây</t>
  </si>
  <si>
    <t>7/9/2026</t>
  </si>
  <si>
    <t>Test thực tế máy siết bulon</t>
  </si>
  <si>
    <t>1 phút 24 giây</t>
  </si>
  <si>
    <t>8/9/2026</t>
  </si>
  <si>
    <t>Combo điện lanh</t>
  </si>
  <si>
    <t>1 phút 48 giây</t>
  </si>
  <si>
    <t>9/9/2026</t>
  </si>
  <si>
    <t>Máy rửa xe tiêu âm KBA-US1500</t>
  </si>
  <si>
    <t>50 giây</t>
  </si>
  <si>
    <t>10/9/2026</t>
  </si>
  <si>
    <t>51 giây</t>
  </si>
  <si>
    <t>12/9/2026</t>
  </si>
  <si>
    <t>Tổng hợp máy rửa xe</t>
  </si>
  <si>
    <t>14/9/2026</t>
  </si>
  <si>
    <t>Máy rửa xe KBA-UL1200</t>
  </si>
  <si>
    <t>39s</t>
  </si>
  <si>
    <t>15/9/2026</t>
  </si>
  <si>
    <t>Máy thổi phản lực</t>
  </si>
  <si>
    <t>58s</t>
  </si>
  <si>
    <t>16/9/2026</t>
  </si>
  <si>
    <t>Bộ 3 máy khoan 3 chức năng</t>
  </si>
  <si>
    <t>1 phút 34 giây</t>
  </si>
  <si>
    <t>17/9/2026</t>
  </si>
  <si>
    <t>Máy rửa xe áp lực KBA-UL1200</t>
  </si>
  <si>
    <t>18/9/2026</t>
  </si>
  <si>
    <t>Máy rửa xe KBA-I1500</t>
  </si>
  <si>
    <t>45 giây</t>
  </si>
  <si>
    <t>19/9/2026</t>
  </si>
  <si>
    <t>30 giây</t>
  </si>
  <si>
    <t>21/9/2026</t>
  </si>
  <si>
    <t>22/9/2026</t>
  </si>
  <si>
    <t>Bơm lốp kích bình</t>
  </si>
  <si>
    <t>23/9/2026</t>
  </si>
  <si>
    <t>25/9/2026</t>
  </si>
  <si>
    <t>35 giây</t>
  </si>
  <si>
    <t>26/9/2026</t>
  </si>
  <si>
    <t>Thùng đồ nghề KHD4233</t>
  </si>
  <si>
    <t>28/9/2026</t>
  </si>
  <si>
    <t>29/9/2026</t>
  </si>
  <si>
    <t>Tính năng của máy thổi phản lực</t>
  </si>
  <si>
    <t>52 giây</t>
  </si>
  <si>
    <t>26,29%.</t>
  </si>
  <si>
    <t>365,41%.</t>
  </si>
  <si>
    <t>583,33%.</t>
  </si>
  <si>
    <t>BÁO CÁO TỔNG HỢP HIỆU QUẢ NỘI DUNG TIKTOK</t>
  </si>
  <si>
    <t>Tháng báo cáo:</t>
  </si>
  <si>
    <t>7-9/2026</t>
  </si>
  <si>
    <t>CHỈ SỐ TỔNG QUAN</t>
  </si>
  <si>
    <t>HIỆU QUẢ THEO NHÓM NỘI DUNG</t>
  </si>
  <si>
    <t>Tổng số video đã đăng</t>
  </si>
  <si>
    <t>Số video</t>
  </si>
  <si>
    <t>% số video</t>
  </si>
  <si>
    <t>Tổng lượt xem</t>
  </si>
  <si>
    <t>TB Lượt xem</t>
  </si>
  <si>
    <t>% lượt xem</t>
  </si>
  <si>
    <t>Tổng tương tác</t>
  </si>
  <si>
    <t>TB  Tương tác</t>
  </si>
  <si>
    <t>% tương tác</t>
  </si>
  <si>
    <t>Tổng lượt thích</t>
  </si>
  <si>
    <t>Video/ video collab KOL/KOC</t>
  </si>
  <si>
    <t>Tổng bình luận</t>
  </si>
  <si>
    <t>Bắt trend / giải trí</t>
  </si>
  <si>
    <t>0.0%</t>
  </si>
  <si>
    <t>Khác</t>
  </si>
  <si>
    <t>ĐÁNH GIÁ</t>
  </si>
  <si>
    <t>KẾ HOẠCH PHÂN BỔ NỘI DUNG THÁNG 11</t>
  </si>
  <si>
    <t>Video giới thiệu sản phẩm chiếm tỷ trong nhiều nhất, mục tiêu gắn link giỏ hàng</t>
  </si>
  <si>
    <t>Tỷ trọng đề xuất</t>
  </si>
  <si>
    <t>Số video dự kiến</t>
  </si>
  <si>
    <t>Review/so sánh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</si>
</sst>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u/>
      <color rgb="FF0000FF"/>
    </font>
    <font>
      <sz val="11.0"/>
      <color rgb="FF000000"/>
      <name val="Calibri"/>
    </font>
    <font>
      <b/>
      <color theme="1"/>
      <name val="Arial"/>
      <scheme val="minor"/>
    </font>
    <font/>
    <font>
      <b/>
      <sz val="15.0"/>
      <color rgb="FFFFFFFF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4CCCC"/>
        <bgColor rgb="FFF4CCCC"/>
      </patternFill>
    </fill>
    <fill>
      <patternFill patternType="solid">
        <fgColor rgb="FF262626"/>
        <bgColor rgb="FF262626"/>
      </patternFill>
    </fill>
    <fill>
      <patternFill patternType="solid">
        <fgColor rgb="FF63BE7B"/>
        <bgColor rgb="FF63BE7B"/>
      </patternFill>
    </fill>
  </fills>
  <borders count="8">
    <border/>
    <border>
      <left style="thin">
        <color rgb="FF95B3D7"/>
      </left>
      <top style="thin">
        <color rgb="FF95B3D7"/>
      </top>
    </border>
    <border>
      <top style="thin">
        <color rgb="FF95B3D7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1" fillId="2" fontId="1" numFmtId="49" xfId="0" applyAlignment="1" applyBorder="1" applyFill="1" applyFont="1" applyNumberForma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2" numFmtId="49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2" numFmtId="3" xfId="0" applyAlignment="1" applyBorder="1" applyFont="1" applyNumberFormat="1">
      <alignment horizontal="center" readingOrder="0"/>
    </xf>
    <xf borderId="3" fillId="0" fontId="2" numFmtId="3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 readingOrder="0" shrinkToFit="0" vertical="bottom" wrapText="1"/>
    </xf>
    <xf borderId="0" fillId="0" fontId="2" numFmtId="3" xfId="0" applyAlignment="1" applyFont="1" applyNumberFormat="1">
      <alignment horizontal="center" readingOrder="0"/>
    </xf>
    <xf borderId="4" fillId="3" fontId="5" numFmtId="49" xfId="0" applyAlignment="1" applyBorder="1" applyFill="1" applyFont="1" applyNumberFormat="1">
      <alignment horizontal="center" readingOrder="0"/>
    </xf>
    <xf borderId="5" fillId="0" fontId="6" numFmtId="0" xfId="0" applyBorder="1" applyFont="1"/>
    <xf borderId="6" fillId="0" fontId="6" numFmtId="0" xfId="0" applyBorder="1" applyFont="1"/>
    <xf borderId="3" fillId="3" fontId="5" numFmtId="3" xfId="0" applyAlignment="1" applyBorder="1" applyFill="1" applyFont="1" applyNumberForma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3" fillId="0" fontId="2" numFmtId="0" xfId="0" applyAlignment="1" applyBorder="1" applyFont="1">
      <alignment horizontal="center"/>
    </xf>
    <xf borderId="0" fillId="3" fontId="5" numFmtId="49" xfId="0" applyAlignment="1" applyFill="1" applyFont="1" applyNumberFormat="1">
      <alignment horizontal="center" readingOrder="0"/>
    </xf>
    <xf borderId="0" fillId="3" fontId="5" numFmtId="3" xfId="0" applyAlignment="1" applyFill="1" applyFont="1" applyNumberFormat="1">
      <alignment horizontal="center"/>
    </xf>
    <xf borderId="4" fillId="0" fontId="5" numFmtId="49" xfId="0" applyAlignment="1" applyBorder="1" applyFont="1" applyNumberFormat="1">
      <alignment horizontal="center" readingOrder="0"/>
    </xf>
    <xf borderId="0" fillId="0" fontId="2" numFmtId="49" xfId="0" applyFont="1" applyNumberFormat="1"/>
    <xf borderId="0" fillId="0" fontId="2" numFmtId="3" xfId="0" applyFont="1" applyNumberFormat="1"/>
    <xf borderId="0" fillId="4" fontId="7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4" numFmtId="3" xfId="0" applyAlignment="1" applyFont="1" applyNumberFormat="1">
      <alignment horizontal="center" readingOrder="0" shrinkToFit="0" vertical="bottom" wrapText="1"/>
    </xf>
    <xf borderId="0" fillId="4" fontId="1" numFmtId="0" xfId="0" applyAlignment="1" applyFill="1" applyFont="1">
      <alignment horizontal="center" readingOrder="0" shrinkToFit="0" wrapText="1"/>
    </xf>
    <xf borderId="7" fillId="0" fontId="4" numFmtId="0" xfId="0" applyAlignment="1" applyBorder="1" applyFont="1">
      <alignment readingOrder="0" shrinkToFit="0" vertical="bottom" wrapText="1"/>
    </xf>
    <xf borderId="7" fillId="0" fontId="4" numFmtId="9" xfId="0" applyAlignment="1" applyBorder="1" applyFont="1" applyNumberFormat="1">
      <alignment horizontal="center" readingOrder="0" shrinkToFit="0" vertical="bottom" wrapText="1"/>
    </xf>
    <xf borderId="7" fillId="0" fontId="4" numFmtId="3" xfId="0" applyAlignment="1" applyBorder="1" applyFont="1" applyNumberFormat="1">
      <alignment readingOrder="0" shrinkToFit="0" vertical="bottom" wrapText="1"/>
    </xf>
    <xf borderId="7" fillId="5" fontId="4" numFmtId="10" xfId="0" applyAlignment="1" applyBorder="1" applyFill="1" applyFont="1" applyNumberFormat="1">
      <alignment horizontal="right" readingOrder="0" shrinkToFit="0" vertical="bottom" wrapText="1"/>
    </xf>
    <xf borderId="7" fillId="0" fontId="4" numFmtId="0" xfId="0" applyAlignment="1" applyBorder="1" applyFont="1">
      <alignment horizontal="right" readingOrder="0" shrinkToFit="0" vertical="bottom" wrapText="1"/>
    </xf>
    <xf borderId="0" fillId="0" fontId="2" numFmtId="3" xfId="0" applyAlignment="1" applyFont="1" applyNumberFormat="1">
      <alignment readingOrder="0"/>
    </xf>
    <xf borderId="7" fillId="0" fontId="4" numFmtId="3" xfId="0" applyAlignment="1" applyBorder="1" applyFont="1" applyNumberFormat="1">
      <alignment horizontal="right" readingOrder="0" shrinkToFit="0" vertical="bottom" wrapText="1"/>
    </xf>
    <xf borderId="0" fillId="0" fontId="4" numFmtId="3" xfId="0" applyAlignment="1" applyFont="1" applyNumberFormat="1">
      <alignment shrinkToFit="0" vertical="bottom" wrapText="1"/>
    </xf>
    <xf borderId="7" fillId="0" fontId="4" numFmtId="9" xfId="0" applyAlignment="1" applyBorder="1" applyFont="1" applyNumberFormat="1">
      <alignment horizontal="right" readingOrder="0" shrinkToFit="0" vertical="bottom" wrapText="1"/>
    </xf>
    <xf borderId="7" fillId="0" fontId="4" numFmtId="10" xfId="0" applyAlignment="1" applyBorder="1" applyFont="1" applyNumberFormat="1">
      <alignment horizontal="right"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4" fillId="2" fontId="1" numFmtId="0" xfId="0" applyAlignment="1" applyBorder="1" applyFill="1" applyFont="1">
      <alignment readingOrder="0" shrinkToFit="0" vertical="bottom" wrapText="1"/>
    </xf>
    <xf borderId="4" fillId="0" fontId="4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bottom" wrapText="1"/>
    </xf>
    <xf borderId="3" fillId="0" fontId="4" numFmtId="9" xfId="0" applyAlignment="1" applyBorder="1" applyFont="1" applyNumberFormat="1">
      <alignment horizontal="center" readingOrder="0"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cko_store/video/7676778454938914056" TargetMode="External"/><Relationship Id="rId42" Type="http://schemas.openxmlformats.org/officeDocument/2006/relationships/hyperlink" Target="https://www.tiktok.com/@cko_store/video/7677900179944525074" TargetMode="External"/><Relationship Id="rId41" Type="http://schemas.openxmlformats.org/officeDocument/2006/relationships/hyperlink" Target="https://www.tiktok.com/@cko_store/video/7677536071424527623" TargetMode="External"/><Relationship Id="rId44" Type="http://schemas.openxmlformats.org/officeDocument/2006/relationships/hyperlink" Target="https://www.tiktok.com/@cko_store/video/7678652019447581960" TargetMode="External"/><Relationship Id="rId43" Type="http://schemas.openxmlformats.org/officeDocument/2006/relationships/hyperlink" Target="https://www.tiktok.com/@cko_store/video/7678344000616549653" TargetMode="External"/><Relationship Id="rId46" Type="http://schemas.openxmlformats.org/officeDocument/2006/relationships/hyperlink" Target="https://www.tiktok.com/@cko_store/video/7679386811617021192" TargetMode="External"/><Relationship Id="rId45" Type="http://schemas.openxmlformats.org/officeDocument/2006/relationships/hyperlink" Target="http://tiktok.com/@cko_store/video/7679007554629897480" TargetMode="External"/><Relationship Id="rId1" Type="http://schemas.openxmlformats.org/officeDocument/2006/relationships/hyperlink" Target="https://www.tiktok.com/@cko_store/video/7657486913560972551" TargetMode="External"/><Relationship Id="rId2" Type="http://schemas.openxmlformats.org/officeDocument/2006/relationships/hyperlink" Target="https://www.tiktok.com/@cko_store/video/7657845655620029703" TargetMode="External"/><Relationship Id="rId3" Type="http://schemas.openxmlformats.org/officeDocument/2006/relationships/hyperlink" Target="https://www.tiktok.com/@cko_store/video/7658224345663147282" TargetMode="External"/><Relationship Id="rId4" Type="http://schemas.openxmlformats.org/officeDocument/2006/relationships/hyperlink" Target="https://www.tiktok.com/@cko_store/video/7658587100991786247" TargetMode="External"/><Relationship Id="rId9" Type="http://schemas.openxmlformats.org/officeDocument/2006/relationships/hyperlink" Target="https://www.tiktok.com/@cko_store/video/7661185440862522632" TargetMode="External"/><Relationship Id="rId48" Type="http://schemas.openxmlformats.org/officeDocument/2006/relationships/hyperlink" Target="https://www.tiktok.com/@cko_store/video/7681243213906119943" TargetMode="External"/><Relationship Id="rId47" Type="http://schemas.openxmlformats.org/officeDocument/2006/relationships/hyperlink" Target="https://www.tiktok.com/@cko_store/video/7680124731902971143" TargetMode="External"/><Relationship Id="rId49" Type="http://schemas.openxmlformats.org/officeDocument/2006/relationships/hyperlink" Target="https://www.tiktok.com/@cko_store/video/7681612198195596551" TargetMode="External"/><Relationship Id="rId5" Type="http://schemas.openxmlformats.org/officeDocument/2006/relationships/hyperlink" Target="https://www.tiktok.com/@cko_store/video/7659337050499337490" TargetMode="External"/><Relationship Id="rId6" Type="http://schemas.openxmlformats.org/officeDocument/2006/relationships/hyperlink" Target="https://www.tiktok.com/@cko_store/video/7659710820380577031" TargetMode="External"/><Relationship Id="rId7" Type="http://schemas.openxmlformats.org/officeDocument/2006/relationships/hyperlink" Target="https://www.tiktok.com/@cko_store/video/7660456421326097672" TargetMode="External"/><Relationship Id="rId8" Type="http://schemas.openxmlformats.org/officeDocument/2006/relationships/hyperlink" Target="https://www.tiktok.com/@cko_store/video/7660860284071972117" TargetMode="External"/><Relationship Id="rId31" Type="http://schemas.openxmlformats.org/officeDocument/2006/relationships/hyperlink" Target="https://www.tiktok.com/@cko_store/video/7672334396287880466" TargetMode="External"/><Relationship Id="rId30" Type="http://schemas.openxmlformats.org/officeDocument/2006/relationships/hyperlink" Target="https://www.tiktok.com/@cko_store/video/7671583627041361159" TargetMode="External"/><Relationship Id="rId33" Type="http://schemas.openxmlformats.org/officeDocument/2006/relationships/hyperlink" Target="https://www.tiktok.com/@cko_store/video/7673079026386242824" TargetMode="External"/><Relationship Id="rId32" Type="http://schemas.openxmlformats.org/officeDocument/2006/relationships/hyperlink" Target="https://www.tiktok.com/@cko_store/video/7672711156506660104" TargetMode="External"/><Relationship Id="rId35" Type="http://schemas.openxmlformats.org/officeDocument/2006/relationships/hyperlink" Target="https://www.tiktok.com/@cko_store/video/7673833723967606034" TargetMode="External"/><Relationship Id="rId34" Type="http://schemas.openxmlformats.org/officeDocument/2006/relationships/hyperlink" Target="https://www.tiktok.com/@cko_store/video/7673455083144744199" TargetMode="External"/><Relationship Id="rId37" Type="http://schemas.openxmlformats.org/officeDocument/2006/relationships/hyperlink" Target="https://www.tiktok.com/@cko_store/video/7674940427056745735" TargetMode="External"/><Relationship Id="rId36" Type="http://schemas.openxmlformats.org/officeDocument/2006/relationships/hyperlink" Target="https://www.tiktok.com/@cko_store/video/7674182303811161351" TargetMode="External"/><Relationship Id="rId39" Type="http://schemas.openxmlformats.org/officeDocument/2006/relationships/hyperlink" Target="https://www.tiktok.com/@cko_store/video/7675681190254300424" TargetMode="External"/><Relationship Id="rId38" Type="http://schemas.openxmlformats.org/officeDocument/2006/relationships/hyperlink" Target="https://www.tiktok.com/@cko_store/video/7675302797360909575" TargetMode="External"/><Relationship Id="rId62" Type="http://schemas.openxmlformats.org/officeDocument/2006/relationships/hyperlink" Target="https://www.tiktok.com/@cko_store/video/7687918292392004882" TargetMode="External"/><Relationship Id="rId61" Type="http://schemas.openxmlformats.org/officeDocument/2006/relationships/hyperlink" Target="https://www.tiktok.com/@cko_store/video/7687165384033570055" TargetMode="External"/><Relationship Id="rId20" Type="http://schemas.openxmlformats.org/officeDocument/2006/relationships/hyperlink" Target="https://www.tiktok.com/@cko_store/video/7666424001757023508" TargetMode="External"/><Relationship Id="rId64" Type="http://schemas.openxmlformats.org/officeDocument/2006/relationships/hyperlink" Target="https://www.tiktok.com/@cko_store/video/7688653520551120135" TargetMode="External"/><Relationship Id="rId63" Type="http://schemas.openxmlformats.org/officeDocument/2006/relationships/hyperlink" Target="https://www.tiktok.com/@cko_store/video/7688297321213234450" TargetMode="External"/><Relationship Id="rId22" Type="http://schemas.openxmlformats.org/officeDocument/2006/relationships/hyperlink" Target="https://www.tiktok.com/@cko_store/video/7667515883564092680" TargetMode="External"/><Relationship Id="rId66" Type="http://schemas.openxmlformats.org/officeDocument/2006/relationships/hyperlink" Target="https://www.tiktok.com/@cko_store/video/7689768916033522952" TargetMode="External"/><Relationship Id="rId21" Type="http://schemas.openxmlformats.org/officeDocument/2006/relationships/hyperlink" Target="https://www.tiktok.com/@cko_store/video/7667164783854112020" TargetMode="External"/><Relationship Id="rId65" Type="http://schemas.openxmlformats.org/officeDocument/2006/relationships/hyperlink" Target="https://www.tiktok.com/@cko_store/video/7689401304917036306" TargetMode="External"/><Relationship Id="rId24" Type="http://schemas.openxmlformats.org/officeDocument/2006/relationships/hyperlink" Target="https://www.tiktok.com/@cko_store/video/7668274303590354183" TargetMode="External"/><Relationship Id="rId68" Type="http://schemas.openxmlformats.org/officeDocument/2006/relationships/hyperlink" Target="https://www.tiktok.com/@cko_store/video/7690885500239957255" TargetMode="External"/><Relationship Id="rId23" Type="http://schemas.openxmlformats.org/officeDocument/2006/relationships/hyperlink" Target="https://www.tiktok.com/@cko_store/video/7667896795778796820" TargetMode="External"/><Relationship Id="rId67" Type="http://schemas.openxmlformats.org/officeDocument/2006/relationships/hyperlink" Target="https://www.tiktok.com/@cko_store/video/7690507806469934343" TargetMode="External"/><Relationship Id="rId60" Type="http://schemas.openxmlformats.org/officeDocument/2006/relationships/hyperlink" Target="https://www.tiktok.com/@cko_store/video/7686821654487682311" TargetMode="External"/><Relationship Id="rId26" Type="http://schemas.openxmlformats.org/officeDocument/2006/relationships/hyperlink" Target="https://www.tiktok.com/@cko_store/photo/7668987387489291538" TargetMode="External"/><Relationship Id="rId25" Type="http://schemas.openxmlformats.org/officeDocument/2006/relationships/hyperlink" Target="https://www.tiktok.com/@cko_store/video/7668615361180273928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tiktok.com/@cko_store/video/7670822989658803474" TargetMode="External"/><Relationship Id="rId27" Type="http://schemas.openxmlformats.org/officeDocument/2006/relationships/hyperlink" Target="https://www.tiktok.com/@cko_store/video/7670098186605907208" TargetMode="External"/><Relationship Id="rId29" Type="http://schemas.openxmlformats.org/officeDocument/2006/relationships/hyperlink" Target="https://www.tiktok.com/@cko_store/video/7671230906295733512" TargetMode="External"/><Relationship Id="rId51" Type="http://schemas.openxmlformats.org/officeDocument/2006/relationships/hyperlink" Target="https://www.tiktok.com/@cko_store/video/7682717624710565138" TargetMode="External"/><Relationship Id="rId50" Type="http://schemas.openxmlformats.org/officeDocument/2006/relationships/hyperlink" Target="https://www.tiktok.com/@cko_store/video/7681970393694883080" TargetMode="External"/><Relationship Id="rId53" Type="http://schemas.openxmlformats.org/officeDocument/2006/relationships/hyperlink" Target="https://www.tiktok.com/@cko_store/video/7683461126612405522" TargetMode="External"/><Relationship Id="rId52" Type="http://schemas.openxmlformats.org/officeDocument/2006/relationships/hyperlink" Target="https://www.tiktok.com/@cko_store/video/7683088993327516946" TargetMode="External"/><Relationship Id="rId11" Type="http://schemas.openxmlformats.org/officeDocument/2006/relationships/hyperlink" Target="https://www.tiktok.com/@cko_store/video/7662295756849564948" TargetMode="External"/><Relationship Id="rId55" Type="http://schemas.openxmlformats.org/officeDocument/2006/relationships/hyperlink" Target="https://www.tiktok.com/@cko_store/photo/7684572594791615762?image_index=2" TargetMode="External"/><Relationship Id="rId10" Type="http://schemas.openxmlformats.org/officeDocument/2006/relationships/hyperlink" Target="https://www.tiktok.com/@cko_store/video/7661951922131209480" TargetMode="External"/><Relationship Id="rId54" Type="http://schemas.openxmlformats.org/officeDocument/2006/relationships/hyperlink" Target="https://www.tiktok.com/@cko_store/video/7683836114985110792" TargetMode="External"/><Relationship Id="rId13" Type="http://schemas.openxmlformats.org/officeDocument/2006/relationships/hyperlink" Target="https://www.tiktok.com/@cko_store/video/7663042296669097224" TargetMode="External"/><Relationship Id="rId57" Type="http://schemas.openxmlformats.org/officeDocument/2006/relationships/hyperlink" Target="https://www.tiktok.com/@cko_store/video/7685714178820164885" TargetMode="External"/><Relationship Id="rId12" Type="http://schemas.openxmlformats.org/officeDocument/2006/relationships/hyperlink" Target="https://www.tiktok.com/@cko_store/video/7662652345431657736" TargetMode="External"/><Relationship Id="rId56" Type="http://schemas.openxmlformats.org/officeDocument/2006/relationships/hyperlink" Target="https://www.tiktok.com/@cko_store/video/7685317130241232146" TargetMode="External"/><Relationship Id="rId15" Type="http://schemas.openxmlformats.org/officeDocument/2006/relationships/hyperlink" Target="https://www.tiktok.com/@cko_store/video/7663782926777077010" TargetMode="External"/><Relationship Id="rId59" Type="http://schemas.openxmlformats.org/officeDocument/2006/relationships/hyperlink" Target="https://www.tiktok.com/@cko_store/video/7686430821120494866" TargetMode="External"/><Relationship Id="rId14" Type="http://schemas.openxmlformats.org/officeDocument/2006/relationships/hyperlink" Target="https://www.tiktok.com/@cko_store/video/7663434598084381959" TargetMode="External"/><Relationship Id="rId58" Type="http://schemas.openxmlformats.org/officeDocument/2006/relationships/hyperlink" Target="https://www.tiktok.com/@cko_store/video/7686057261696814343" TargetMode="External"/><Relationship Id="rId17" Type="http://schemas.openxmlformats.org/officeDocument/2006/relationships/hyperlink" Target="https://www.tiktok.com/@cko_store/video/7665276739605499143" TargetMode="External"/><Relationship Id="rId16" Type="http://schemas.openxmlformats.org/officeDocument/2006/relationships/hyperlink" Target="https://www.tiktok.com/@cko_store/video/7664966664898743572" TargetMode="External"/><Relationship Id="rId19" Type="http://schemas.openxmlformats.org/officeDocument/2006/relationships/hyperlink" Target="https://www.tiktok.com/@cko_store/video/7666018849653083400" TargetMode="External"/><Relationship Id="rId18" Type="http://schemas.openxmlformats.org/officeDocument/2006/relationships/hyperlink" Target="https://www.tiktok.com/@cko_store/video/766565004045453235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7.25"/>
    <col customWidth="1" min="3" max="3" width="30.5"/>
    <col customWidth="1" min="4" max="4" width="34.63"/>
    <col customWidth="1" min="5" max="5" width="17.88"/>
    <col customWidth="1" min="8" max="8" width="14.2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4" t="s">
        <v>9</v>
      </c>
      <c r="B3" s="5" t="s">
        <v>10</v>
      </c>
      <c r="C3" s="6" t="s">
        <v>11</v>
      </c>
      <c r="D3" s="6" t="s">
        <v>12</v>
      </c>
      <c r="E3" s="6" t="s">
        <v>13</v>
      </c>
      <c r="F3" s="7">
        <v>1239.0</v>
      </c>
      <c r="G3" s="7">
        <v>14.0</v>
      </c>
      <c r="H3" s="8"/>
    </row>
    <row r="4">
      <c r="A4" s="4" t="s">
        <v>14</v>
      </c>
      <c r="B4" s="5" t="s">
        <v>10</v>
      </c>
      <c r="C4" s="6" t="s">
        <v>11</v>
      </c>
      <c r="D4" s="6" t="s">
        <v>12</v>
      </c>
      <c r="E4" s="6" t="s">
        <v>15</v>
      </c>
      <c r="F4" s="7">
        <v>1641.0</v>
      </c>
      <c r="G4" s="7">
        <v>9.0</v>
      </c>
      <c r="H4" s="8"/>
    </row>
    <row r="5">
      <c r="A5" s="4" t="s">
        <v>16</v>
      </c>
      <c r="B5" s="5" t="s">
        <v>10</v>
      </c>
      <c r="C5" s="6" t="s">
        <v>17</v>
      </c>
      <c r="D5" s="6" t="s">
        <v>12</v>
      </c>
      <c r="E5" s="6" t="s">
        <v>18</v>
      </c>
      <c r="F5" s="7">
        <v>806.0</v>
      </c>
      <c r="G5" s="7">
        <v>5.0</v>
      </c>
      <c r="H5" s="8"/>
    </row>
    <row r="6">
      <c r="A6" s="4" t="s">
        <v>19</v>
      </c>
      <c r="B6" s="5" t="s">
        <v>10</v>
      </c>
      <c r="C6" s="6" t="s">
        <v>20</v>
      </c>
      <c r="D6" s="6" t="s">
        <v>12</v>
      </c>
      <c r="E6" s="6" t="s">
        <v>21</v>
      </c>
      <c r="F6" s="7">
        <v>1268.0</v>
      </c>
      <c r="G6" s="7">
        <v>14.0</v>
      </c>
      <c r="H6" s="8"/>
    </row>
    <row r="7">
      <c r="A7" s="4" t="s">
        <v>22</v>
      </c>
      <c r="B7" s="5" t="s">
        <v>10</v>
      </c>
      <c r="C7" s="6" t="s">
        <v>23</v>
      </c>
      <c r="D7" s="6" t="s">
        <v>12</v>
      </c>
      <c r="E7" s="6" t="s">
        <v>24</v>
      </c>
      <c r="F7" s="7">
        <v>2439.0</v>
      </c>
      <c r="G7" s="7">
        <v>22.0</v>
      </c>
      <c r="H7" s="8"/>
    </row>
    <row r="8">
      <c r="A8" s="4" t="s">
        <v>25</v>
      </c>
      <c r="B8" s="5" t="s">
        <v>10</v>
      </c>
      <c r="C8" s="6" t="s">
        <v>26</v>
      </c>
      <c r="D8" s="6" t="s">
        <v>12</v>
      </c>
      <c r="E8" s="6" t="s">
        <v>27</v>
      </c>
      <c r="F8" s="7">
        <v>2801.0</v>
      </c>
      <c r="G8" s="7">
        <v>12.0</v>
      </c>
      <c r="H8" s="8"/>
    </row>
    <row r="9">
      <c r="A9" s="4" t="s">
        <v>28</v>
      </c>
      <c r="B9" s="5" t="s">
        <v>10</v>
      </c>
      <c r="C9" s="6" t="s">
        <v>29</v>
      </c>
      <c r="D9" s="6" t="s">
        <v>12</v>
      </c>
      <c r="E9" s="6" t="s">
        <v>30</v>
      </c>
      <c r="F9" s="7">
        <v>7369.0</v>
      </c>
      <c r="G9" s="7">
        <v>46.0</v>
      </c>
      <c r="H9" s="7">
        <v>3.0</v>
      </c>
    </row>
    <row r="10">
      <c r="A10" s="4" t="s">
        <v>31</v>
      </c>
      <c r="B10" s="5" t="s">
        <v>10</v>
      </c>
      <c r="C10" s="6" t="s">
        <v>32</v>
      </c>
      <c r="D10" s="6" t="s">
        <v>12</v>
      </c>
      <c r="E10" s="6" t="s">
        <v>33</v>
      </c>
      <c r="F10" s="7">
        <v>1477.0</v>
      </c>
      <c r="G10" s="7">
        <v>19.0</v>
      </c>
      <c r="H10" s="7">
        <v>1.0</v>
      </c>
    </row>
    <row r="11">
      <c r="A11" s="4" t="s">
        <v>34</v>
      </c>
      <c r="B11" s="5" t="s">
        <v>10</v>
      </c>
      <c r="C11" s="6" t="s">
        <v>20</v>
      </c>
      <c r="D11" s="9" t="s">
        <v>35</v>
      </c>
      <c r="E11" s="6" t="s">
        <v>36</v>
      </c>
      <c r="F11" s="7">
        <v>2364.0</v>
      </c>
      <c r="G11" s="7">
        <v>28.0</v>
      </c>
      <c r="H11" s="7">
        <v>6.0</v>
      </c>
      <c r="J11" s="10"/>
      <c r="K11" s="10"/>
    </row>
    <row r="12">
      <c r="A12" s="4" t="s">
        <v>37</v>
      </c>
      <c r="B12" s="5" t="s">
        <v>10</v>
      </c>
      <c r="C12" s="6" t="s">
        <v>32</v>
      </c>
      <c r="D12" s="9" t="s">
        <v>35</v>
      </c>
      <c r="E12" s="6" t="s">
        <v>38</v>
      </c>
      <c r="F12" s="7">
        <v>1750.0</v>
      </c>
      <c r="G12" s="7">
        <v>33.0</v>
      </c>
      <c r="H12" s="7">
        <v>3.0</v>
      </c>
      <c r="J12" s="10"/>
      <c r="K12" s="10"/>
    </row>
    <row r="13">
      <c r="A13" s="4" t="s">
        <v>39</v>
      </c>
      <c r="B13" s="5" t="s">
        <v>10</v>
      </c>
      <c r="C13" s="6" t="s">
        <v>32</v>
      </c>
      <c r="D13" s="6" t="s">
        <v>12</v>
      </c>
      <c r="E13" s="6" t="s">
        <v>24</v>
      </c>
      <c r="F13" s="7">
        <v>2480.0</v>
      </c>
      <c r="G13" s="7">
        <v>5.0</v>
      </c>
      <c r="H13" s="8"/>
      <c r="J13" s="10"/>
      <c r="K13" s="10"/>
    </row>
    <row r="14">
      <c r="A14" s="4" t="s">
        <v>40</v>
      </c>
      <c r="B14" s="5" t="s">
        <v>10</v>
      </c>
      <c r="C14" s="6" t="s">
        <v>41</v>
      </c>
      <c r="D14" s="6" t="s">
        <v>12</v>
      </c>
      <c r="E14" s="6" t="s">
        <v>24</v>
      </c>
      <c r="F14" s="7">
        <v>2118.0</v>
      </c>
      <c r="G14" s="7">
        <v>3.0</v>
      </c>
      <c r="H14" s="8"/>
    </row>
    <row r="15">
      <c r="A15" s="4" t="s">
        <v>42</v>
      </c>
      <c r="B15" s="5" t="s">
        <v>10</v>
      </c>
      <c r="C15" s="6" t="s">
        <v>43</v>
      </c>
      <c r="D15" s="6" t="s">
        <v>12</v>
      </c>
      <c r="E15" s="6" t="s">
        <v>36</v>
      </c>
      <c r="F15" s="7">
        <v>2043.0</v>
      </c>
      <c r="G15" s="7">
        <v>16.0</v>
      </c>
      <c r="H15" s="8"/>
    </row>
    <row r="16">
      <c r="A16" s="4" t="s">
        <v>44</v>
      </c>
      <c r="B16" s="5" t="s">
        <v>10</v>
      </c>
      <c r="C16" s="6" t="s">
        <v>45</v>
      </c>
      <c r="D16" s="6" t="s">
        <v>46</v>
      </c>
      <c r="E16" s="6" t="s">
        <v>47</v>
      </c>
      <c r="F16" s="7">
        <v>3082.0</v>
      </c>
      <c r="G16" s="7">
        <v>22.0</v>
      </c>
      <c r="H16" s="7">
        <v>1.0</v>
      </c>
      <c r="J16" s="10"/>
      <c r="K16" s="10"/>
    </row>
    <row r="17">
      <c r="A17" s="4" t="s">
        <v>48</v>
      </c>
      <c r="B17" s="5" t="s">
        <v>10</v>
      </c>
      <c r="C17" s="6" t="s">
        <v>41</v>
      </c>
      <c r="D17" s="6" t="s">
        <v>12</v>
      </c>
      <c r="E17" s="6" t="s">
        <v>47</v>
      </c>
      <c r="F17" s="7">
        <v>1118.0</v>
      </c>
      <c r="G17" s="7">
        <v>4.0</v>
      </c>
      <c r="H17" s="8"/>
      <c r="J17" s="10"/>
      <c r="K17" s="10"/>
    </row>
    <row r="18">
      <c r="A18" s="4" t="s">
        <v>49</v>
      </c>
      <c r="B18" s="5" t="s">
        <v>10</v>
      </c>
      <c r="C18" s="6" t="s">
        <v>50</v>
      </c>
      <c r="D18" s="6" t="s">
        <v>12</v>
      </c>
      <c r="E18" s="6" t="s">
        <v>51</v>
      </c>
      <c r="F18" s="7">
        <v>4479.0</v>
      </c>
      <c r="G18" s="7">
        <v>12.0</v>
      </c>
      <c r="H18" s="8"/>
      <c r="J18" s="10"/>
      <c r="K18" s="10"/>
    </row>
    <row r="19">
      <c r="A19" s="4" t="s">
        <v>52</v>
      </c>
      <c r="B19" s="5" t="s">
        <v>10</v>
      </c>
      <c r="C19" s="6" t="s">
        <v>53</v>
      </c>
      <c r="D19" s="6" t="s">
        <v>12</v>
      </c>
      <c r="E19" s="6" t="s">
        <v>54</v>
      </c>
      <c r="F19" s="7">
        <v>1188.0</v>
      </c>
      <c r="G19" s="7">
        <v>12.0</v>
      </c>
      <c r="H19" s="8"/>
      <c r="J19" s="10"/>
      <c r="K19" s="10"/>
    </row>
    <row r="20">
      <c r="A20" s="4" t="s">
        <v>55</v>
      </c>
      <c r="B20" s="5" t="s">
        <v>10</v>
      </c>
      <c r="C20" s="6" t="s">
        <v>56</v>
      </c>
      <c r="D20" s="6" t="s">
        <v>12</v>
      </c>
      <c r="E20" s="6" t="s">
        <v>36</v>
      </c>
      <c r="F20" s="7">
        <v>1099.0</v>
      </c>
      <c r="G20" s="7">
        <v>7.0</v>
      </c>
      <c r="H20" s="8"/>
    </row>
    <row r="21">
      <c r="A21" s="4" t="s">
        <v>57</v>
      </c>
      <c r="B21" s="5" t="s">
        <v>10</v>
      </c>
      <c r="C21" s="6" t="s">
        <v>26</v>
      </c>
      <c r="D21" s="6" t="s">
        <v>12</v>
      </c>
      <c r="E21" s="6" t="s">
        <v>58</v>
      </c>
      <c r="F21" s="7">
        <v>564.0</v>
      </c>
      <c r="G21" s="7">
        <v>5.0</v>
      </c>
      <c r="H21" s="8"/>
    </row>
    <row r="22">
      <c r="A22" s="4" t="s">
        <v>59</v>
      </c>
      <c r="B22" s="5" t="s">
        <v>10</v>
      </c>
      <c r="C22" s="6" t="s">
        <v>60</v>
      </c>
      <c r="D22" s="6" t="s">
        <v>12</v>
      </c>
      <c r="E22" s="6" t="s">
        <v>61</v>
      </c>
      <c r="F22" s="7">
        <v>2308.0</v>
      </c>
      <c r="G22" s="7">
        <v>28.0</v>
      </c>
      <c r="H22" s="8"/>
    </row>
    <row r="23">
      <c r="A23" s="4" t="s">
        <v>62</v>
      </c>
      <c r="B23" s="5" t="s">
        <v>10</v>
      </c>
      <c r="C23" s="6" t="s">
        <v>63</v>
      </c>
      <c r="D23" s="6" t="s">
        <v>12</v>
      </c>
      <c r="E23" s="6" t="s">
        <v>64</v>
      </c>
      <c r="F23" s="7">
        <v>1474.0</v>
      </c>
      <c r="G23" s="7">
        <v>15.0</v>
      </c>
      <c r="H23" s="8"/>
    </row>
    <row r="24">
      <c r="A24" s="4" t="s">
        <v>65</v>
      </c>
      <c r="B24" s="5" t="s">
        <v>10</v>
      </c>
      <c r="C24" s="6" t="s">
        <v>66</v>
      </c>
      <c r="D24" s="6" t="s">
        <v>12</v>
      </c>
      <c r="E24" s="6" t="s">
        <v>38</v>
      </c>
      <c r="F24" s="7">
        <v>1091.0</v>
      </c>
      <c r="G24" s="7">
        <v>13.0</v>
      </c>
      <c r="H24" s="8"/>
    </row>
    <row r="25">
      <c r="A25" s="4" t="s">
        <v>67</v>
      </c>
      <c r="B25" s="5" t="s">
        <v>10</v>
      </c>
      <c r="C25" s="6" t="s">
        <v>68</v>
      </c>
      <c r="D25" s="6" t="s">
        <v>12</v>
      </c>
      <c r="E25" s="6" t="s">
        <v>18</v>
      </c>
      <c r="F25" s="7">
        <v>849.0</v>
      </c>
      <c r="G25" s="7">
        <v>7.0</v>
      </c>
      <c r="H25" s="7">
        <v>1.0</v>
      </c>
    </row>
    <row r="26">
      <c r="A26" s="4" t="s">
        <v>69</v>
      </c>
      <c r="B26" s="5" t="s">
        <v>10</v>
      </c>
      <c r="C26" s="6" t="s">
        <v>70</v>
      </c>
      <c r="D26" s="6" t="s">
        <v>12</v>
      </c>
      <c r="E26" s="6" t="s">
        <v>15</v>
      </c>
      <c r="F26" s="7">
        <v>2083.0</v>
      </c>
      <c r="G26" s="7">
        <v>12.0</v>
      </c>
      <c r="H26" s="8"/>
    </row>
    <row r="27">
      <c r="A27" s="4" t="s">
        <v>71</v>
      </c>
      <c r="B27" s="5" t="s">
        <v>10</v>
      </c>
      <c r="C27" s="6" t="s">
        <v>72</v>
      </c>
      <c r="D27" s="6" t="s">
        <v>12</v>
      </c>
      <c r="E27" s="6" t="s">
        <v>73</v>
      </c>
      <c r="F27" s="7">
        <v>569.0</v>
      </c>
      <c r="G27" s="7">
        <v>5.0</v>
      </c>
      <c r="H27" s="8"/>
    </row>
    <row r="28">
      <c r="A28" s="11" t="s">
        <v>74</v>
      </c>
      <c r="B28" s="12"/>
      <c r="C28" s="12"/>
      <c r="D28" s="12"/>
      <c r="E28" s="13"/>
      <c r="F28" s="14">
        <f t="shared" ref="F28:H28" si="1">SUM(F2:F27)</f>
        <v>49699</v>
      </c>
      <c r="G28" s="14">
        <f t="shared" si="1"/>
        <v>368</v>
      </c>
      <c r="H28" s="14">
        <f t="shared" si="1"/>
        <v>15</v>
      </c>
    </row>
    <row r="29">
      <c r="A29" s="15"/>
      <c r="B29" s="16"/>
      <c r="C29" s="17"/>
      <c r="D29" s="17"/>
      <c r="F29" s="17"/>
      <c r="G29" s="17"/>
      <c r="H29" s="17"/>
      <c r="K29" s="10"/>
    </row>
    <row r="30">
      <c r="A30" s="1" t="s">
        <v>75</v>
      </c>
      <c r="K30" s="10"/>
    </row>
    <row r="31">
      <c r="A31" s="2" t="s">
        <v>1</v>
      </c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  <c r="G31" s="3" t="s">
        <v>7</v>
      </c>
      <c r="H31" s="3" t="s">
        <v>8</v>
      </c>
    </row>
    <row r="32">
      <c r="A32" s="4" t="s">
        <v>76</v>
      </c>
      <c r="B32" s="5" t="s">
        <v>10</v>
      </c>
      <c r="C32" s="6" t="s">
        <v>77</v>
      </c>
      <c r="D32" s="6" t="s">
        <v>78</v>
      </c>
      <c r="E32" s="18"/>
      <c r="F32" s="7">
        <v>1149.0</v>
      </c>
      <c r="G32" s="7">
        <v>4.0</v>
      </c>
      <c r="H32" s="7">
        <v>0.0</v>
      </c>
    </row>
    <row r="33">
      <c r="A33" s="4" t="s">
        <v>79</v>
      </c>
      <c r="B33" s="5" t="s">
        <v>10</v>
      </c>
      <c r="C33" s="6" t="s">
        <v>80</v>
      </c>
      <c r="D33" s="6" t="s">
        <v>12</v>
      </c>
      <c r="E33" s="6" t="s">
        <v>81</v>
      </c>
      <c r="F33" s="7">
        <v>951.0</v>
      </c>
      <c r="G33" s="7">
        <v>8.0</v>
      </c>
      <c r="H33" s="8"/>
    </row>
    <row r="34">
      <c r="A34" s="4" t="s">
        <v>82</v>
      </c>
      <c r="B34" s="5" t="s">
        <v>10</v>
      </c>
      <c r="C34" s="6" t="s">
        <v>83</v>
      </c>
      <c r="D34" s="6" t="s">
        <v>12</v>
      </c>
      <c r="E34" s="6" t="s">
        <v>84</v>
      </c>
      <c r="F34" s="7">
        <v>1326.0</v>
      </c>
      <c r="G34" s="7">
        <v>11.0</v>
      </c>
      <c r="H34" s="8"/>
    </row>
    <row r="35">
      <c r="A35" s="4" t="s">
        <v>85</v>
      </c>
      <c r="B35" s="5" t="s">
        <v>10</v>
      </c>
      <c r="C35" s="6" t="s">
        <v>86</v>
      </c>
      <c r="D35" s="6" t="s">
        <v>12</v>
      </c>
      <c r="E35" s="6" t="s">
        <v>87</v>
      </c>
      <c r="F35" s="7">
        <v>1338.0</v>
      </c>
      <c r="G35" s="7">
        <v>6.0</v>
      </c>
      <c r="H35" s="8"/>
    </row>
    <row r="36">
      <c r="A36" s="4" t="s">
        <v>88</v>
      </c>
      <c r="B36" s="5" t="s">
        <v>10</v>
      </c>
      <c r="C36" s="6" t="s">
        <v>89</v>
      </c>
      <c r="D36" s="6" t="s">
        <v>12</v>
      </c>
      <c r="E36" s="6" t="s">
        <v>90</v>
      </c>
      <c r="F36" s="7">
        <v>7363.0</v>
      </c>
      <c r="G36" s="7">
        <v>18.0</v>
      </c>
      <c r="H36" s="8"/>
    </row>
    <row r="37">
      <c r="A37" s="4" t="s">
        <v>91</v>
      </c>
      <c r="B37" s="5" t="s">
        <v>10</v>
      </c>
      <c r="C37" s="6" t="s">
        <v>92</v>
      </c>
      <c r="D37" s="6" t="s">
        <v>12</v>
      </c>
      <c r="E37" s="6" t="s">
        <v>84</v>
      </c>
      <c r="F37" s="7">
        <v>2705.0</v>
      </c>
      <c r="G37" s="7">
        <v>19.0</v>
      </c>
      <c r="H37" s="8"/>
    </row>
    <row r="38">
      <c r="A38" s="4" t="s">
        <v>93</v>
      </c>
      <c r="B38" s="5" t="s">
        <v>10</v>
      </c>
      <c r="C38" s="6" t="s">
        <v>94</v>
      </c>
      <c r="D38" s="6" t="s">
        <v>12</v>
      </c>
      <c r="E38" s="6" t="s">
        <v>95</v>
      </c>
      <c r="F38" s="7">
        <v>12000.0</v>
      </c>
      <c r="G38" s="7">
        <v>34.0</v>
      </c>
      <c r="H38" s="8"/>
    </row>
    <row r="39">
      <c r="A39" s="4" t="s">
        <v>96</v>
      </c>
      <c r="B39" s="5" t="s">
        <v>10</v>
      </c>
      <c r="C39" s="6" t="s">
        <v>97</v>
      </c>
      <c r="D39" s="6" t="s">
        <v>12</v>
      </c>
      <c r="E39" s="6" t="s">
        <v>90</v>
      </c>
      <c r="F39" s="7">
        <v>1254.0</v>
      </c>
      <c r="G39" s="7">
        <v>7.0</v>
      </c>
      <c r="H39" s="8"/>
    </row>
    <row r="40">
      <c r="A40" s="4" t="s">
        <v>98</v>
      </c>
      <c r="B40" s="5" t="s">
        <v>10</v>
      </c>
      <c r="C40" s="6" t="s">
        <v>99</v>
      </c>
      <c r="D40" s="6" t="s">
        <v>12</v>
      </c>
      <c r="E40" s="6" t="s">
        <v>100</v>
      </c>
      <c r="F40" s="7">
        <v>1804.0</v>
      </c>
      <c r="G40" s="7">
        <v>7.0</v>
      </c>
      <c r="H40" s="8"/>
    </row>
    <row r="41">
      <c r="A41" s="4" t="s">
        <v>101</v>
      </c>
      <c r="B41" s="5" t="s">
        <v>10</v>
      </c>
      <c r="C41" s="6" t="s">
        <v>102</v>
      </c>
      <c r="D41" s="6" t="s">
        <v>12</v>
      </c>
      <c r="E41" s="6" t="s">
        <v>103</v>
      </c>
      <c r="F41" s="7">
        <v>2505.0</v>
      </c>
      <c r="G41" s="7">
        <v>6.0</v>
      </c>
      <c r="H41" s="8"/>
    </row>
    <row r="42">
      <c r="A42" s="4" t="s">
        <v>104</v>
      </c>
      <c r="B42" s="5" t="s">
        <v>10</v>
      </c>
      <c r="C42" s="6" t="s">
        <v>105</v>
      </c>
      <c r="D42" s="6" t="s">
        <v>12</v>
      </c>
      <c r="E42" s="6" t="s">
        <v>84</v>
      </c>
      <c r="F42" s="7">
        <v>1485.0</v>
      </c>
      <c r="G42" s="7">
        <v>10.0</v>
      </c>
      <c r="H42" s="7">
        <v>2.0</v>
      </c>
    </row>
    <row r="43">
      <c r="A43" s="4" t="s">
        <v>106</v>
      </c>
      <c r="B43" s="5" t="s">
        <v>10</v>
      </c>
      <c r="C43" s="6" t="s">
        <v>107</v>
      </c>
      <c r="D43" s="6" t="s">
        <v>12</v>
      </c>
      <c r="E43" s="6" t="s">
        <v>108</v>
      </c>
      <c r="F43" s="7">
        <v>2834.0</v>
      </c>
      <c r="G43" s="7">
        <v>25.0</v>
      </c>
      <c r="H43" s="8"/>
    </row>
    <row r="44">
      <c r="A44" s="4" t="s">
        <v>109</v>
      </c>
      <c r="B44" s="5" t="s">
        <v>10</v>
      </c>
      <c r="C44" s="6" t="s">
        <v>107</v>
      </c>
      <c r="D44" s="6" t="s">
        <v>12</v>
      </c>
      <c r="E44" s="6" t="s">
        <v>110</v>
      </c>
      <c r="F44" s="7">
        <v>4766.0</v>
      </c>
      <c r="G44" s="7">
        <v>38.0</v>
      </c>
      <c r="H44" s="7">
        <v>1.0</v>
      </c>
    </row>
    <row r="45">
      <c r="A45" s="4" t="s">
        <v>111</v>
      </c>
      <c r="B45" s="5" t="s">
        <v>10</v>
      </c>
      <c r="C45" s="6" t="s">
        <v>112</v>
      </c>
      <c r="D45" s="6" t="s">
        <v>12</v>
      </c>
      <c r="E45" s="6" t="s">
        <v>87</v>
      </c>
      <c r="F45" s="7">
        <v>544.0</v>
      </c>
      <c r="G45" s="7">
        <v>3.0</v>
      </c>
      <c r="H45" s="8"/>
    </row>
    <row r="46">
      <c r="A46" s="4" t="s">
        <v>113</v>
      </c>
      <c r="B46" s="5" t="s">
        <v>10</v>
      </c>
      <c r="C46" s="6" t="s">
        <v>114</v>
      </c>
      <c r="D46" s="6" t="s">
        <v>12</v>
      </c>
      <c r="E46" s="6" t="s">
        <v>115</v>
      </c>
      <c r="F46" s="7">
        <v>2493.0</v>
      </c>
      <c r="G46" s="7">
        <v>8.0</v>
      </c>
      <c r="H46" s="8"/>
    </row>
    <row r="47">
      <c r="A47" s="4" t="s">
        <v>116</v>
      </c>
      <c r="B47" s="5" t="s">
        <v>10</v>
      </c>
      <c r="C47" s="6" t="s">
        <v>107</v>
      </c>
      <c r="D47" s="6" t="s">
        <v>12</v>
      </c>
      <c r="E47" s="6" t="s">
        <v>117</v>
      </c>
      <c r="F47" s="7">
        <v>3163.0</v>
      </c>
      <c r="G47" s="7">
        <v>32.0</v>
      </c>
      <c r="H47" s="7">
        <v>2.0</v>
      </c>
    </row>
    <row r="48">
      <c r="A48" s="4" t="s">
        <v>118</v>
      </c>
      <c r="B48" s="5" t="s">
        <v>10</v>
      </c>
      <c r="C48" s="6" t="s">
        <v>119</v>
      </c>
      <c r="D48" s="6" t="s">
        <v>12</v>
      </c>
      <c r="E48" s="6" t="s">
        <v>120</v>
      </c>
      <c r="F48" s="7">
        <v>1294.0</v>
      </c>
      <c r="G48" s="7">
        <v>7.0</v>
      </c>
      <c r="H48" s="8"/>
    </row>
    <row r="49">
      <c r="A49" s="4" t="s">
        <v>121</v>
      </c>
      <c r="B49" s="5" t="s">
        <v>10</v>
      </c>
      <c r="C49" s="6" t="s">
        <v>122</v>
      </c>
      <c r="D49" s="9" t="s">
        <v>35</v>
      </c>
      <c r="E49" s="6" t="s">
        <v>123</v>
      </c>
      <c r="F49" s="7">
        <v>1101.0</v>
      </c>
      <c r="G49" s="7">
        <v>13.0</v>
      </c>
      <c r="H49" s="8"/>
    </row>
    <row r="50">
      <c r="A50" s="4" t="s">
        <v>124</v>
      </c>
      <c r="B50" s="5" t="s">
        <v>10</v>
      </c>
      <c r="C50" s="6" t="s">
        <v>125</v>
      </c>
      <c r="D50" s="6" t="s">
        <v>12</v>
      </c>
      <c r="E50" s="6" t="s">
        <v>126</v>
      </c>
      <c r="F50" s="7">
        <v>746.0</v>
      </c>
      <c r="G50" s="7">
        <v>6.0</v>
      </c>
      <c r="H50" s="8"/>
    </row>
    <row r="51">
      <c r="A51" s="4" t="s">
        <v>127</v>
      </c>
      <c r="B51" s="5" t="s">
        <v>10</v>
      </c>
      <c r="C51" s="6" t="s">
        <v>128</v>
      </c>
      <c r="D51" s="6" t="s">
        <v>78</v>
      </c>
      <c r="E51" s="18"/>
      <c r="F51" s="7">
        <v>1282.0</v>
      </c>
      <c r="G51" s="7">
        <v>8.0</v>
      </c>
      <c r="H51" s="8"/>
    </row>
    <row r="52">
      <c r="A52" s="4" t="s">
        <v>129</v>
      </c>
      <c r="B52" s="5" t="s">
        <v>10</v>
      </c>
      <c r="C52" s="6" t="s">
        <v>122</v>
      </c>
      <c r="D52" s="6" t="s">
        <v>46</v>
      </c>
      <c r="E52" s="6" t="s">
        <v>130</v>
      </c>
      <c r="F52" s="7">
        <v>1739.0</v>
      </c>
      <c r="G52" s="7">
        <v>16.0</v>
      </c>
      <c r="H52" s="8"/>
    </row>
    <row r="53">
      <c r="A53" s="4" t="s">
        <v>131</v>
      </c>
      <c r="B53" s="5" t="s">
        <v>10</v>
      </c>
      <c r="C53" s="6" t="s">
        <v>107</v>
      </c>
      <c r="D53" s="6" t="s">
        <v>132</v>
      </c>
      <c r="E53" s="6" t="s">
        <v>133</v>
      </c>
      <c r="F53" s="7">
        <v>982.0</v>
      </c>
      <c r="G53" s="7">
        <v>6.0</v>
      </c>
      <c r="H53" s="7">
        <v>1.0</v>
      </c>
    </row>
    <row r="54">
      <c r="A54" s="19" t="s">
        <v>74</v>
      </c>
      <c r="F54" s="20">
        <f t="shared" ref="F54:H54" si="2">SUM(F31:F53)</f>
        <v>54824</v>
      </c>
      <c r="G54" s="20">
        <f t="shared" si="2"/>
        <v>292</v>
      </c>
      <c r="H54" s="20">
        <f t="shared" si="2"/>
        <v>6</v>
      </c>
    </row>
    <row r="55">
      <c r="A55" s="21" t="s">
        <v>134</v>
      </c>
      <c r="B55" s="12"/>
      <c r="C55" s="12"/>
      <c r="D55" s="12"/>
      <c r="E55" s="13"/>
      <c r="F55" s="6" t="s">
        <v>135</v>
      </c>
      <c r="G55" s="6" t="s">
        <v>136</v>
      </c>
      <c r="H55" s="6" t="s">
        <v>137</v>
      </c>
    </row>
    <row r="56">
      <c r="A56" s="22"/>
    </row>
    <row r="57">
      <c r="A57" s="22"/>
    </row>
    <row r="58">
      <c r="A58" s="1" t="s">
        <v>75</v>
      </c>
    </row>
    <row r="59">
      <c r="A59" s="2" t="s">
        <v>1</v>
      </c>
      <c r="B59" s="3" t="s">
        <v>2</v>
      </c>
      <c r="C59" s="3" t="s">
        <v>3</v>
      </c>
      <c r="D59" s="3" t="s">
        <v>4</v>
      </c>
      <c r="E59" s="3" t="s">
        <v>5</v>
      </c>
      <c r="F59" s="3" t="s">
        <v>6</v>
      </c>
      <c r="G59" s="3" t="s">
        <v>7</v>
      </c>
      <c r="H59" s="3" t="s">
        <v>8</v>
      </c>
    </row>
    <row r="60">
      <c r="A60" s="4" t="s">
        <v>138</v>
      </c>
      <c r="B60" s="5" t="s">
        <v>10</v>
      </c>
      <c r="C60" s="6" t="s">
        <v>139</v>
      </c>
      <c r="D60" s="6" t="s">
        <v>140</v>
      </c>
      <c r="E60" s="6" t="s">
        <v>141</v>
      </c>
      <c r="F60" s="7">
        <v>1384.0</v>
      </c>
      <c r="G60" s="7">
        <v>13.0</v>
      </c>
      <c r="H60" s="7"/>
      <c r="K60" s="10"/>
    </row>
    <row r="61">
      <c r="A61" s="4" t="s">
        <v>142</v>
      </c>
      <c r="B61" s="5" t="s">
        <v>10</v>
      </c>
      <c r="C61" s="6" t="s">
        <v>143</v>
      </c>
      <c r="D61" s="6" t="s">
        <v>140</v>
      </c>
      <c r="E61" s="6" t="s">
        <v>144</v>
      </c>
      <c r="F61" s="7">
        <v>1194.0</v>
      </c>
      <c r="G61" s="7">
        <v>18.0</v>
      </c>
      <c r="H61" s="8"/>
      <c r="K61" s="10"/>
    </row>
    <row r="62">
      <c r="A62" s="4" t="s">
        <v>145</v>
      </c>
      <c r="B62" s="5" t="s">
        <v>10</v>
      </c>
      <c r="C62" s="6" t="s">
        <v>146</v>
      </c>
      <c r="D62" s="6" t="s">
        <v>132</v>
      </c>
      <c r="E62" s="6" t="s">
        <v>147</v>
      </c>
      <c r="F62" s="7">
        <v>1173.0</v>
      </c>
      <c r="G62" s="7">
        <v>10.0</v>
      </c>
      <c r="H62" s="8"/>
      <c r="K62" s="10"/>
    </row>
    <row r="63">
      <c r="A63" s="4" t="s">
        <v>148</v>
      </c>
      <c r="B63" s="5" t="s">
        <v>10</v>
      </c>
      <c r="C63" s="6" t="s">
        <v>149</v>
      </c>
      <c r="D63" s="6" t="s">
        <v>140</v>
      </c>
      <c r="E63" s="6" t="s">
        <v>150</v>
      </c>
      <c r="F63" s="7">
        <v>2222.0</v>
      </c>
      <c r="G63" s="7">
        <v>52.0</v>
      </c>
      <c r="H63" s="8"/>
      <c r="K63" s="10"/>
    </row>
    <row r="64">
      <c r="A64" s="4" t="s">
        <v>151</v>
      </c>
      <c r="B64" s="5" t="s">
        <v>10</v>
      </c>
      <c r="C64" s="6" t="s">
        <v>152</v>
      </c>
      <c r="D64" s="6" t="s">
        <v>140</v>
      </c>
      <c r="E64" s="6" t="s">
        <v>153</v>
      </c>
      <c r="F64" s="7">
        <v>42000.0</v>
      </c>
      <c r="G64" s="7">
        <v>1077.0</v>
      </c>
      <c r="H64" s="7">
        <v>26.0</v>
      </c>
      <c r="K64" s="10"/>
    </row>
    <row r="65">
      <c r="A65" s="4" t="s">
        <v>154</v>
      </c>
      <c r="B65" s="5" t="s">
        <v>10</v>
      </c>
      <c r="C65" s="6" t="s">
        <v>155</v>
      </c>
      <c r="D65" s="6" t="s">
        <v>12</v>
      </c>
      <c r="E65" s="6" t="s">
        <v>156</v>
      </c>
      <c r="F65" s="7">
        <v>2980.0</v>
      </c>
      <c r="G65" s="7">
        <v>30.0</v>
      </c>
      <c r="H65" s="7">
        <v>1.0</v>
      </c>
      <c r="K65" s="10"/>
    </row>
    <row r="66">
      <c r="A66" s="4" t="s">
        <v>157</v>
      </c>
      <c r="B66" s="5" t="s">
        <v>10</v>
      </c>
      <c r="C66" s="6" t="s">
        <v>143</v>
      </c>
      <c r="D66" s="6" t="s">
        <v>132</v>
      </c>
      <c r="E66" s="6" t="s">
        <v>158</v>
      </c>
      <c r="F66" s="7">
        <v>1106.0</v>
      </c>
      <c r="G66" s="7">
        <v>16.0</v>
      </c>
      <c r="H66" s="7">
        <v>2.0</v>
      </c>
      <c r="K66" s="10"/>
    </row>
    <row r="67">
      <c r="A67" s="4" t="s">
        <v>159</v>
      </c>
      <c r="B67" s="5" t="s">
        <v>10</v>
      </c>
      <c r="C67" s="6" t="s">
        <v>160</v>
      </c>
      <c r="D67" s="6" t="s">
        <v>78</v>
      </c>
      <c r="E67" s="6"/>
      <c r="F67" s="7">
        <v>598.0</v>
      </c>
      <c r="G67" s="7">
        <v>5.0</v>
      </c>
      <c r="H67" s="8"/>
      <c r="K67" s="10"/>
    </row>
    <row r="68">
      <c r="A68" s="4" t="s">
        <v>161</v>
      </c>
      <c r="B68" s="5" t="s">
        <v>10</v>
      </c>
      <c r="C68" s="6" t="s">
        <v>162</v>
      </c>
      <c r="D68" s="6" t="s">
        <v>12</v>
      </c>
      <c r="E68" s="6" t="s">
        <v>163</v>
      </c>
      <c r="F68" s="7">
        <v>3065.0</v>
      </c>
      <c r="G68" s="7">
        <v>19.0</v>
      </c>
      <c r="H68" s="8"/>
      <c r="K68" s="10"/>
    </row>
    <row r="69">
      <c r="A69" s="4" t="s">
        <v>164</v>
      </c>
      <c r="B69" s="5" t="s">
        <v>10</v>
      </c>
      <c r="C69" s="6" t="s">
        <v>165</v>
      </c>
      <c r="D69" s="6" t="s">
        <v>46</v>
      </c>
      <c r="E69" s="6" t="s">
        <v>166</v>
      </c>
      <c r="F69" s="7">
        <v>595.0</v>
      </c>
      <c r="G69" s="7">
        <v>7.0</v>
      </c>
      <c r="H69" s="7">
        <v>1.0</v>
      </c>
    </row>
    <row r="70">
      <c r="A70" s="4" t="s">
        <v>167</v>
      </c>
      <c r="B70" s="5" t="s">
        <v>10</v>
      </c>
      <c r="C70" s="6" t="s">
        <v>168</v>
      </c>
      <c r="D70" s="6" t="s">
        <v>12</v>
      </c>
      <c r="E70" s="6" t="s">
        <v>169</v>
      </c>
      <c r="F70" s="7">
        <v>893.0</v>
      </c>
      <c r="G70" s="7">
        <v>12.0</v>
      </c>
      <c r="H70" s="7"/>
      <c r="J70" s="10"/>
      <c r="L70" s="10"/>
    </row>
    <row r="71">
      <c r="A71" s="4" t="s">
        <v>170</v>
      </c>
      <c r="B71" s="5" t="s">
        <v>10</v>
      </c>
      <c r="C71" s="6" t="s">
        <v>171</v>
      </c>
      <c r="D71" s="6" t="s">
        <v>12</v>
      </c>
      <c r="E71" s="6" t="s">
        <v>21</v>
      </c>
      <c r="F71" s="7">
        <v>1851.0</v>
      </c>
      <c r="G71" s="7">
        <v>10.0</v>
      </c>
      <c r="H71" s="8"/>
      <c r="J71" s="10"/>
      <c r="L71" s="10"/>
    </row>
    <row r="72">
      <c r="A72" s="4" t="s">
        <v>172</v>
      </c>
      <c r="B72" s="5" t="s">
        <v>10</v>
      </c>
      <c r="C72" s="6" t="s">
        <v>173</v>
      </c>
      <c r="D72" s="6" t="s">
        <v>12</v>
      </c>
      <c r="E72" s="6" t="s">
        <v>174</v>
      </c>
      <c r="F72" s="7">
        <v>553.0</v>
      </c>
      <c r="G72" s="7">
        <v>5.0</v>
      </c>
      <c r="H72" s="7">
        <v>1.0</v>
      </c>
      <c r="J72" s="10"/>
      <c r="L72" s="10"/>
    </row>
    <row r="73">
      <c r="A73" s="4" t="s">
        <v>175</v>
      </c>
      <c r="B73" s="5" t="s">
        <v>10</v>
      </c>
      <c r="C73" s="6" t="s">
        <v>155</v>
      </c>
      <c r="D73" s="6" t="s">
        <v>12</v>
      </c>
      <c r="E73" s="6" t="s">
        <v>176</v>
      </c>
      <c r="F73" s="7">
        <v>892.0</v>
      </c>
      <c r="G73" s="7">
        <v>15.0</v>
      </c>
      <c r="H73" s="7">
        <v>3.0</v>
      </c>
      <c r="J73" s="10"/>
      <c r="L73" s="10"/>
    </row>
    <row r="74">
      <c r="A74" s="4" t="s">
        <v>177</v>
      </c>
      <c r="B74" s="5" t="s">
        <v>10</v>
      </c>
      <c r="C74" s="6" t="s">
        <v>165</v>
      </c>
      <c r="D74" s="6" t="s">
        <v>12</v>
      </c>
      <c r="E74" s="6" t="s">
        <v>15</v>
      </c>
      <c r="F74" s="7">
        <v>641.0</v>
      </c>
      <c r="G74" s="7">
        <v>8.0</v>
      </c>
      <c r="H74" s="8"/>
      <c r="J74" s="10"/>
      <c r="L74" s="10"/>
    </row>
    <row r="75">
      <c r="A75" s="4" t="s">
        <v>178</v>
      </c>
      <c r="B75" s="5" t="s">
        <v>10</v>
      </c>
      <c r="C75" s="6" t="s">
        <v>179</v>
      </c>
      <c r="D75" s="6" t="s">
        <v>12</v>
      </c>
      <c r="E75" s="6" t="s">
        <v>33</v>
      </c>
      <c r="F75" s="7">
        <v>470.0</v>
      </c>
      <c r="G75" s="7">
        <v>3.0</v>
      </c>
      <c r="H75" s="7"/>
      <c r="J75" s="10"/>
      <c r="L75" s="10"/>
    </row>
    <row r="76">
      <c r="A76" s="4" t="s">
        <v>180</v>
      </c>
      <c r="B76" s="5" t="s">
        <v>10</v>
      </c>
      <c r="C76" s="6" t="s">
        <v>155</v>
      </c>
      <c r="D76" s="6" t="s">
        <v>12</v>
      </c>
      <c r="E76" s="6" t="s">
        <v>47</v>
      </c>
      <c r="F76" s="7">
        <v>733.0</v>
      </c>
      <c r="G76" s="7">
        <v>15.0</v>
      </c>
      <c r="H76" s="8"/>
      <c r="J76" s="10"/>
      <c r="L76" s="10"/>
    </row>
    <row r="77">
      <c r="A77" s="4" t="s">
        <v>181</v>
      </c>
      <c r="B77" s="5" t="s">
        <v>10</v>
      </c>
      <c r="C77" s="6" t="s">
        <v>173</v>
      </c>
      <c r="D77" s="6" t="s">
        <v>12</v>
      </c>
      <c r="E77" s="6" t="s">
        <v>182</v>
      </c>
      <c r="F77" s="7">
        <v>608.0</v>
      </c>
      <c r="G77" s="7">
        <v>12.0</v>
      </c>
      <c r="H77" s="8"/>
      <c r="J77" s="10"/>
      <c r="L77" s="10"/>
    </row>
    <row r="78">
      <c r="A78" s="4" t="s">
        <v>183</v>
      </c>
      <c r="B78" s="5" t="s">
        <v>10</v>
      </c>
      <c r="C78" s="6" t="s">
        <v>184</v>
      </c>
      <c r="D78" s="6" t="s">
        <v>12</v>
      </c>
      <c r="E78" s="6" t="s">
        <v>27</v>
      </c>
      <c r="F78" s="7">
        <v>4967.0</v>
      </c>
      <c r="G78" s="7">
        <v>21.0</v>
      </c>
      <c r="H78" s="7">
        <v>7.0</v>
      </c>
      <c r="J78" s="10"/>
      <c r="L78" s="10"/>
    </row>
    <row r="79">
      <c r="A79" s="4" t="s">
        <v>185</v>
      </c>
      <c r="B79" s="5" t="s">
        <v>10</v>
      </c>
      <c r="C79" s="6" t="s">
        <v>179</v>
      </c>
      <c r="D79" s="6" t="s">
        <v>12</v>
      </c>
      <c r="E79" s="6" t="s">
        <v>174</v>
      </c>
      <c r="F79" s="7">
        <v>542.0</v>
      </c>
      <c r="G79" s="7">
        <v>4.0</v>
      </c>
      <c r="H79" s="8"/>
      <c r="J79" s="10"/>
      <c r="L79" s="10"/>
    </row>
    <row r="80">
      <c r="A80" s="4" t="s">
        <v>186</v>
      </c>
      <c r="B80" s="5" t="s">
        <v>10</v>
      </c>
      <c r="C80" s="6" t="s">
        <v>187</v>
      </c>
      <c r="D80" s="6" t="s">
        <v>46</v>
      </c>
      <c r="E80" s="6" t="s">
        <v>188</v>
      </c>
      <c r="F80" s="7">
        <v>772.0</v>
      </c>
      <c r="G80" s="7">
        <v>7.0</v>
      </c>
      <c r="H80" s="8"/>
      <c r="L80" s="10"/>
    </row>
    <row r="81">
      <c r="A81" s="19" t="s">
        <v>74</v>
      </c>
      <c r="F81" s="20">
        <f t="shared" ref="F81:H81" si="3">SUM(F59:F80)</f>
        <v>69239</v>
      </c>
      <c r="G81" s="20">
        <f t="shared" si="3"/>
        <v>1359</v>
      </c>
      <c r="H81" s="20">
        <f t="shared" si="3"/>
        <v>41</v>
      </c>
      <c r="J81" s="10"/>
      <c r="L81" s="10"/>
    </row>
    <row r="82">
      <c r="A82" s="21" t="s">
        <v>134</v>
      </c>
      <c r="B82" s="12"/>
      <c r="C82" s="12"/>
      <c r="D82" s="12"/>
      <c r="E82" s="13"/>
      <c r="F82" s="6" t="s">
        <v>189</v>
      </c>
      <c r="G82" s="6" t="s">
        <v>190</v>
      </c>
      <c r="H82" s="6" t="s">
        <v>191</v>
      </c>
      <c r="J82" s="10"/>
      <c r="L82" s="10"/>
    </row>
    <row r="83">
      <c r="A83" s="22"/>
      <c r="J83" s="10"/>
      <c r="L83" s="10"/>
    </row>
    <row r="84">
      <c r="A84" s="22"/>
      <c r="J84" s="10"/>
      <c r="L84" s="10"/>
    </row>
    <row r="85">
      <c r="A85" s="22"/>
      <c r="J85" s="10"/>
      <c r="L85" s="10"/>
    </row>
    <row r="86">
      <c r="A86" s="22"/>
      <c r="J86" s="10"/>
      <c r="L86" s="10"/>
    </row>
    <row r="87">
      <c r="A87" s="22"/>
      <c r="J87" s="10"/>
      <c r="L87" s="10"/>
    </row>
    <row r="88">
      <c r="A88" s="22"/>
      <c r="J88" s="10"/>
      <c r="L88" s="10"/>
    </row>
    <row r="89">
      <c r="A89" s="22"/>
      <c r="J89" s="10"/>
      <c r="L89" s="10"/>
    </row>
    <row r="90">
      <c r="A90" s="22"/>
      <c r="J90" s="10"/>
      <c r="L90" s="10"/>
    </row>
    <row r="91">
      <c r="A91" s="22"/>
      <c r="J91" s="10"/>
      <c r="L91" s="10"/>
    </row>
    <row r="92">
      <c r="A92" s="22"/>
      <c r="J92" s="10"/>
      <c r="L92" s="10"/>
    </row>
    <row r="93">
      <c r="A93" s="22"/>
      <c r="J93" s="10"/>
      <c r="L93" s="10"/>
    </row>
    <row r="94">
      <c r="A94" s="22"/>
      <c r="J94" s="10"/>
      <c r="L94" s="10"/>
    </row>
    <row r="95">
      <c r="A95" s="22"/>
      <c r="J95" s="10"/>
      <c r="L95" s="10"/>
    </row>
    <row r="96">
      <c r="A96" s="22"/>
      <c r="J96" s="10"/>
      <c r="L96" s="10"/>
    </row>
    <row r="97">
      <c r="A97" s="22"/>
      <c r="J97" s="10"/>
      <c r="L97" s="10"/>
    </row>
    <row r="98">
      <c r="A98" s="22"/>
      <c r="J98" s="10"/>
      <c r="L98" s="10"/>
    </row>
    <row r="99">
      <c r="A99" s="22"/>
      <c r="J99" s="10"/>
      <c r="L99" s="10"/>
    </row>
    <row r="100">
      <c r="A100" s="22"/>
      <c r="J100" s="10"/>
      <c r="L100" s="10"/>
    </row>
    <row r="101">
      <c r="A101" s="22"/>
      <c r="J101" s="10"/>
      <c r="L101" s="10"/>
    </row>
    <row r="102">
      <c r="A102" s="22"/>
      <c r="J102" s="10"/>
      <c r="L102" s="10"/>
    </row>
    <row r="103">
      <c r="A103" s="22"/>
      <c r="J103" s="10"/>
      <c r="L103" s="10"/>
    </row>
    <row r="104">
      <c r="A104" s="22"/>
      <c r="J104" s="10"/>
      <c r="L104" s="10"/>
    </row>
    <row r="105">
      <c r="A105" s="22"/>
      <c r="J105" s="10"/>
      <c r="L105" s="10"/>
    </row>
    <row r="106">
      <c r="A106" s="22"/>
      <c r="J106" s="10"/>
      <c r="L106" s="10"/>
    </row>
    <row r="107">
      <c r="A107" s="22"/>
      <c r="J107" s="10"/>
      <c r="L107" s="10"/>
    </row>
    <row r="108">
      <c r="A108" s="22"/>
      <c r="J108" s="10"/>
      <c r="L108" s="10"/>
    </row>
    <row r="109">
      <c r="A109" s="22"/>
      <c r="J109" s="10"/>
      <c r="L109" s="10"/>
    </row>
    <row r="110">
      <c r="A110" s="22"/>
      <c r="J110" s="10"/>
      <c r="L110" s="10"/>
    </row>
    <row r="111">
      <c r="A111" s="22"/>
      <c r="J111" s="10"/>
      <c r="L111" s="10"/>
    </row>
    <row r="112">
      <c r="A112" s="22"/>
      <c r="J112" s="10"/>
      <c r="L112" s="10"/>
    </row>
    <row r="113">
      <c r="A113" s="22"/>
      <c r="J113" s="10"/>
      <c r="L113" s="10"/>
    </row>
    <row r="114">
      <c r="A114" s="22"/>
      <c r="J114" s="10"/>
      <c r="L114" s="10"/>
    </row>
    <row r="115">
      <c r="A115" s="22"/>
      <c r="J115" s="10"/>
      <c r="L115" s="10"/>
    </row>
    <row r="116">
      <c r="A116" s="22"/>
      <c r="J116" s="10"/>
      <c r="L116" s="10"/>
    </row>
    <row r="117">
      <c r="A117" s="22"/>
      <c r="J117" s="10"/>
      <c r="L117" s="10"/>
    </row>
    <row r="118">
      <c r="A118" s="22"/>
      <c r="J118" s="10"/>
      <c r="L118" s="10"/>
    </row>
    <row r="119">
      <c r="A119" s="22"/>
      <c r="J119" s="10"/>
      <c r="L119" s="10"/>
    </row>
    <row r="120">
      <c r="A120" s="22"/>
      <c r="J120" s="10"/>
      <c r="L120" s="10"/>
    </row>
    <row r="121">
      <c r="A121" s="22"/>
      <c r="J121" s="10"/>
    </row>
    <row r="122">
      <c r="A122" s="22"/>
    </row>
    <row r="123">
      <c r="A123" s="22"/>
    </row>
    <row r="124">
      <c r="A124" s="22"/>
      <c r="J124" s="23">
        <f>SUM(J70:J121)</f>
        <v>0</v>
      </c>
      <c r="L124" s="23">
        <f>SUM(L70:L120)</f>
        <v>0</v>
      </c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  <row r="1001">
      <c r="A1001" s="22"/>
    </row>
    <row r="1002">
      <c r="A1002" s="22"/>
    </row>
    <row r="1003">
      <c r="A1003" s="22"/>
    </row>
    <row r="1004">
      <c r="A1004" s="22"/>
    </row>
  </sheetData>
  <autoFilter ref="$A$58:$H$82"/>
  <mergeCells count="8">
    <mergeCell ref="A1:H1"/>
    <mergeCell ref="A28:E28"/>
    <mergeCell ref="A30:H30"/>
    <mergeCell ref="A54:E54"/>
    <mergeCell ref="A55:E55"/>
    <mergeCell ref="A58:H58"/>
    <mergeCell ref="A81:E81"/>
    <mergeCell ref="A82:E8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60"/>
    <hyperlink r:id="rId49" ref="B61"/>
    <hyperlink r:id="rId50" ref="B62"/>
    <hyperlink r:id="rId51" ref="B63"/>
    <hyperlink r:id="rId52" ref="B64"/>
    <hyperlink r:id="rId53" ref="B65"/>
    <hyperlink r:id="rId54" ref="B66"/>
    <hyperlink r:id="rId55" ref="B67"/>
    <hyperlink r:id="rId56" ref="B68"/>
    <hyperlink r:id="rId57" ref="B69"/>
    <hyperlink r:id="rId58" ref="B70"/>
    <hyperlink r:id="rId59" ref="B71"/>
    <hyperlink r:id="rId60" ref="B72"/>
    <hyperlink r:id="rId61" ref="B73"/>
    <hyperlink r:id="rId62" ref="B74"/>
    <hyperlink r:id="rId63" ref="B75"/>
    <hyperlink r:id="rId64" ref="B76"/>
    <hyperlink r:id="rId65" ref="B77"/>
    <hyperlink r:id="rId66" ref="B78"/>
    <hyperlink r:id="rId67" ref="B79"/>
    <hyperlink r:id="rId68" ref="B80"/>
  </hyperlinks>
  <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4.63"/>
    <col customWidth="1" min="4" max="4" width="37.38"/>
    <col customWidth="1" min="10" max="10" width="14.25"/>
    <col customWidth="1" min="11" max="11" width="11.63"/>
  </cols>
  <sheetData>
    <row r="1">
      <c r="A1" s="24" t="s">
        <v>192</v>
      </c>
    </row>
    <row r="2">
      <c r="A2" s="25" t="s">
        <v>193</v>
      </c>
      <c r="B2" s="25" t="s">
        <v>194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>
      <c r="A4" s="27" t="s">
        <v>195</v>
      </c>
      <c r="B4" s="26"/>
      <c r="C4" s="26"/>
      <c r="D4" s="27" t="s">
        <v>196</v>
      </c>
      <c r="E4" s="26"/>
      <c r="F4" s="26"/>
      <c r="G4" s="26"/>
      <c r="H4" s="26"/>
      <c r="I4" s="26"/>
      <c r="J4" s="26"/>
      <c r="K4" s="26"/>
      <c r="L4" s="26"/>
    </row>
    <row r="5">
      <c r="A5" s="28" t="s">
        <v>197</v>
      </c>
      <c r="B5" s="29">
        <v>68.0</v>
      </c>
      <c r="C5" s="26"/>
      <c r="D5" s="30" t="s">
        <v>4</v>
      </c>
      <c r="E5" s="30" t="s">
        <v>198</v>
      </c>
      <c r="F5" s="30" t="s">
        <v>199</v>
      </c>
      <c r="G5" s="30" t="s">
        <v>200</v>
      </c>
      <c r="H5" s="30" t="s">
        <v>201</v>
      </c>
      <c r="I5" s="30" t="s">
        <v>202</v>
      </c>
      <c r="J5" s="30" t="s">
        <v>203</v>
      </c>
      <c r="K5" s="30" t="s">
        <v>204</v>
      </c>
      <c r="L5" s="30" t="s">
        <v>205</v>
      </c>
    </row>
    <row r="6">
      <c r="A6" s="28" t="s">
        <v>200</v>
      </c>
      <c r="B6" s="29">
        <v>173762.0</v>
      </c>
      <c r="C6" s="26"/>
      <c r="D6" s="31" t="s">
        <v>12</v>
      </c>
      <c r="E6" s="31">
        <v>51.0</v>
      </c>
      <c r="F6" s="32">
        <f>E6/B5*100%</f>
        <v>0.75</v>
      </c>
      <c r="G6" s="33">
        <v>109269.0</v>
      </c>
      <c r="H6" s="33">
        <f t="shared" ref="H6:H10" si="1">G6/E6</f>
        <v>2142.529412</v>
      </c>
      <c r="I6" s="34">
        <f>G6/B6*100%</f>
        <v>0.6288429001</v>
      </c>
      <c r="J6" s="33">
        <v>684.0</v>
      </c>
      <c r="K6" s="33">
        <f t="shared" ref="K6:K10" si="2">J6/E6</f>
        <v>13.41176471</v>
      </c>
      <c r="L6" s="34">
        <f>J6/B7*100%</f>
        <v>0.338781575</v>
      </c>
    </row>
    <row r="7">
      <c r="A7" s="28" t="s">
        <v>206</v>
      </c>
      <c r="B7" s="29">
        <v>2019.0</v>
      </c>
      <c r="C7" s="26"/>
      <c r="D7" s="31" t="s">
        <v>207</v>
      </c>
      <c r="E7" s="35">
        <v>7.0</v>
      </c>
      <c r="F7" s="32">
        <f>E7/B5*100%</f>
        <v>0.1029411765</v>
      </c>
      <c r="G7" s="36">
        <v>50061.0</v>
      </c>
      <c r="H7" s="33">
        <f t="shared" si="1"/>
        <v>7151.571429</v>
      </c>
      <c r="I7" s="34">
        <f>G7/B6*100%</f>
        <v>0.2881009657</v>
      </c>
      <c r="J7" s="33">
        <v>1192.0</v>
      </c>
      <c r="K7" s="33">
        <f t="shared" si="2"/>
        <v>170.2857143</v>
      </c>
      <c r="L7" s="34">
        <f>J7/B7*100%</f>
        <v>0.5903912828</v>
      </c>
    </row>
    <row r="8">
      <c r="A8" s="28" t="s">
        <v>208</v>
      </c>
      <c r="B8" s="29">
        <v>62.0</v>
      </c>
      <c r="C8" s="26"/>
      <c r="D8" s="31" t="s">
        <v>35</v>
      </c>
      <c r="E8" s="35">
        <v>3.0</v>
      </c>
      <c r="F8" s="32">
        <f>E8/B5*100%</f>
        <v>0.04411764706</v>
      </c>
      <c r="G8" s="37">
        <v>5215.0</v>
      </c>
      <c r="H8" s="33">
        <f t="shared" si="1"/>
        <v>1738.333333</v>
      </c>
      <c r="I8" s="34">
        <f>G8/B6*100%</f>
        <v>0.0300123157</v>
      </c>
      <c r="J8" s="33">
        <v>74.0</v>
      </c>
      <c r="K8" s="33">
        <f t="shared" si="2"/>
        <v>24.66666667</v>
      </c>
      <c r="L8" s="34">
        <f>J8/B7*100%</f>
        <v>0.03665180783</v>
      </c>
    </row>
    <row r="9">
      <c r="A9" s="28"/>
      <c r="B9" s="38"/>
      <c r="C9" s="26"/>
      <c r="D9" s="31" t="s">
        <v>46</v>
      </c>
      <c r="E9" s="35">
        <v>4.0</v>
      </c>
      <c r="F9" s="32">
        <f>E9/B5*100%</f>
        <v>0.05882352941</v>
      </c>
      <c r="G9" s="36">
        <v>6188.0</v>
      </c>
      <c r="H9" s="33">
        <f t="shared" si="1"/>
        <v>1547</v>
      </c>
      <c r="I9" s="34">
        <f>G9/B6*100%</f>
        <v>0.03561192896</v>
      </c>
      <c r="J9" s="33">
        <v>52.0</v>
      </c>
      <c r="K9" s="33">
        <f t="shared" si="2"/>
        <v>13</v>
      </c>
      <c r="L9" s="34">
        <f>J9/B7*100%</f>
        <v>0.02575532442</v>
      </c>
    </row>
    <row r="10">
      <c r="A10" s="28"/>
      <c r="B10" s="38"/>
      <c r="C10" s="26"/>
      <c r="D10" s="31" t="s">
        <v>78</v>
      </c>
      <c r="E10" s="37">
        <v>3.0</v>
      </c>
      <c r="F10" s="32">
        <f>E10/B5*100%</f>
        <v>0.04411764706</v>
      </c>
      <c r="G10" s="37">
        <v>3029.0</v>
      </c>
      <c r="H10" s="33">
        <f t="shared" si="1"/>
        <v>1009.666667</v>
      </c>
      <c r="I10" s="34">
        <f>G10/B6*100%</f>
        <v>0.0174318896</v>
      </c>
      <c r="J10" s="33">
        <v>17.0</v>
      </c>
      <c r="K10" s="33">
        <f t="shared" si="2"/>
        <v>5.666666667</v>
      </c>
      <c r="L10" s="34">
        <f>J10/B7*100%</f>
        <v>0.008420009906</v>
      </c>
    </row>
    <row r="11">
      <c r="A11" s="28"/>
      <c r="B11" s="38"/>
      <c r="C11" s="26"/>
      <c r="D11" s="31" t="s">
        <v>209</v>
      </c>
      <c r="E11" s="35">
        <v>0.0</v>
      </c>
      <c r="F11" s="39"/>
      <c r="G11" s="37"/>
      <c r="H11" s="33"/>
      <c r="I11" s="34" t="s">
        <v>210</v>
      </c>
      <c r="J11" s="33"/>
      <c r="K11" s="33"/>
      <c r="L11" s="34" t="s">
        <v>210</v>
      </c>
    </row>
    <row r="12">
      <c r="A12" s="28"/>
      <c r="B12" s="38"/>
      <c r="C12" s="26"/>
      <c r="D12" s="31" t="s">
        <v>211</v>
      </c>
      <c r="E12" s="35">
        <v>0.0</v>
      </c>
      <c r="F12" s="40"/>
      <c r="G12" s="37"/>
      <c r="H12" s="33"/>
      <c r="I12" s="34" t="s">
        <v>210</v>
      </c>
      <c r="J12" s="33"/>
      <c r="K12" s="33"/>
      <c r="L12" s="34" t="s">
        <v>210</v>
      </c>
    </row>
    <row r="13">
      <c r="A13" s="28"/>
      <c r="B13" s="41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>
      <c r="A15" s="42" t="s">
        <v>212</v>
      </c>
      <c r="B15" s="13"/>
      <c r="C15" s="26"/>
      <c r="D15" s="42" t="s">
        <v>213</v>
      </c>
      <c r="E15" s="12"/>
      <c r="F15" s="13"/>
      <c r="G15" s="26"/>
      <c r="H15" s="26"/>
      <c r="I15" s="26"/>
      <c r="J15" s="26"/>
      <c r="K15" s="26"/>
      <c r="L15" s="26"/>
    </row>
    <row r="16">
      <c r="A16" s="43" t="s">
        <v>214</v>
      </c>
      <c r="B16" s="13"/>
      <c r="C16" s="26"/>
      <c r="D16" s="44" t="s">
        <v>4</v>
      </c>
      <c r="E16" s="44" t="s">
        <v>215</v>
      </c>
      <c r="F16" s="44" t="s">
        <v>216</v>
      </c>
      <c r="G16" s="25"/>
      <c r="H16" s="25"/>
      <c r="I16" s="26"/>
      <c r="J16" s="26"/>
      <c r="K16" s="26"/>
      <c r="L16" s="26"/>
    </row>
    <row r="17">
      <c r="A17" s="45"/>
      <c r="C17" s="26"/>
      <c r="D17" s="46" t="s">
        <v>12</v>
      </c>
      <c r="E17" s="47">
        <v>0.7</v>
      </c>
      <c r="F17" s="9">
        <v>17.0</v>
      </c>
      <c r="G17" s="31"/>
      <c r="H17" s="25"/>
      <c r="I17" s="26"/>
      <c r="J17" s="26"/>
      <c r="K17" s="26"/>
      <c r="L17" s="26"/>
    </row>
    <row r="18">
      <c r="A18" s="45"/>
      <c r="C18" s="26"/>
      <c r="D18" s="46" t="s">
        <v>217</v>
      </c>
      <c r="E18" s="47">
        <v>0.15</v>
      </c>
      <c r="F18" s="9">
        <v>4.0</v>
      </c>
      <c r="G18" s="31"/>
      <c r="H18" s="25"/>
      <c r="I18" s="26"/>
      <c r="J18" s="26"/>
      <c r="K18" s="26"/>
      <c r="L18" s="26"/>
    </row>
    <row r="19">
      <c r="A19" s="45"/>
      <c r="C19" s="26"/>
      <c r="D19" s="46" t="s">
        <v>46</v>
      </c>
      <c r="E19" s="47">
        <v>0.1</v>
      </c>
      <c r="F19" s="9">
        <v>2.0</v>
      </c>
      <c r="G19" s="31"/>
      <c r="H19" s="25"/>
      <c r="I19" s="26"/>
      <c r="J19" s="26"/>
      <c r="K19" s="26"/>
      <c r="L19" s="26"/>
    </row>
    <row r="20">
      <c r="A20" s="26"/>
      <c r="B20" s="26"/>
      <c r="C20" s="26"/>
      <c r="D20" s="46" t="s">
        <v>78</v>
      </c>
      <c r="E20" s="47">
        <v>0.05</v>
      </c>
      <c r="F20" s="9">
        <v>1.0</v>
      </c>
      <c r="G20" s="31"/>
      <c r="H20" s="25"/>
      <c r="I20" s="26"/>
      <c r="J20" s="26"/>
      <c r="K20" s="26"/>
      <c r="L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>
      <c r="A23" s="26"/>
      <c r="B23" s="26"/>
      <c r="C23" s="26"/>
      <c r="D23" s="25"/>
    </row>
    <row r="24">
      <c r="A24" s="26"/>
      <c r="B24" s="26"/>
      <c r="C24" s="26"/>
      <c r="D24" s="25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</row>
  </sheetData>
  <mergeCells count="9">
    <mergeCell ref="A15:B15"/>
    <mergeCell ref="D15:F15"/>
    <mergeCell ref="A16:B16"/>
    <mergeCell ref="A17:B17"/>
    <mergeCell ref="A18:B18"/>
    <mergeCell ref="A19:B19"/>
    <mergeCell ref="A1:L1"/>
    <mergeCell ref="D23:L23"/>
    <mergeCell ref="D24:L24"/>
  </mergeCells>
  <drawing r:id="rId1"/>
</worksheet>
</file>